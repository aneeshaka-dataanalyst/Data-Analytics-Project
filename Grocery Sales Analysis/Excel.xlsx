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7c7e71af47d85f0/Desktop/AI DRIVEN DATA ANALYTICS/MINI PROJECT/PROJECT 1 EXCEL AND POWER BI/"/>
    </mc:Choice>
  </mc:AlternateContent>
  <xr:revisionPtr revIDLastSave="115" documentId="8_{A2068F11-9694-4906-A594-7918E36DCE18}" xr6:coauthVersionLast="47" xr6:coauthVersionMax="47" xr10:uidLastSave="{248975E4-A29E-44AB-AC7F-0A67D269C786}"/>
  <bookViews>
    <workbookView xWindow="-108" yWindow="-108" windowWidth="23256" windowHeight="12456" xr2:uid="{315BC17B-3885-4407-AFC4-8E10303EFD05}"/>
  </bookViews>
  <sheets>
    <sheet name="grocery_chain_data" sheetId="2" r:id="rId1"/>
  </sheets>
  <definedNames>
    <definedName name="ExternalData_1" localSheetId="0" hidden="1">grocery_chain_data!$A$1:$K$1981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" i="2" l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D78" i="2"/>
  <c r="D79" i="2"/>
  <c r="D80" i="2"/>
  <c r="D81" i="2"/>
  <c r="D82" i="2"/>
  <c r="D83" i="2"/>
  <c r="D84" i="2"/>
  <c r="D85" i="2"/>
  <c r="D86" i="2"/>
  <c r="D87" i="2"/>
  <c r="D88" i="2"/>
  <c r="D89" i="2"/>
  <c r="D90" i="2"/>
  <c r="D91" i="2"/>
  <c r="D92" i="2"/>
  <c r="D93" i="2"/>
  <c r="D94" i="2"/>
  <c r="D95" i="2"/>
  <c r="D96" i="2"/>
  <c r="D97" i="2"/>
  <c r="D98" i="2"/>
  <c r="D99" i="2"/>
  <c r="D100" i="2"/>
  <c r="D101" i="2"/>
  <c r="D102" i="2"/>
  <c r="D103" i="2"/>
  <c r="D104" i="2"/>
  <c r="D105" i="2"/>
  <c r="D106" i="2"/>
  <c r="D107" i="2"/>
  <c r="D108" i="2"/>
  <c r="D109" i="2"/>
  <c r="D110" i="2"/>
  <c r="D111" i="2"/>
  <c r="D112" i="2"/>
  <c r="D113" i="2"/>
  <c r="D114" i="2"/>
  <c r="D115" i="2"/>
  <c r="D116" i="2"/>
  <c r="D117" i="2"/>
  <c r="D118" i="2"/>
  <c r="D119" i="2"/>
  <c r="D120" i="2"/>
  <c r="D121" i="2"/>
  <c r="D122" i="2"/>
  <c r="D123" i="2"/>
  <c r="D124" i="2"/>
  <c r="D125" i="2"/>
  <c r="D126" i="2"/>
  <c r="D127" i="2"/>
  <c r="D128" i="2"/>
  <c r="D129" i="2"/>
  <c r="D130" i="2"/>
  <c r="D131" i="2"/>
  <c r="D132" i="2"/>
  <c r="D133" i="2"/>
  <c r="D134" i="2"/>
  <c r="D135" i="2"/>
  <c r="D136" i="2"/>
  <c r="D137" i="2"/>
  <c r="D138" i="2"/>
  <c r="D139" i="2"/>
  <c r="D140" i="2"/>
  <c r="D141" i="2"/>
  <c r="D142" i="2"/>
  <c r="D143" i="2"/>
  <c r="D144" i="2"/>
  <c r="D145" i="2"/>
  <c r="D146" i="2"/>
  <c r="D147" i="2"/>
  <c r="D148" i="2"/>
  <c r="D149" i="2"/>
  <c r="D150" i="2"/>
  <c r="D151" i="2"/>
  <c r="D152" i="2"/>
  <c r="D153" i="2"/>
  <c r="D154" i="2"/>
  <c r="D155" i="2"/>
  <c r="D156" i="2"/>
  <c r="D157" i="2"/>
  <c r="D158" i="2"/>
  <c r="D159" i="2"/>
  <c r="D160" i="2"/>
  <c r="D161" i="2"/>
  <c r="D162" i="2"/>
  <c r="D163" i="2"/>
  <c r="D164" i="2"/>
  <c r="D165" i="2"/>
  <c r="D166" i="2"/>
  <c r="D167" i="2"/>
  <c r="D168" i="2"/>
  <c r="D169" i="2"/>
  <c r="D170" i="2"/>
  <c r="D171" i="2"/>
  <c r="D172" i="2"/>
  <c r="D173" i="2"/>
  <c r="D174" i="2"/>
  <c r="D175" i="2"/>
  <c r="D176" i="2"/>
  <c r="D177" i="2"/>
  <c r="D178" i="2"/>
  <c r="D179" i="2"/>
  <c r="D180" i="2"/>
  <c r="D181" i="2"/>
  <c r="D182" i="2"/>
  <c r="D183" i="2"/>
  <c r="D184" i="2"/>
  <c r="D185" i="2"/>
  <c r="D186" i="2"/>
  <c r="D187" i="2"/>
  <c r="D188" i="2"/>
  <c r="D189" i="2"/>
  <c r="D190" i="2"/>
  <c r="D191" i="2"/>
  <c r="D192" i="2"/>
  <c r="D193" i="2"/>
  <c r="D194" i="2"/>
  <c r="D195" i="2"/>
  <c r="D196" i="2"/>
  <c r="D197" i="2"/>
  <c r="D198" i="2"/>
  <c r="D199" i="2"/>
  <c r="D200" i="2"/>
  <c r="D201" i="2"/>
  <c r="D202" i="2"/>
  <c r="D203" i="2"/>
  <c r="D204" i="2"/>
  <c r="D205" i="2"/>
  <c r="D206" i="2"/>
  <c r="D207" i="2"/>
  <c r="D208" i="2"/>
  <c r="D209" i="2"/>
  <c r="D210" i="2"/>
  <c r="D211" i="2"/>
  <c r="D212" i="2"/>
  <c r="D213" i="2"/>
  <c r="D214" i="2"/>
  <c r="D215" i="2"/>
  <c r="D216" i="2"/>
  <c r="D217" i="2"/>
  <c r="D218" i="2"/>
  <c r="D219" i="2"/>
  <c r="D220" i="2"/>
  <c r="D221" i="2"/>
  <c r="D222" i="2"/>
  <c r="D223" i="2"/>
  <c r="D224" i="2"/>
  <c r="D225" i="2"/>
  <c r="D226" i="2"/>
  <c r="D227" i="2"/>
  <c r="D228" i="2"/>
  <c r="D229" i="2"/>
  <c r="D230" i="2"/>
  <c r="D231" i="2"/>
  <c r="D232" i="2"/>
  <c r="D233" i="2"/>
  <c r="D234" i="2"/>
  <c r="D235" i="2"/>
  <c r="D236" i="2"/>
  <c r="D237" i="2"/>
  <c r="D238" i="2"/>
  <c r="D239" i="2"/>
  <c r="D240" i="2"/>
  <c r="D241" i="2"/>
  <c r="D242" i="2"/>
  <c r="D243" i="2"/>
  <c r="D244" i="2"/>
  <c r="D245" i="2"/>
  <c r="D246" i="2"/>
  <c r="D247" i="2"/>
  <c r="D248" i="2"/>
  <c r="D249" i="2"/>
  <c r="D250" i="2"/>
  <c r="D251" i="2"/>
  <c r="D252" i="2"/>
  <c r="D253" i="2"/>
  <c r="D254" i="2"/>
  <c r="D255" i="2"/>
  <c r="D256" i="2"/>
  <c r="D257" i="2"/>
  <c r="D258" i="2"/>
  <c r="D259" i="2"/>
  <c r="D260" i="2"/>
  <c r="D261" i="2"/>
  <c r="D262" i="2"/>
  <c r="D263" i="2"/>
  <c r="D264" i="2"/>
  <c r="D265" i="2"/>
  <c r="D266" i="2"/>
  <c r="D267" i="2"/>
  <c r="D268" i="2"/>
  <c r="D269" i="2"/>
  <c r="D270" i="2"/>
  <c r="D271" i="2"/>
  <c r="D272" i="2"/>
  <c r="D273" i="2"/>
  <c r="D274" i="2"/>
  <c r="D275" i="2"/>
  <c r="D276" i="2"/>
  <c r="D277" i="2"/>
  <c r="D278" i="2"/>
  <c r="D279" i="2"/>
  <c r="D280" i="2"/>
  <c r="D281" i="2"/>
  <c r="D282" i="2"/>
  <c r="D283" i="2"/>
  <c r="D284" i="2"/>
  <c r="D285" i="2"/>
  <c r="D286" i="2"/>
  <c r="D287" i="2"/>
  <c r="D288" i="2"/>
  <c r="D289" i="2"/>
  <c r="D290" i="2"/>
  <c r="D291" i="2"/>
  <c r="D292" i="2"/>
  <c r="D293" i="2"/>
  <c r="D294" i="2"/>
  <c r="D295" i="2"/>
  <c r="D296" i="2"/>
  <c r="D297" i="2"/>
  <c r="D298" i="2"/>
  <c r="D299" i="2"/>
  <c r="D300" i="2"/>
  <c r="D301" i="2"/>
  <c r="D302" i="2"/>
  <c r="D303" i="2"/>
  <c r="D304" i="2"/>
  <c r="D305" i="2"/>
  <c r="D306" i="2"/>
  <c r="D307" i="2"/>
  <c r="D308" i="2"/>
  <c r="D309" i="2"/>
  <c r="D310" i="2"/>
  <c r="D311" i="2"/>
  <c r="D312" i="2"/>
  <c r="D313" i="2"/>
  <c r="D314" i="2"/>
  <c r="D315" i="2"/>
  <c r="D316" i="2"/>
  <c r="D317" i="2"/>
  <c r="D318" i="2"/>
  <c r="D319" i="2"/>
  <c r="D320" i="2"/>
  <c r="D321" i="2"/>
  <c r="D322" i="2"/>
  <c r="D323" i="2"/>
  <c r="D324" i="2"/>
  <c r="D325" i="2"/>
  <c r="D326" i="2"/>
  <c r="D327" i="2"/>
  <c r="D328" i="2"/>
  <c r="D329" i="2"/>
  <c r="D330" i="2"/>
  <c r="D331" i="2"/>
  <c r="D332" i="2"/>
  <c r="D333" i="2"/>
  <c r="D334" i="2"/>
  <c r="D335" i="2"/>
  <c r="D336" i="2"/>
  <c r="D337" i="2"/>
  <c r="D338" i="2"/>
  <c r="D339" i="2"/>
  <c r="D340" i="2"/>
  <c r="D341" i="2"/>
  <c r="D342" i="2"/>
  <c r="D343" i="2"/>
  <c r="D344" i="2"/>
  <c r="D345" i="2"/>
  <c r="D346" i="2"/>
  <c r="D347" i="2"/>
  <c r="D348" i="2"/>
  <c r="D349" i="2"/>
  <c r="D350" i="2"/>
  <c r="D351" i="2"/>
  <c r="D352" i="2"/>
  <c r="D353" i="2"/>
  <c r="D354" i="2"/>
  <c r="D355" i="2"/>
  <c r="D356" i="2"/>
  <c r="D357" i="2"/>
  <c r="D358" i="2"/>
  <c r="D359" i="2"/>
  <c r="D360" i="2"/>
  <c r="D361" i="2"/>
  <c r="D362" i="2"/>
  <c r="D363" i="2"/>
  <c r="D364" i="2"/>
  <c r="D365" i="2"/>
  <c r="D366" i="2"/>
  <c r="D367" i="2"/>
  <c r="D368" i="2"/>
  <c r="D369" i="2"/>
  <c r="D370" i="2"/>
  <c r="D371" i="2"/>
  <c r="D372" i="2"/>
  <c r="D373" i="2"/>
  <c r="D374" i="2"/>
  <c r="D375" i="2"/>
  <c r="D376" i="2"/>
  <c r="D377" i="2"/>
  <c r="D378" i="2"/>
  <c r="D379" i="2"/>
  <c r="D380" i="2"/>
  <c r="D381" i="2"/>
  <c r="D382" i="2"/>
  <c r="D383" i="2"/>
  <c r="D384" i="2"/>
  <c r="D385" i="2"/>
  <c r="D386" i="2"/>
  <c r="D387" i="2"/>
  <c r="D388" i="2"/>
  <c r="D389" i="2"/>
  <c r="D390" i="2"/>
  <c r="D391" i="2"/>
  <c r="D392" i="2"/>
  <c r="D393" i="2"/>
  <c r="D394" i="2"/>
  <c r="D395" i="2"/>
  <c r="D396" i="2"/>
  <c r="D397" i="2"/>
  <c r="D398" i="2"/>
  <c r="D399" i="2"/>
  <c r="D400" i="2"/>
  <c r="D401" i="2"/>
  <c r="D402" i="2"/>
  <c r="D403" i="2"/>
  <c r="D404" i="2"/>
  <c r="D405" i="2"/>
  <c r="D406" i="2"/>
  <c r="D407" i="2"/>
  <c r="D408" i="2"/>
  <c r="D409" i="2"/>
  <c r="D410" i="2"/>
  <c r="D411" i="2"/>
  <c r="D412" i="2"/>
  <c r="D413" i="2"/>
  <c r="D414" i="2"/>
  <c r="D415" i="2"/>
  <c r="D416" i="2"/>
  <c r="D417" i="2"/>
  <c r="D418" i="2"/>
  <c r="D419" i="2"/>
  <c r="D420" i="2"/>
  <c r="D421" i="2"/>
  <c r="D422" i="2"/>
  <c r="D423" i="2"/>
  <c r="D424" i="2"/>
  <c r="D425" i="2"/>
  <c r="D426" i="2"/>
  <c r="D427" i="2"/>
  <c r="D428" i="2"/>
  <c r="D429" i="2"/>
  <c r="D430" i="2"/>
  <c r="D431" i="2"/>
  <c r="D432" i="2"/>
  <c r="D433" i="2"/>
  <c r="D434" i="2"/>
  <c r="D435" i="2"/>
  <c r="D436" i="2"/>
  <c r="D437" i="2"/>
  <c r="D438" i="2"/>
  <c r="D439" i="2"/>
  <c r="D440" i="2"/>
  <c r="D441" i="2"/>
  <c r="D442" i="2"/>
  <c r="D443" i="2"/>
  <c r="D444" i="2"/>
  <c r="D445" i="2"/>
  <c r="D446" i="2"/>
  <c r="D447" i="2"/>
  <c r="D448" i="2"/>
  <c r="D449" i="2"/>
  <c r="D450" i="2"/>
  <c r="D451" i="2"/>
  <c r="D452" i="2"/>
  <c r="D453" i="2"/>
  <c r="D454" i="2"/>
  <c r="D455" i="2"/>
  <c r="D456" i="2"/>
  <c r="D457" i="2"/>
  <c r="D458" i="2"/>
  <c r="D459" i="2"/>
  <c r="D460" i="2"/>
  <c r="D461" i="2"/>
  <c r="D462" i="2"/>
  <c r="D463" i="2"/>
  <c r="D464" i="2"/>
  <c r="D465" i="2"/>
  <c r="D466" i="2"/>
  <c r="D467" i="2"/>
  <c r="D468" i="2"/>
  <c r="D469" i="2"/>
  <c r="D470" i="2"/>
  <c r="D471" i="2"/>
  <c r="D472" i="2"/>
  <c r="D473" i="2"/>
  <c r="D474" i="2"/>
  <c r="D475" i="2"/>
  <c r="D476" i="2"/>
  <c r="D477" i="2"/>
  <c r="D478" i="2"/>
  <c r="D479" i="2"/>
  <c r="D480" i="2"/>
  <c r="D481" i="2"/>
  <c r="D482" i="2"/>
  <c r="D483" i="2"/>
  <c r="D484" i="2"/>
  <c r="D485" i="2"/>
  <c r="D486" i="2"/>
  <c r="D487" i="2"/>
  <c r="D488" i="2"/>
  <c r="D489" i="2"/>
  <c r="D490" i="2"/>
  <c r="D491" i="2"/>
  <c r="D492" i="2"/>
  <c r="D493" i="2"/>
  <c r="D494" i="2"/>
  <c r="D495" i="2"/>
  <c r="D496" i="2"/>
  <c r="D497" i="2"/>
  <c r="D498" i="2"/>
  <c r="D499" i="2"/>
  <c r="D500" i="2"/>
  <c r="D501" i="2"/>
  <c r="D502" i="2"/>
  <c r="D503" i="2"/>
  <c r="D504" i="2"/>
  <c r="D505" i="2"/>
  <c r="D506" i="2"/>
  <c r="D507" i="2"/>
  <c r="D508" i="2"/>
  <c r="D509" i="2"/>
  <c r="D510" i="2"/>
  <c r="D511" i="2"/>
  <c r="D512" i="2"/>
  <c r="D513" i="2"/>
  <c r="D514" i="2"/>
  <c r="D515" i="2"/>
  <c r="D516" i="2"/>
  <c r="D517" i="2"/>
  <c r="D518" i="2"/>
  <c r="D519" i="2"/>
  <c r="D520" i="2"/>
  <c r="D521" i="2"/>
  <c r="D522" i="2"/>
  <c r="D523" i="2"/>
  <c r="D524" i="2"/>
  <c r="D525" i="2"/>
  <c r="D526" i="2"/>
  <c r="D527" i="2"/>
  <c r="D528" i="2"/>
  <c r="D529" i="2"/>
  <c r="D530" i="2"/>
  <c r="D531" i="2"/>
  <c r="D532" i="2"/>
  <c r="D533" i="2"/>
  <c r="D534" i="2"/>
  <c r="D535" i="2"/>
  <c r="D536" i="2"/>
  <c r="D537" i="2"/>
  <c r="D538" i="2"/>
  <c r="D539" i="2"/>
  <c r="D540" i="2"/>
  <c r="D541" i="2"/>
  <c r="D542" i="2"/>
  <c r="D543" i="2"/>
  <c r="D544" i="2"/>
  <c r="D545" i="2"/>
  <c r="D546" i="2"/>
  <c r="D547" i="2"/>
  <c r="D548" i="2"/>
  <c r="D549" i="2"/>
  <c r="D550" i="2"/>
  <c r="D551" i="2"/>
  <c r="D552" i="2"/>
  <c r="D553" i="2"/>
  <c r="D554" i="2"/>
  <c r="D555" i="2"/>
  <c r="D556" i="2"/>
  <c r="D557" i="2"/>
  <c r="D558" i="2"/>
  <c r="D559" i="2"/>
  <c r="D560" i="2"/>
  <c r="D561" i="2"/>
  <c r="D562" i="2"/>
  <c r="D563" i="2"/>
  <c r="D564" i="2"/>
  <c r="D565" i="2"/>
  <c r="D566" i="2"/>
  <c r="D567" i="2"/>
  <c r="D568" i="2"/>
  <c r="D569" i="2"/>
  <c r="D570" i="2"/>
  <c r="D571" i="2"/>
  <c r="D572" i="2"/>
  <c r="D573" i="2"/>
  <c r="D574" i="2"/>
  <c r="D575" i="2"/>
  <c r="D576" i="2"/>
  <c r="D577" i="2"/>
  <c r="D578" i="2"/>
  <c r="D579" i="2"/>
  <c r="D580" i="2"/>
  <c r="D581" i="2"/>
  <c r="D582" i="2"/>
  <c r="D583" i="2"/>
  <c r="D584" i="2"/>
  <c r="D585" i="2"/>
  <c r="D586" i="2"/>
  <c r="D587" i="2"/>
  <c r="D588" i="2"/>
  <c r="D589" i="2"/>
  <c r="D590" i="2"/>
  <c r="D591" i="2"/>
  <c r="D592" i="2"/>
  <c r="D593" i="2"/>
  <c r="D594" i="2"/>
  <c r="D595" i="2"/>
  <c r="D596" i="2"/>
  <c r="D597" i="2"/>
  <c r="D598" i="2"/>
  <c r="D599" i="2"/>
  <c r="D600" i="2"/>
  <c r="D601" i="2"/>
  <c r="D602" i="2"/>
  <c r="D603" i="2"/>
  <c r="D604" i="2"/>
  <c r="D605" i="2"/>
  <c r="D606" i="2"/>
  <c r="D607" i="2"/>
  <c r="D608" i="2"/>
  <c r="D609" i="2"/>
  <c r="D610" i="2"/>
  <c r="D611" i="2"/>
  <c r="D612" i="2"/>
  <c r="D613" i="2"/>
  <c r="D614" i="2"/>
  <c r="D615" i="2"/>
  <c r="D616" i="2"/>
  <c r="D617" i="2"/>
  <c r="D618" i="2"/>
  <c r="D619" i="2"/>
  <c r="D620" i="2"/>
  <c r="D621" i="2"/>
  <c r="D622" i="2"/>
  <c r="D623" i="2"/>
  <c r="D624" i="2"/>
  <c r="D625" i="2"/>
  <c r="D626" i="2"/>
  <c r="D627" i="2"/>
  <c r="D628" i="2"/>
  <c r="D629" i="2"/>
  <c r="D630" i="2"/>
  <c r="D631" i="2"/>
  <c r="D632" i="2"/>
  <c r="D633" i="2"/>
  <c r="D634" i="2"/>
  <c r="D635" i="2"/>
  <c r="D636" i="2"/>
  <c r="D637" i="2"/>
  <c r="D638" i="2"/>
  <c r="D639" i="2"/>
  <c r="D640" i="2"/>
  <c r="D641" i="2"/>
  <c r="D642" i="2"/>
  <c r="D643" i="2"/>
  <c r="D644" i="2"/>
  <c r="D645" i="2"/>
  <c r="D646" i="2"/>
  <c r="D647" i="2"/>
  <c r="D648" i="2"/>
  <c r="D649" i="2"/>
  <c r="D650" i="2"/>
  <c r="D651" i="2"/>
  <c r="D652" i="2"/>
  <c r="D653" i="2"/>
  <c r="D654" i="2"/>
  <c r="D655" i="2"/>
  <c r="D656" i="2"/>
  <c r="D657" i="2"/>
  <c r="D658" i="2"/>
  <c r="D659" i="2"/>
  <c r="D660" i="2"/>
  <c r="D661" i="2"/>
  <c r="D662" i="2"/>
  <c r="D663" i="2"/>
  <c r="D664" i="2"/>
  <c r="D665" i="2"/>
  <c r="D666" i="2"/>
  <c r="D667" i="2"/>
  <c r="D668" i="2"/>
  <c r="D669" i="2"/>
  <c r="D670" i="2"/>
  <c r="D671" i="2"/>
  <c r="D672" i="2"/>
  <c r="D673" i="2"/>
  <c r="D674" i="2"/>
  <c r="D675" i="2"/>
  <c r="D676" i="2"/>
  <c r="D677" i="2"/>
  <c r="D678" i="2"/>
  <c r="D679" i="2"/>
  <c r="D680" i="2"/>
  <c r="D681" i="2"/>
  <c r="D682" i="2"/>
  <c r="D683" i="2"/>
  <c r="D684" i="2"/>
  <c r="D685" i="2"/>
  <c r="D686" i="2"/>
  <c r="D687" i="2"/>
  <c r="D688" i="2"/>
  <c r="D689" i="2"/>
  <c r="D690" i="2"/>
  <c r="D691" i="2"/>
  <c r="D692" i="2"/>
  <c r="D693" i="2"/>
  <c r="D694" i="2"/>
  <c r="D695" i="2"/>
  <c r="D696" i="2"/>
  <c r="D697" i="2"/>
  <c r="D698" i="2"/>
  <c r="D699" i="2"/>
  <c r="D700" i="2"/>
  <c r="D701" i="2"/>
  <c r="D702" i="2"/>
  <c r="D703" i="2"/>
  <c r="D704" i="2"/>
  <c r="D705" i="2"/>
  <c r="D706" i="2"/>
  <c r="D707" i="2"/>
  <c r="D708" i="2"/>
  <c r="D709" i="2"/>
  <c r="D710" i="2"/>
  <c r="D711" i="2"/>
  <c r="D712" i="2"/>
  <c r="D713" i="2"/>
  <c r="D714" i="2"/>
  <c r="D715" i="2"/>
  <c r="D716" i="2"/>
  <c r="D717" i="2"/>
  <c r="D718" i="2"/>
  <c r="D719" i="2"/>
  <c r="D720" i="2"/>
  <c r="D721" i="2"/>
  <c r="D722" i="2"/>
  <c r="D723" i="2"/>
  <c r="D724" i="2"/>
  <c r="D725" i="2"/>
  <c r="D726" i="2"/>
  <c r="D727" i="2"/>
  <c r="D728" i="2"/>
  <c r="D729" i="2"/>
  <c r="D730" i="2"/>
  <c r="D731" i="2"/>
  <c r="D732" i="2"/>
  <c r="D733" i="2"/>
  <c r="D734" i="2"/>
  <c r="D735" i="2"/>
  <c r="D736" i="2"/>
  <c r="D737" i="2"/>
  <c r="D738" i="2"/>
  <c r="D739" i="2"/>
  <c r="D740" i="2"/>
  <c r="D741" i="2"/>
  <c r="D742" i="2"/>
  <c r="D743" i="2"/>
  <c r="D744" i="2"/>
  <c r="D745" i="2"/>
  <c r="D746" i="2"/>
  <c r="D747" i="2"/>
  <c r="D748" i="2"/>
  <c r="D749" i="2"/>
  <c r="D750" i="2"/>
  <c r="D751" i="2"/>
  <c r="D752" i="2"/>
  <c r="D753" i="2"/>
  <c r="D754" i="2"/>
  <c r="D755" i="2"/>
  <c r="D756" i="2"/>
  <c r="D757" i="2"/>
  <c r="D758" i="2"/>
  <c r="D759" i="2"/>
  <c r="D760" i="2"/>
  <c r="D761" i="2"/>
  <c r="D762" i="2"/>
  <c r="D763" i="2"/>
  <c r="D764" i="2"/>
  <c r="D765" i="2"/>
  <c r="D766" i="2"/>
  <c r="D767" i="2"/>
  <c r="D768" i="2"/>
  <c r="D769" i="2"/>
  <c r="D770" i="2"/>
  <c r="D771" i="2"/>
  <c r="D772" i="2"/>
  <c r="D773" i="2"/>
  <c r="D774" i="2"/>
  <c r="D775" i="2"/>
  <c r="D776" i="2"/>
  <c r="D777" i="2"/>
  <c r="D778" i="2"/>
  <c r="D779" i="2"/>
  <c r="D780" i="2"/>
  <c r="D781" i="2"/>
  <c r="D782" i="2"/>
  <c r="D783" i="2"/>
  <c r="D784" i="2"/>
  <c r="D785" i="2"/>
  <c r="D786" i="2"/>
  <c r="D787" i="2"/>
  <c r="D788" i="2"/>
  <c r="D789" i="2"/>
  <c r="D790" i="2"/>
  <c r="D791" i="2"/>
  <c r="D792" i="2"/>
  <c r="D793" i="2"/>
  <c r="D794" i="2"/>
  <c r="D795" i="2"/>
  <c r="D796" i="2"/>
  <c r="D797" i="2"/>
  <c r="D798" i="2"/>
  <c r="D799" i="2"/>
  <c r="D800" i="2"/>
  <c r="D801" i="2"/>
  <c r="D802" i="2"/>
  <c r="D803" i="2"/>
  <c r="D804" i="2"/>
  <c r="D805" i="2"/>
  <c r="D806" i="2"/>
  <c r="D807" i="2"/>
  <c r="D808" i="2"/>
  <c r="D809" i="2"/>
  <c r="D810" i="2"/>
  <c r="D811" i="2"/>
  <c r="D812" i="2"/>
  <c r="D813" i="2"/>
  <c r="D814" i="2"/>
  <c r="D815" i="2"/>
  <c r="D816" i="2"/>
  <c r="D817" i="2"/>
  <c r="D818" i="2"/>
  <c r="D819" i="2"/>
  <c r="D820" i="2"/>
  <c r="D821" i="2"/>
  <c r="D822" i="2"/>
  <c r="D823" i="2"/>
  <c r="D824" i="2"/>
  <c r="D825" i="2"/>
  <c r="D826" i="2"/>
  <c r="D827" i="2"/>
  <c r="D828" i="2"/>
  <c r="D829" i="2"/>
  <c r="D830" i="2"/>
  <c r="D831" i="2"/>
  <c r="D832" i="2"/>
  <c r="D833" i="2"/>
  <c r="D834" i="2"/>
  <c r="D835" i="2"/>
  <c r="D836" i="2"/>
  <c r="D837" i="2"/>
  <c r="D838" i="2"/>
  <c r="D839" i="2"/>
  <c r="D840" i="2"/>
  <c r="D841" i="2"/>
  <c r="D842" i="2"/>
  <c r="D843" i="2"/>
  <c r="D844" i="2"/>
  <c r="D845" i="2"/>
  <c r="D846" i="2"/>
  <c r="D847" i="2"/>
  <c r="D848" i="2"/>
  <c r="D849" i="2"/>
  <c r="D850" i="2"/>
  <c r="D851" i="2"/>
  <c r="D852" i="2"/>
  <c r="D853" i="2"/>
  <c r="D854" i="2"/>
  <c r="D855" i="2"/>
  <c r="D856" i="2"/>
  <c r="D857" i="2"/>
  <c r="D858" i="2"/>
  <c r="D859" i="2"/>
  <c r="D860" i="2"/>
  <c r="D861" i="2"/>
  <c r="D862" i="2"/>
  <c r="D863" i="2"/>
  <c r="D864" i="2"/>
  <c r="D865" i="2"/>
  <c r="D866" i="2"/>
  <c r="D867" i="2"/>
  <c r="D868" i="2"/>
  <c r="D869" i="2"/>
  <c r="D870" i="2"/>
  <c r="D871" i="2"/>
  <c r="D872" i="2"/>
  <c r="D873" i="2"/>
  <c r="D874" i="2"/>
  <c r="D875" i="2"/>
  <c r="D876" i="2"/>
  <c r="D877" i="2"/>
  <c r="D878" i="2"/>
  <c r="D879" i="2"/>
  <c r="D880" i="2"/>
  <c r="D881" i="2"/>
  <c r="D882" i="2"/>
  <c r="D883" i="2"/>
  <c r="D884" i="2"/>
  <c r="D885" i="2"/>
  <c r="D886" i="2"/>
  <c r="D887" i="2"/>
  <c r="D888" i="2"/>
  <c r="D889" i="2"/>
  <c r="D890" i="2"/>
  <c r="D891" i="2"/>
  <c r="D892" i="2"/>
  <c r="D893" i="2"/>
  <c r="D894" i="2"/>
  <c r="D895" i="2"/>
  <c r="D896" i="2"/>
  <c r="D897" i="2"/>
  <c r="D898" i="2"/>
  <c r="D899" i="2"/>
  <c r="D900" i="2"/>
  <c r="D901" i="2"/>
  <c r="D902" i="2"/>
  <c r="D903" i="2"/>
  <c r="D904" i="2"/>
  <c r="D905" i="2"/>
  <c r="D906" i="2"/>
  <c r="D907" i="2"/>
  <c r="D908" i="2"/>
  <c r="D909" i="2"/>
  <c r="D910" i="2"/>
  <c r="D911" i="2"/>
  <c r="D912" i="2"/>
  <c r="D913" i="2"/>
  <c r="D914" i="2"/>
  <c r="D915" i="2"/>
  <c r="D916" i="2"/>
  <c r="D917" i="2"/>
  <c r="D918" i="2"/>
  <c r="D919" i="2"/>
  <c r="D920" i="2"/>
  <c r="D921" i="2"/>
  <c r="D922" i="2"/>
  <c r="D923" i="2"/>
  <c r="D924" i="2"/>
  <c r="D925" i="2"/>
  <c r="D926" i="2"/>
  <c r="D927" i="2"/>
  <c r="D928" i="2"/>
  <c r="D929" i="2"/>
  <c r="D930" i="2"/>
  <c r="D931" i="2"/>
  <c r="D932" i="2"/>
  <c r="D933" i="2"/>
  <c r="D934" i="2"/>
  <c r="D935" i="2"/>
  <c r="D936" i="2"/>
  <c r="D937" i="2"/>
  <c r="D938" i="2"/>
  <c r="D939" i="2"/>
  <c r="D940" i="2"/>
  <c r="D941" i="2"/>
  <c r="D942" i="2"/>
  <c r="D943" i="2"/>
  <c r="D944" i="2"/>
  <c r="D945" i="2"/>
  <c r="D946" i="2"/>
  <c r="D947" i="2"/>
  <c r="D948" i="2"/>
  <c r="D949" i="2"/>
  <c r="D950" i="2"/>
  <c r="D951" i="2"/>
  <c r="D952" i="2"/>
  <c r="D953" i="2"/>
  <c r="D954" i="2"/>
  <c r="D955" i="2"/>
  <c r="D956" i="2"/>
  <c r="D957" i="2"/>
  <c r="D958" i="2"/>
  <c r="D959" i="2"/>
  <c r="D960" i="2"/>
  <c r="D961" i="2"/>
  <c r="D962" i="2"/>
  <c r="D963" i="2"/>
  <c r="D964" i="2"/>
  <c r="D965" i="2"/>
  <c r="D966" i="2"/>
  <c r="D967" i="2"/>
  <c r="D968" i="2"/>
  <c r="D969" i="2"/>
  <c r="D970" i="2"/>
  <c r="D971" i="2"/>
  <c r="D972" i="2"/>
  <c r="D973" i="2"/>
  <c r="D974" i="2"/>
  <c r="D975" i="2"/>
  <c r="D976" i="2"/>
  <c r="D977" i="2"/>
  <c r="D978" i="2"/>
  <c r="D979" i="2"/>
  <c r="D980" i="2"/>
  <c r="D981" i="2"/>
  <c r="D982" i="2"/>
  <c r="D983" i="2"/>
  <c r="D984" i="2"/>
  <c r="D985" i="2"/>
  <c r="D986" i="2"/>
  <c r="D987" i="2"/>
  <c r="D988" i="2"/>
  <c r="D989" i="2"/>
  <c r="D990" i="2"/>
  <c r="D991" i="2"/>
  <c r="D992" i="2"/>
  <c r="D993" i="2"/>
  <c r="D994" i="2"/>
  <c r="D995" i="2"/>
  <c r="D996" i="2"/>
  <c r="D997" i="2"/>
  <c r="D998" i="2"/>
  <c r="D999" i="2"/>
  <c r="D1000" i="2"/>
  <c r="D1001" i="2"/>
  <c r="D1002" i="2"/>
  <c r="D1003" i="2"/>
  <c r="D1004" i="2"/>
  <c r="D1005" i="2"/>
  <c r="D1006" i="2"/>
  <c r="D1007" i="2"/>
  <c r="D1008" i="2"/>
  <c r="D1009" i="2"/>
  <c r="D1010" i="2"/>
  <c r="D1011" i="2"/>
  <c r="D1012" i="2"/>
  <c r="D1013" i="2"/>
  <c r="D1014" i="2"/>
  <c r="D1015" i="2"/>
  <c r="D1016" i="2"/>
  <c r="D1017" i="2"/>
  <c r="D1018" i="2"/>
  <c r="D1019" i="2"/>
  <c r="D1020" i="2"/>
  <c r="D1021" i="2"/>
  <c r="D1022" i="2"/>
  <c r="D1023" i="2"/>
  <c r="D1024" i="2"/>
  <c r="D1025" i="2"/>
  <c r="D1026" i="2"/>
  <c r="D1027" i="2"/>
  <c r="D1028" i="2"/>
  <c r="D1029" i="2"/>
  <c r="D1030" i="2"/>
  <c r="D1031" i="2"/>
  <c r="D1032" i="2"/>
  <c r="D1033" i="2"/>
  <c r="D1034" i="2"/>
  <c r="D1035" i="2"/>
  <c r="D1036" i="2"/>
  <c r="D1037" i="2"/>
  <c r="D1038" i="2"/>
  <c r="D1039" i="2"/>
  <c r="D1040" i="2"/>
  <c r="D1041" i="2"/>
  <c r="D1042" i="2"/>
  <c r="D1043" i="2"/>
  <c r="D1044" i="2"/>
  <c r="D1045" i="2"/>
  <c r="D1046" i="2"/>
  <c r="D1047" i="2"/>
  <c r="D1048" i="2"/>
  <c r="D1049" i="2"/>
  <c r="D1050" i="2"/>
  <c r="D1051" i="2"/>
  <c r="D1052" i="2"/>
  <c r="D1053" i="2"/>
  <c r="D1054" i="2"/>
  <c r="D1055" i="2"/>
  <c r="D1056" i="2"/>
  <c r="D1057" i="2"/>
  <c r="D1058" i="2"/>
  <c r="D1059" i="2"/>
  <c r="D1060" i="2"/>
  <c r="D1061" i="2"/>
  <c r="D1062" i="2"/>
  <c r="D1063" i="2"/>
  <c r="D1064" i="2"/>
  <c r="D1065" i="2"/>
  <c r="D1066" i="2"/>
  <c r="D1067" i="2"/>
  <c r="D1068" i="2"/>
  <c r="D1069" i="2"/>
  <c r="D1070" i="2"/>
  <c r="D1071" i="2"/>
  <c r="D1072" i="2"/>
  <c r="D1073" i="2"/>
  <c r="D1074" i="2"/>
  <c r="D1075" i="2"/>
  <c r="D1076" i="2"/>
  <c r="D1077" i="2"/>
  <c r="D1078" i="2"/>
  <c r="D1079" i="2"/>
  <c r="D1080" i="2"/>
  <c r="D1081" i="2"/>
  <c r="D1082" i="2"/>
  <c r="D1083" i="2"/>
  <c r="D1084" i="2"/>
  <c r="D1085" i="2"/>
  <c r="D1086" i="2"/>
  <c r="D1087" i="2"/>
  <c r="D1088" i="2"/>
  <c r="D1089" i="2"/>
  <c r="D1090" i="2"/>
  <c r="D1091" i="2"/>
  <c r="D1092" i="2"/>
  <c r="D1093" i="2"/>
  <c r="D1094" i="2"/>
  <c r="D1095" i="2"/>
  <c r="D1096" i="2"/>
  <c r="D1097" i="2"/>
  <c r="D1098" i="2"/>
  <c r="D1099" i="2"/>
  <c r="D1100" i="2"/>
  <c r="D1101" i="2"/>
  <c r="D1102" i="2"/>
  <c r="D1103" i="2"/>
  <c r="D1104" i="2"/>
  <c r="D1105" i="2"/>
  <c r="D1106" i="2"/>
  <c r="D1107" i="2"/>
  <c r="D1108" i="2"/>
  <c r="D1109" i="2"/>
  <c r="D1110" i="2"/>
  <c r="D1111" i="2"/>
  <c r="D1112" i="2"/>
  <c r="D1113" i="2"/>
  <c r="D1114" i="2"/>
  <c r="D1115" i="2"/>
  <c r="D1116" i="2"/>
  <c r="D1117" i="2"/>
  <c r="D1118" i="2"/>
  <c r="D1119" i="2"/>
  <c r="D1120" i="2"/>
  <c r="D1121" i="2"/>
  <c r="D1122" i="2"/>
  <c r="D1123" i="2"/>
  <c r="D1124" i="2"/>
  <c r="D1125" i="2"/>
  <c r="D1126" i="2"/>
  <c r="D1127" i="2"/>
  <c r="D1128" i="2"/>
  <c r="D1129" i="2"/>
  <c r="D1130" i="2"/>
  <c r="D1131" i="2"/>
  <c r="D1132" i="2"/>
  <c r="D1133" i="2"/>
  <c r="D1134" i="2"/>
  <c r="D1135" i="2"/>
  <c r="D1136" i="2"/>
  <c r="D1137" i="2"/>
  <c r="D1138" i="2"/>
  <c r="D1139" i="2"/>
  <c r="D1140" i="2"/>
  <c r="D1141" i="2"/>
  <c r="D1142" i="2"/>
  <c r="D1143" i="2"/>
  <c r="D1144" i="2"/>
  <c r="D1145" i="2"/>
  <c r="D1146" i="2"/>
  <c r="D1147" i="2"/>
  <c r="D1148" i="2"/>
  <c r="D1149" i="2"/>
  <c r="D1150" i="2"/>
  <c r="D1151" i="2"/>
  <c r="D1152" i="2"/>
  <c r="D1153" i="2"/>
  <c r="D1154" i="2"/>
  <c r="D1155" i="2"/>
  <c r="D1156" i="2"/>
  <c r="D1157" i="2"/>
  <c r="D1158" i="2"/>
  <c r="D1159" i="2"/>
  <c r="D1160" i="2"/>
  <c r="D1161" i="2"/>
  <c r="D1162" i="2"/>
  <c r="D1163" i="2"/>
  <c r="D1164" i="2"/>
  <c r="D1165" i="2"/>
  <c r="D1166" i="2"/>
  <c r="D1167" i="2"/>
  <c r="D1168" i="2"/>
  <c r="D1169" i="2"/>
  <c r="D1170" i="2"/>
  <c r="D1171" i="2"/>
  <c r="D1172" i="2"/>
  <c r="D1173" i="2"/>
  <c r="D1174" i="2"/>
  <c r="D1175" i="2"/>
  <c r="D1176" i="2"/>
  <c r="D1177" i="2"/>
  <c r="D1178" i="2"/>
  <c r="D1179" i="2"/>
  <c r="D1180" i="2"/>
  <c r="D1181" i="2"/>
  <c r="D1182" i="2"/>
  <c r="D1183" i="2"/>
  <c r="D1184" i="2"/>
  <c r="D1185" i="2"/>
  <c r="D1186" i="2"/>
  <c r="D1187" i="2"/>
  <c r="D1188" i="2"/>
  <c r="D1189" i="2"/>
  <c r="D1190" i="2"/>
  <c r="D1191" i="2"/>
  <c r="D1192" i="2"/>
  <c r="D1193" i="2"/>
  <c r="D1194" i="2"/>
  <c r="D1195" i="2"/>
  <c r="D1196" i="2"/>
  <c r="D1197" i="2"/>
  <c r="D1198" i="2"/>
  <c r="D1199" i="2"/>
  <c r="D1200" i="2"/>
  <c r="D1201" i="2"/>
  <c r="D1202" i="2"/>
  <c r="D1203" i="2"/>
  <c r="D1204" i="2"/>
  <c r="D1205" i="2"/>
  <c r="D1206" i="2"/>
  <c r="D1207" i="2"/>
  <c r="D1208" i="2"/>
  <c r="D1209" i="2"/>
  <c r="D1210" i="2"/>
  <c r="D1211" i="2"/>
  <c r="D1212" i="2"/>
  <c r="D1213" i="2"/>
  <c r="D1214" i="2"/>
  <c r="D1215" i="2"/>
  <c r="D1216" i="2"/>
  <c r="D1217" i="2"/>
  <c r="D1218" i="2"/>
  <c r="D1219" i="2"/>
  <c r="D1220" i="2"/>
  <c r="D1221" i="2"/>
  <c r="D1222" i="2"/>
  <c r="D1223" i="2"/>
  <c r="D1224" i="2"/>
  <c r="D1225" i="2"/>
  <c r="D1226" i="2"/>
  <c r="D1227" i="2"/>
  <c r="D1228" i="2"/>
  <c r="D1229" i="2"/>
  <c r="D1230" i="2"/>
  <c r="D1231" i="2"/>
  <c r="D1232" i="2"/>
  <c r="D1233" i="2"/>
  <c r="D1234" i="2"/>
  <c r="D1235" i="2"/>
  <c r="D1236" i="2"/>
  <c r="D1237" i="2"/>
  <c r="D1238" i="2"/>
  <c r="D1239" i="2"/>
  <c r="D1240" i="2"/>
  <c r="D1241" i="2"/>
  <c r="D1242" i="2"/>
  <c r="D1243" i="2"/>
  <c r="D1244" i="2"/>
  <c r="D1245" i="2"/>
  <c r="D1246" i="2"/>
  <c r="D1247" i="2"/>
  <c r="D1248" i="2"/>
  <c r="D1249" i="2"/>
  <c r="D1250" i="2"/>
  <c r="D1251" i="2"/>
  <c r="D1252" i="2"/>
  <c r="D1253" i="2"/>
  <c r="D1254" i="2"/>
  <c r="D1255" i="2"/>
  <c r="D1256" i="2"/>
  <c r="D1257" i="2"/>
  <c r="D1258" i="2"/>
  <c r="D1259" i="2"/>
  <c r="D1260" i="2"/>
  <c r="D1261" i="2"/>
  <c r="D1262" i="2"/>
  <c r="D1263" i="2"/>
  <c r="D1264" i="2"/>
  <c r="D1265" i="2"/>
  <c r="D1266" i="2"/>
  <c r="D1267" i="2"/>
  <c r="D1268" i="2"/>
  <c r="D1269" i="2"/>
  <c r="D1270" i="2"/>
  <c r="D1271" i="2"/>
  <c r="D1272" i="2"/>
  <c r="D1273" i="2"/>
  <c r="D1274" i="2"/>
  <c r="D1275" i="2"/>
  <c r="D1276" i="2"/>
  <c r="D1277" i="2"/>
  <c r="D1278" i="2"/>
  <c r="D1279" i="2"/>
  <c r="D1280" i="2"/>
  <c r="D1281" i="2"/>
  <c r="D1282" i="2"/>
  <c r="D1283" i="2"/>
  <c r="D1284" i="2"/>
  <c r="D1285" i="2"/>
  <c r="D1286" i="2"/>
  <c r="D1287" i="2"/>
  <c r="D1288" i="2"/>
  <c r="D1289" i="2"/>
  <c r="D1290" i="2"/>
  <c r="D1291" i="2"/>
  <c r="D1292" i="2"/>
  <c r="D1293" i="2"/>
  <c r="D1294" i="2"/>
  <c r="D1295" i="2"/>
  <c r="D1296" i="2"/>
  <c r="D1297" i="2"/>
  <c r="D1298" i="2"/>
  <c r="D1299" i="2"/>
  <c r="D1300" i="2"/>
  <c r="D1301" i="2"/>
  <c r="D1302" i="2"/>
  <c r="D1303" i="2"/>
  <c r="D1304" i="2"/>
  <c r="D1305" i="2"/>
  <c r="D1306" i="2"/>
  <c r="D1307" i="2"/>
  <c r="D1308" i="2"/>
  <c r="D1309" i="2"/>
  <c r="D1310" i="2"/>
  <c r="D1311" i="2"/>
  <c r="D1312" i="2"/>
  <c r="D1313" i="2"/>
  <c r="D1314" i="2"/>
  <c r="D1315" i="2"/>
  <c r="D1316" i="2"/>
  <c r="D1317" i="2"/>
  <c r="D1318" i="2"/>
  <c r="D1319" i="2"/>
  <c r="D1320" i="2"/>
  <c r="D1321" i="2"/>
  <c r="D1322" i="2"/>
  <c r="D1323" i="2"/>
  <c r="D1324" i="2"/>
  <c r="D1325" i="2"/>
  <c r="D1326" i="2"/>
  <c r="D1327" i="2"/>
  <c r="D1328" i="2"/>
  <c r="D1329" i="2"/>
  <c r="D1330" i="2"/>
  <c r="D1331" i="2"/>
  <c r="D1332" i="2"/>
  <c r="D1333" i="2"/>
  <c r="D1334" i="2"/>
  <c r="D1335" i="2"/>
  <c r="D1336" i="2"/>
  <c r="D1337" i="2"/>
  <c r="D1338" i="2"/>
  <c r="D1339" i="2"/>
  <c r="D1340" i="2"/>
  <c r="D1341" i="2"/>
  <c r="D1342" i="2"/>
  <c r="D1343" i="2"/>
  <c r="D1344" i="2"/>
  <c r="D1345" i="2"/>
  <c r="D1346" i="2"/>
  <c r="D1347" i="2"/>
  <c r="D1348" i="2"/>
  <c r="D1349" i="2"/>
  <c r="D1350" i="2"/>
  <c r="D1351" i="2"/>
  <c r="D1352" i="2"/>
  <c r="D1353" i="2"/>
  <c r="D1354" i="2"/>
  <c r="D1355" i="2"/>
  <c r="D1356" i="2"/>
  <c r="D1357" i="2"/>
  <c r="D1358" i="2"/>
  <c r="D1359" i="2"/>
  <c r="D1360" i="2"/>
  <c r="D1361" i="2"/>
  <c r="D1362" i="2"/>
  <c r="D1363" i="2"/>
  <c r="D1364" i="2"/>
  <c r="D1365" i="2"/>
  <c r="D1366" i="2"/>
  <c r="D1367" i="2"/>
  <c r="D1368" i="2"/>
  <c r="D1369" i="2"/>
  <c r="D1370" i="2"/>
  <c r="D1371" i="2"/>
  <c r="D1372" i="2"/>
  <c r="D1373" i="2"/>
  <c r="D1374" i="2"/>
  <c r="D1375" i="2"/>
  <c r="D1376" i="2"/>
  <c r="D1377" i="2"/>
  <c r="D1378" i="2"/>
  <c r="D1379" i="2"/>
  <c r="D1380" i="2"/>
  <c r="D1381" i="2"/>
  <c r="D1382" i="2"/>
  <c r="D1383" i="2"/>
  <c r="D1384" i="2"/>
  <c r="D1385" i="2"/>
  <c r="D1386" i="2"/>
  <c r="D1387" i="2"/>
  <c r="D1388" i="2"/>
  <c r="D1389" i="2"/>
  <c r="D1390" i="2"/>
  <c r="D1391" i="2"/>
  <c r="D1392" i="2"/>
  <c r="D1393" i="2"/>
  <c r="D1394" i="2"/>
  <c r="D1395" i="2"/>
  <c r="D1396" i="2"/>
  <c r="D1397" i="2"/>
  <c r="D1398" i="2"/>
  <c r="D1399" i="2"/>
  <c r="D1400" i="2"/>
  <c r="D1401" i="2"/>
  <c r="D1402" i="2"/>
  <c r="D1403" i="2"/>
  <c r="D1404" i="2"/>
  <c r="D1405" i="2"/>
  <c r="D1406" i="2"/>
  <c r="D1407" i="2"/>
  <c r="D1408" i="2"/>
  <c r="D1409" i="2"/>
  <c r="D1410" i="2"/>
  <c r="D1411" i="2"/>
  <c r="D1412" i="2"/>
  <c r="D1413" i="2"/>
  <c r="D1414" i="2"/>
  <c r="D1415" i="2"/>
  <c r="D1416" i="2"/>
  <c r="D1417" i="2"/>
  <c r="D1418" i="2"/>
  <c r="D1419" i="2"/>
  <c r="D1420" i="2"/>
  <c r="D1421" i="2"/>
  <c r="D1422" i="2"/>
  <c r="D1423" i="2"/>
  <c r="D1424" i="2"/>
  <c r="D1425" i="2"/>
  <c r="D1426" i="2"/>
  <c r="D1427" i="2"/>
  <c r="D1428" i="2"/>
  <c r="D1429" i="2"/>
  <c r="D1430" i="2"/>
  <c r="D1431" i="2"/>
  <c r="D1432" i="2"/>
  <c r="D1433" i="2"/>
  <c r="D1434" i="2"/>
  <c r="D1435" i="2"/>
  <c r="D1436" i="2"/>
  <c r="D1437" i="2"/>
  <c r="D1438" i="2"/>
  <c r="D1439" i="2"/>
  <c r="D1440" i="2"/>
  <c r="D1441" i="2"/>
  <c r="D1442" i="2"/>
  <c r="D1443" i="2"/>
  <c r="D1444" i="2"/>
  <c r="D1445" i="2"/>
  <c r="D1446" i="2"/>
  <c r="D1447" i="2"/>
  <c r="D1448" i="2"/>
  <c r="D1449" i="2"/>
  <c r="D1450" i="2"/>
  <c r="D1451" i="2"/>
  <c r="D1452" i="2"/>
  <c r="D1453" i="2"/>
  <c r="D1454" i="2"/>
  <c r="D1455" i="2"/>
  <c r="D1456" i="2"/>
  <c r="D1457" i="2"/>
  <c r="D1458" i="2"/>
  <c r="D1459" i="2"/>
  <c r="D1460" i="2"/>
  <c r="D1461" i="2"/>
  <c r="D1462" i="2"/>
  <c r="D1463" i="2"/>
  <c r="D1464" i="2"/>
  <c r="D1465" i="2"/>
  <c r="D1466" i="2"/>
  <c r="D1467" i="2"/>
  <c r="D1468" i="2"/>
  <c r="D1469" i="2"/>
  <c r="D1470" i="2"/>
  <c r="D1471" i="2"/>
  <c r="D1472" i="2"/>
  <c r="D1473" i="2"/>
  <c r="D1474" i="2"/>
  <c r="D1475" i="2"/>
  <c r="D1476" i="2"/>
  <c r="D1477" i="2"/>
  <c r="D1478" i="2"/>
  <c r="D1479" i="2"/>
  <c r="D1480" i="2"/>
  <c r="D1481" i="2"/>
  <c r="D1482" i="2"/>
  <c r="D1483" i="2"/>
  <c r="D1484" i="2"/>
  <c r="D1485" i="2"/>
  <c r="D1486" i="2"/>
  <c r="D1487" i="2"/>
  <c r="D1488" i="2"/>
  <c r="D1489" i="2"/>
  <c r="D1490" i="2"/>
  <c r="D1491" i="2"/>
  <c r="D1492" i="2"/>
  <c r="D1493" i="2"/>
  <c r="D1494" i="2"/>
  <c r="D1495" i="2"/>
  <c r="D1496" i="2"/>
  <c r="D1497" i="2"/>
  <c r="D1498" i="2"/>
  <c r="D1499" i="2"/>
  <c r="D1500" i="2"/>
  <c r="D1501" i="2"/>
  <c r="D1502" i="2"/>
  <c r="D1503" i="2"/>
  <c r="D1504" i="2"/>
  <c r="D1505" i="2"/>
  <c r="D1506" i="2"/>
  <c r="D1507" i="2"/>
  <c r="D1508" i="2"/>
  <c r="D1509" i="2"/>
  <c r="D1510" i="2"/>
  <c r="D1511" i="2"/>
  <c r="D1512" i="2"/>
  <c r="D1513" i="2"/>
  <c r="D1514" i="2"/>
  <c r="D1515" i="2"/>
  <c r="D1516" i="2"/>
  <c r="D1517" i="2"/>
  <c r="D1518" i="2"/>
  <c r="D1519" i="2"/>
  <c r="D1520" i="2"/>
  <c r="D1521" i="2"/>
  <c r="D1522" i="2"/>
  <c r="D1523" i="2"/>
  <c r="D1524" i="2"/>
  <c r="D1525" i="2"/>
  <c r="D1526" i="2"/>
  <c r="D1527" i="2"/>
  <c r="D1528" i="2"/>
  <c r="D1529" i="2"/>
  <c r="D1530" i="2"/>
  <c r="D1531" i="2"/>
  <c r="D1532" i="2"/>
  <c r="D1533" i="2"/>
  <c r="D1534" i="2"/>
  <c r="D1535" i="2"/>
  <c r="D1536" i="2"/>
  <c r="D1537" i="2"/>
  <c r="D1538" i="2"/>
  <c r="D1539" i="2"/>
  <c r="D1540" i="2"/>
  <c r="D1541" i="2"/>
  <c r="D1542" i="2"/>
  <c r="D1543" i="2"/>
  <c r="D1544" i="2"/>
  <c r="D1545" i="2"/>
  <c r="D1546" i="2"/>
  <c r="D1547" i="2"/>
  <c r="D1548" i="2"/>
  <c r="D1549" i="2"/>
  <c r="D1550" i="2"/>
  <c r="D1551" i="2"/>
  <c r="D1552" i="2"/>
  <c r="D1553" i="2"/>
  <c r="D1554" i="2"/>
  <c r="D1555" i="2"/>
  <c r="D1556" i="2"/>
  <c r="D1557" i="2"/>
  <c r="D1558" i="2"/>
  <c r="D1559" i="2"/>
  <c r="D1560" i="2"/>
  <c r="D1561" i="2"/>
  <c r="D1562" i="2"/>
  <c r="D1563" i="2"/>
  <c r="D1564" i="2"/>
  <c r="D1565" i="2"/>
  <c r="D1566" i="2"/>
  <c r="D1567" i="2"/>
  <c r="D1568" i="2"/>
  <c r="D1569" i="2"/>
  <c r="D1570" i="2"/>
  <c r="D1571" i="2"/>
  <c r="D1572" i="2"/>
  <c r="D1573" i="2"/>
  <c r="D1574" i="2"/>
  <c r="D1575" i="2"/>
  <c r="D1576" i="2"/>
  <c r="D1577" i="2"/>
  <c r="D1578" i="2"/>
  <c r="D1579" i="2"/>
  <c r="D1580" i="2"/>
  <c r="D1581" i="2"/>
  <c r="D1582" i="2"/>
  <c r="D1583" i="2"/>
  <c r="D1584" i="2"/>
  <c r="D1585" i="2"/>
  <c r="D1586" i="2"/>
  <c r="D1587" i="2"/>
  <c r="D1588" i="2"/>
  <c r="D1589" i="2"/>
  <c r="D1590" i="2"/>
  <c r="D1591" i="2"/>
  <c r="D1592" i="2"/>
  <c r="D1593" i="2"/>
  <c r="D1594" i="2"/>
  <c r="D1595" i="2"/>
  <c r="D1596" i="2"/>
  <c r="D1597" i="2"/>
  <c r="D1598" i="2"/>
  <c r="D1599" i="2"/>
  <c r="D1600" i="2"/>
  <c r="D1601" i="2"/>
  <c r="D1602" i="2"/>
  <c r="D1603" i="2"/>
  <c r="D1604" i="2"/>
  <c r="D1605" i="2"/>
  <c r="D1606" i="2"/>
  <c r="D1607" i="2"/>
  <c r="D1608" i="2"/>
  <c r="D1609" i="2"/>
  <c r="D1610" i="2"/>
  <c r="D1611" i="2"/>
  <c r="D1612" i="2"/>
  <c r="D1613" i="2"/>
  <c r="D1614" i="2"/>
  <c r="D1615" i="2"/>
  <c r="D1616" i="2"/>
  <c r="D1617" i="2"/>
  <c r="D1618" i="2"/>
  <c r="D1619" i="2"/>
  <c r="D1620" i="2"/>
  <c r="D1621" i="2"/>
  <c r="D1622" i="2"/>
  <c r="D1623" i="2"/>
  <c r="D1624" i="2"/>
  <c r="D1625" i="2"/>
  <c r="D1626" i="2"/>
  <c r="D1627" i="2"/>
  <c r="D1628" i="2"/>
  <c r="D1629" i="2"/>
  <c r="D1630" i="2"/>
  <c r="D1631" i="2"/>
  <c r="D1632" i="2"/>
  <c r="D1633" i="2"/>
  <c r="D1634" i="2"/>
  <c r="D1635" i="2"/>
  <c r="D1636" i="2"/>
  <c r="D1637" i="2"/>
  <c r="D1638" i="2"/>
  <c r="D1639" i="2"/>
  <c r="D1640" i="2"/>
  <c r="D1641" i="2"/>
  <c r="D1642" i="2"/>
  <c r="D1643" i="2"/>
  <c r="D1644" i="2"/>
  <c r="D1645" i="2"/>
  <c r="D1646" i="2"/>
  <c r="D1647" i="2"/>
  <c r="D1648" i="2"/>
  <c r="D1649" i="2"/>
  <c r="D1650" i="2"/>
  <c r="D1651" i="2"/>
  <c r="D1652" i="2"/>
  <c r="D1653" i="2"/>
  <c r="D1654" i="2"/>
  <c r="D1655" i="2"/>
  <c r="D1656" i="2"/>
  <c r="D1657" i="2"/>
  <c r="D1658" i="2"/>
  <c r="D1659" i="2"/>
  <c r="D1660" i="2"/>
  <c r="D1661" i="2"/>
  <c r="D1662" i="2"/>
  <c r="D1663" i="2"/>
  <c r="D1664" i="2"/>
  <c r="D1665" i="2"/>
  <c r="D1666" i="2"/>
  <c r="D1667" i="2"/>
  <c r="D1668" i="2"/>
  <c r="D1669" i="2"/>
  <c r="D1670" i="2"/>
  <c r="D1671" i="2"/>
  <c r="D1672" i="2"/>
  <c r="D1673" i="2"/>
  <c r="D1674" i="2"/>
  <c r="D1675" i="2"/>
  <c r="D1676" i="2"/>
  <c r="D1677" i="2"/>
  <c r="D1678" i="2"/>
  <c r="D1679" i="2"/>
  <c r="D1680" i="2"/>
  <c r="D1681" i="2"/>
  <c r="D1682" i="2"/>
  <c r="D1683" i="2"/>
  <c r="D1684" i="2"/>
  <c r="D1685" i="2"/>
  <c r="D1686" i="2"/>
  <c r="D1687" i="2"/>
  <c r="D1688" i="2"/>
  <c r="D1689" i="2"/>
  <c r="D1690" i="2"/>
  <c r="D1691" i="2"/>
  <c r="D1692" i="2"/>
  <c r="D1693" i="2"/>
  <c r="D1694" i="2"/>
  <c r="D1695" i="2"/>
  <c r="D1696" i="2"/>
  <c r="D1697" i="2"/>
  <c r="D1698" i="2"/>
  <c r="D1699" i="2"/>
  <c r="D1700" i="2"/>
  <c r="D1701" i="2"/>
  <c r="D1702" i="2"/>
  <c r="D1703" i="2"/>
  <c r="D1704" i="2"/>
  <c r="D1705" i="2"/>
  <c r="D1706" i="2"/>
  <c r="D1707" i="2"/>
  <c r="D1708" i="2"/>
  <c r="D1709" i="2"/>
  <c r="D1710" i="2"/>
  <c r="D1711" i="2"/>
  <c r="D1712" i="2"/>
  <c r="D1713" i="2"/>
  <c r="D1714" i="2"/>
  <c r="D1715" i="2"/>
  <c r="D1716" i="2"/>
  <c r="D1717" i="2"/>
  <c r="D1718" i="2"/>
  <c r="D1719" i="2"/>
  <c r="D1720" i="2"/>
  <c r="D1721" i="2"/>
  <c r="D1722" i="2"/>
  <c r="D1723" i="2"/>
  <c r="D1724" i="2"/>
  <c r="D1725" i="2"/>
  <c r="D1726" i="2"/>
  <c r="D1727" i="2"/>
  <c r="D1728" i="2"/>
  <c r="D1729" i="2"/>
  <c r="D1730" i="2"/>
  <c r="D1731" i="2"/>
  <c r="D1732" i="2"/>
  <c r="D1733" i="2"/>
  <c r="D1734" i="2"/>
  <c r="D1735" i="2"/>
  <c r="D1736" i="2"/>
  <c r="D1737" i="2"/>
  <c r="D1738" i="2"/>
  <c r="D1739" i="2"/>
  <c r="D1740" i="2"/>
  <c r="D1741" i="2"/>
  <c r="D1742" i="2"/>
  <c r="D1743" i="2"/>
  <c r="D1744" i="2"/>
  <c r="D1745" i="2"/>
  <c r="D1746" i="2"/>
  <c r="D1747" i="2"/>
  <c r="D1748" i="2"/>
  <c r="D1749" i="2"/>
  <c r="D1750" i="2"/>
  <c r="D1751" i="2"/>
  <c r="D1752" i="2"/>
  <c r="D1753" i="2"/>
  <c r="D1754" i="2"/>
  <c r="D1755" i="2"/>
  <c r="D1756" i="2"/>
  <c r="D1757" i="2"/>
  <c r="D1758" i="2"/>
  <c r="D1759" i="2"/>
  <c r="D1760" i="2"/>
  <c r="D1761" i="2"/>
  <c r="D1762" i="2"/>
  <c r="D1763" i="2"/>
  <c r="D1764" i="2"/>
  <c r="D1765" i="2"/>
  <c r="D1766" i="2"/>
  <c r="D1767" i="2"/>
  <c r="D1768" i="2"/>
  <c r="D1769" i="2"/>
  <c r="D1770" i="2"/>
  <c r="D1771" i="2"/>
  <c r="D1772" i="2"/>
  <c r="D1773" i="2"/>
  <c r="D1774" i="2"/>
  <c r="D1775" i="2"/>
  <c r="D1776" i="2"/>
  <c r="D1777" i="2"/>
  <c r="D1778" i="2"/>
  <c r="D1779" i="2"/>
  <c r="D1780" i="2"/>
  <c r="D1781" i="2"/>
  <c r="D1782" i="2"/>
  <c r="D1783" i="2"/>
  <c r="D1784" i="2"/>
  <c r="D1785" i="2"/>
  <c r="D1786" i="2"/>
  <c r="D1787" i="2"/>
  <c r="D1788" i="2"/>
  <c r="D1789" i="2"/>
  <c r="D1790" i="2"/>
  <c r="D1791" i="2"/>
  <c r="D1792" i="2"/>
  <c r="D1793" i="2"/>
  <c r="D1794" i="2"/>
  <c r="D1795" i="2"/>
  <c r="D1796" i="2"/>
  <c r="D1797" i="2"/>
  <c r="D1798" i="2"/>
  <c r="D1799" i="2"/>
  <c r="D1800" i="2"/>
  <c r="D1801" i="2"/>
  <c r="D1802" i="2"/>
  <c r="D1803" i="2"/>
  <c r="D1804" i="2"/>
  <c r="D1805" i="2"/>
  <c r="D1806" i="2"/>
  <c r="D1807" i="2"/>
  <c r="D1808" i="2"/>
  <c r="D1809" i="2"/>
  <c r="D1810" i="2"/>
  <c r="D1811" i="2"/>
  <c r="D1812" i="2"/>
  <c r="D1813" i="2"/>
  <c r="D1814" i="2"/>
  <c r="D1815" i="2"/>
  <c r="D1816" i="2"/>
  <c r="D1817" i="2"/>
  <c r="D1818" i="2"/>
  <c r="D1819" i="2"/>
  <c r="D1820" i="2"/>
  <c r="D1821" i="2"/>
  <c r="D1822" i="2"/>
  <c r="D1823" i="2"/>
  <c r="D1824" i="2"/>
  <c r="D1825" i="2"/>
  <c r="D1826" i="2"/>
  <c r="D1827" i="2"/>
  <c r="D1828" i="2"/>
  <c r="D1829" i="2"/>
  <c r="D1830" i="2"/>
  <c r="D1831" i="2"/>
  <c r="D1832" i="2"/>
  <c r="D1833" i="2"/>
  <c r="D1834" i="2"/>
  <c r="D1835" i="2"/>
  <c r="D1836" i="2"/>
  <c r="D1837" i="2"/>
  <c r="D1838" i="2"/>
  <c r="D1839" i="2"/>
  <c r="D1840" i="2"/>
  <c r="D1841" i="2"/>
  <c r="D1842" i="2"/>
  <c r="D1843" i="2"/>
  <c r="D1844" i="2"/>
  <c r="D1845" i="2"/>
  <c r="D1846" i="2"/>
  <c r="D1847" i="2"/>
  <c r="D1848" i="2"/>
  <c r="D1849" i="2"/>
  <c r="D1850" i="2"/>
  <c r="D1851" i="2"/>
  <c r="D1852" i="2"/>
  <c r="D1853" i="2"/>
  <c r="D1854" i="2"/>
  <c r="D1855" i="2"/>
  <c r="D1856" i="2"/>
  <c r="D1857" i="2"/>
  <c r="D1858" i="2"/>
  <c r="D1859" i="2"/>
  <c r="D1860" i="2"/>
  <c r="D1861" i="2"/>
  <c r="D1862" i="2"/>
  <c r="D1863" i="2"/>
  <c r="D1864" i="2"/>
  <c r="D1865" i="2"/>
  <c r="D1866" i="2"/>
  <c r="D1867" i="2"/>
  <c r="D1868" i="2"/>
  <c r="D1869" i="2"/>
  <c r="D1870" i="2"/>
  <c r="D1871" i="2"/>
  <c r="D1872" i="2"/>
  <c r="D1873" i="2"/>
  <c r="D1874" i="2"/>
  <c r="D1875" i="2"/>
  <c r="D1876" i="2"/>
  <c r="D1877" i="2"/>
  <c r="D1878" i="2"/>
  <c r="D1879" i="2"/>
  <c r="D1880" i="2"/>
  <c r="D1881" i="2"/>
  <c r="D1882" i="2"/>
  <c r="D1883" i="2"/>
  <c r="D1884" i="2"/>
  <c r="D1885" i="2"/>
  <c r="D1886" i="2"/>
  <c r="D1887" i="2"/>
  <c r="D1888" i="2"/>
  <c r="D1889" i="2"/>
  <c r="D1890" i="2"/>
  <c r="D1891" i="2"/>
  <c r="D1892" i="2"/>
  <c r="D1893" i="2"/>
  <c r="D1894" i="2"/>
  <c r="D1895" i="2"/>
  <c r="D1896" i="2"/>
  <c r="D1897" i="2"/>
  <c r="D1898" i="2"/>
  <c r="D1899" i="2"/>
  <c r="D1900" i="2"/>
  <c r="D1901" i="2"/>
  <c r="D1902" i="2"/>
  <c r="D1903" i="2"/>
  <c r="D1904" i="2"/>
  <c r="D1905" i="2"/>
  <c r="D1906" i="2"/>
  <c r="D1907" i="2"/>
  <c r="D1908" i="2"/>
  <c r="D1909" i="2"/>
  <c r="D1910" i="2"/>
  <c r="D1911" i="2"/>
  <c r="D1912" i="2"/>
  <c r="D1913" i="2"/>
  <c r="D1914" i="2"/>
  <c r="D1915" i="2"/>
  <c r="D1916" i="2"/>
  <c r="D1917" i="2"/>
  <c r="D1918" i="2"/>
  <c r="D1919" i="2"/>
  <c r="D1920" i="2"/>
  <c r="D1921" i="2"/>
  <c r="D1922" i="2"/>
  <c r="D1923" i="2"/>
  <c r="D1924" i="2"/>
  <c r="D1925" i="2"/>
  <c r="D1926" i="2"/>
  <c r="D1927" i="2"/>
  <c r="D1928" i="2"/>
  <c r="D1929" i="2"/>
  <c r="D1930" i="2"/>
  <c r="D1931" i="2"/>
  <c r="D1932" i="2"/>
  <c r="D1933" i="2"/>
  <c r="D1934" i="2"/>
  <c r="D1935" i="2"/>
  <c r="D1936" i="2"/>
  <c r="D1937" i="2"/>
  <c r="D1938" i="2"/>
  <c r="D1939" i="2"/>
  <c r="D1940" i="2"/>
  <c r="D1941" i="2"/>
  <c r="D1942" i="2"/>
  <c r="D1943" i="2"/>
  <c r="D1944" i="2"/>
  <c r="D1945" i="2"/>
  <c r="D1946" i="2"/>
  <c r="D1947" i="2"/>
  <c r="D1948" i="2"/>
  <c r="D1949" i="2"/>
  <c r="D1950" i="2"/>
  <c r="D1951" i="2"/>
  <c r="D1952" i="2"/>
  <c r="D1953" i="2"/>
  <c r="D1954" i="2"/>
  <c r="D1955" i="2"/>
  <c r="D1956" i="2"/>
  <c r="D1957" i="2"/>
  <c r="D1958" i="2"/>
  <c r="D1959" i="2"/>
  <c r="D1960" i="2"/>
  <c r="D1961" i="2"/>
  <c r="D1962" i="2"/>
  <c r="D1963" i="2"/>
  <c r="D1964" i="2"/>
  <c r="D1965" i="2"/>
  <c r="D1966" i="2"/>
  <c r="D1967" i="2"/>
  <c r="D1968" i="2"/>
  <c r="D1969" i="2"/>
  <c r="D1970" i="2"/>
  <c r="D1971" i="2"/>
  <c r="D1972" i="2"/>
  <c r="D1973" i="2"/>
  <c r="D1974" i="2"/>
  <c r="D1975" i="2"/>
  <c r="D1976" i="2"/>
  <c r="D1977" i="2"/>
  <c r="D1978" i="2"/>
  <c r="D1979" i="2"/>
  <c r="D1980" i="2"/>
  <c r="D1981" i="2"/>
  <c r="J1870" i="2"/>
  <c r="M1870" i="2" s="1"/>
  <c r="J1457" i="2"/>
  <c r="J1458" i="2"/>
  <c r="L1458" i="2" s="1"/>
  <c r="J1467" i="2"/>
  <c r="M1467" i="2" s="1"/>
  <c r="J1468" i="2"/>
  <c r="M1468" i="2" s="1"/>
  <c r="J1469" i="2"/>
  <c r="M1469" i="2" s="1"/>
  <c r="J1516" i="2"/>
  <c r="M1516" i="2" s="1"/>
  <c r="J1517" i="2"/>
  <c r="M1517" i="2" s="1"/>
  <c r="J1576" i="2"/>
  <c r="M1576" i="2" s="1"/>
  <c r="J1577" i="2"/>
  <c r="M1577" i="2" s="1"/>
  <c r="J1578" i="2"/>
  <c r="L1578" i="2" s="1"/>
  <c r="J1587" i="2"/>
  <c r="M1587" i="2" s="1"/>
  <c r="J1627" i="2"/>
  <c r="L1627" i="2" s="1"/>
  <c r="J1635" i="2"/>
  <c r="M1635" i="2" s="1"/>
  <c r="J1636" i="2"/>
  <c r="M1636" i="2" s="1"/>
  <c r="J1637" i="2"/>
  <c r="M1637" i="2" s="1"/>
  <c r="J560" i="2"/>
  <c r="M560" i="2" s="1"/>
  <c r="J607" i="2"/>
  <c r="J617" i="2"/>
  <c r="M617" i="2" s="1"/>
  <c r="J618" i="2"/>
  <c r="M618" i="2" s="1"/>
  <c r="J677" i="2"/>
  <c r="J678" i="2"/>
  <c r="M678" i="2" s="1"/>
  <c r="J725" i="2"/>
  <c r="M725" i="2" s="1"/>
  <c r="J726" i="2"/>
  <c r="M726" i="2" s="1"/>
  <c r="J729" i="2"/>
  <c r="J737" i="2"/>
  <c r="J836" i="2"/>
  <c r="L836" i="2" s="1"/>
  <c r="J837" i="2"/>
  <c r="M837" i="2" s="1"/>
  <c r="J845" i="2"/>
  <c r="J894" i="2"/>
  <c r="M894" i="2" s="1"/>
  <c r="J896" i="2"/>
  <c r="J929" i="2"/>
  <c r="M929" i="2" s="1"/>
  <c r="J931" i="2"/>
  <c r="M931" i="2" s="1"/>
  <c r="J932" i="2"/>
  <c r="J953" i="2"/>
  <c r="J954" i="2"/>
  <c r="L954" i="2" s="1"/>
  <c r="J956" i="2"/>
  <c r="M956" i="2" s="1"/>
  <c r="J958" i="2"/>
  <c r="M958" i="2" s="1"/>
  <c r="J982" i="2"/>
  <c r="J1001" i="2"/>
  <c r="M1001" i="2" s="1"/>
  <c r="J1002" i="2"/>
  <c r="L1002" i="2" s="1"/>
  <c r="J1025" i="2"/>
  <c r="J1026" i="2"/>
  <c r="J1049" i="2"/>
  <c r="J1050" i="2"/>
  <c r="L1050" i="2" s="1"/>
  <c r="J1052" i="2"/>
  <c r="L1052" i="2" s="1"/>
  <c r="J1054" i="2"/>
  <c r="J1073" i="2"/>
  <c r="J1120" i="2"/>
  <c r="J1121" i="2"/>
  <c r="M1121" i="2" s="1"/>
  <c r="J1122" i="2"/>
  <c r="J1123" i="2"/>
  <c r="J1124" i="2"/>
  <c r="J1125" i="2"/>
  <c r="M1125" i="2" s="1"/>
  <c r="J1159" i="2"/>
  <c r="M1159" i="2" s="1"/>
  <c r="J1160" i="2"/>
  <c r="L1160" i="2" s="1"/>
  <c r="J1161" i="2"/>
  <c r="M1161" i="2" s="1"/>
  <c r="J1162" i="2"/>
  <c r="L1162" i="2" s="1"/>
  <c r="J1168" i="2"/>
  <c r="M1168" i="2" s="1"/>
  <c r="J1169" i="2"/>
  <c r="M1169" i="2" s="1"/>
  <c r="J1181" i="2"/>
  <c r="M1181" i="2" s="1"/>
  <c r="J1182" i="2"/>
  <c r="M1182" i="2" s="1"/>
  <c r="J1205" i="2"/>
  <c r="M1205" i="2" s="1"/>
  <c r="J1206" i="2"/>
  <c r="J1207" i="2"/>
  <c r="J1208" i="2"/>
  <c r="M1208" i="2" s="1"/>
  <c r="J1220" i="2"/>
  <c r="M1220" i="2" s="1"/>
  <c r="J1227" i="2"/>
  <c r="J1228" i="2"/>
  <c r="L1228" i="2" s="1"/>
  <c r="J1229" i="2"/>
  <c r="M1229" i="2" s="1"/>
  <c r="J1263" i="2"/>
  <c r="J1264" i="2"/>
  <c r="J1274" i="2"/>
  <c r="J1275" i="2"/>
  <c r="M1275" i="2" s="1"/>
  <c r="J1276" i="2"/>
  <c r="M1276" i="2" s="1"/>
  <c r="J1290" i="2"/>
  <c r="M1290" i="2" s="1"/>
  <c r="J1292" i="2"/>
  <c r="M1292" i="2" s="1"/>
  <c r="J1294" i="2"/>
  <c r="M1294" i="2" s="1"/>
  <c r="J1304" i="2"/>
  <c r="L1304" i="2" s="1"/>
  <c r="J1310" i="2"/>
  <c r="J1311" i="2"/>
  <c r="J1337" i="2"/>
  <c r="M1337" i="2" s="1"/>
  <c r="J1338" i="2"/>
  <c r="M1338" i="2" s="1"/>
  <c r="J1339" i="2"/>
  <c r="J1340" i="2"/>
  <c r="J1341" i="2"/>
  <c r="M1341" i="2" s="1"/>
  <c r="J1342" i="2"/>
  <c r="L1342" i="2" s="1"/>
  <c r="J1371" i="2"/>
  <c r="M1371" i="2" s="1"/>
  <c r="J1372" i="2"/>
  <c r="J1373" i="2"/>
  <c r="M1373" i="2" s="1"/>
  <c r="J1385" i="2"/>
  <c r="M1385" i="2" s="1"/>
  <c r="J1386" i="2"/>
  <c r="J1388" i="2"/>
  <c r="M1388" i="2" s="1"/>
  <c r="J10" i="2"/>
  <c r="J22" i="2"/>
  <c r="L22" i="2" s="1"/>
  <c r="J24" i="2"/>
  <c r="J35" i="2"/>
  <c r="L35" i="2" s="1"/>
  <c r="J36" i="2"/>
  <c r="J37" i="2"/>
  <c r="M37" i="2" s="1"/>
  <c r="J38" i="2"/>
  <c r="M38" i="2" s="1"/>
  <c r="J66" i="2"/>
  <c r="J74" i="2"/>
  <c r="M74" i="2" s="1"/>
  <c r="J87" i="2"/>
  <c r="L87" i="2" s="1"/>
  <c r="J88" i="2"/>
  <c r="L88" i="2" s="1"/>
  <c r="J90" i="2"/>
  <c r="M90" i="2" s="1"/>
  <c r="J118" i="2"/>
  <c r="L118" i="2" s="1"/>
  <c r="J119" i="2"/>
  <c r="M119" i="2" s="1"/>
  <c r="J131" i="2"/>
  <c r="L131" i="2" s="1"/>
  <c r="J142" i="2"/>
  <c r="M142" i="2" s="1"/>
  <c r="J143" i="2"/>
  <c r="L143" i="2" s="1"/>
  <c r="J155" i="2"/>
  <c r="L155" i="2" s="1"/>
  <c r="J190" i="2"/>
  <c r="M190" i="2" s="1"/>
  <c r="J191" i="2"/>
  <c r="M191" i="2" s="1"/>
  <c r="J198" i="2"/>
  <c r="J199" i="2"/>
  <c r="J203" i="2"/>
  <c r="L203" i="2" s="1"/>
  <c r="J210" i="2"/>
  <c r="L210" i="2" s="1"/>
  <c r="J215" i="2"/>
  <c r="J226" i="2"/>
  <c r="J227" i="2"/>
  <c r="M227" i="2" s="1"/>
  <c r="J234" i="2"/>
  <c r="L234" i="2" s="1"/>
  <c r="J235" i="2"/>
  <c r="M235" i="2" s="1"/>
  <c r="J248" i="2"/>
  <c r="M248" i="2" s="1"/>
  <c r="J250" i="2"/>
  <c r="M250" i="2" s="1"/>
  <c r="J251" i="2"/>
  <c r="L251" i="2" s="1"/>
  <c r="J258" i="2"/>
  <c r="M258" i="2" s="1"/>
  <c r="J259" i="2"/>
  <c r="J274" i="2"/>
  <c r="J275" i="2"/>
  <c r="L275" i="2" s="1"/>
  <c r="J284" i="2"/>
  <c r="L284" i="2" s="1"/>
  <c r="J285" i="2"/>
  <c r="L285" i="2" s="1"/>
  <c r="J296" i="2"/>
  <c r="J298" i="2"/>
  <c r="J299" i="2"/>
  <c r="L299" i="2" s="1"/>
  <c r="J306" i="2"/>
  <c r="L306" i="2" s="1"/>
  <c r="J307" i="2"/>
  <c r="M307" i="2" s="1"/>
  <c r="J310" i="2"/>
  <c r="M310" i="2" s="1"/>
  <c r="J330" i="2"/>
  <c r="M330" i="2" s="1"/>
  <c r="J331" i="2"/>
  <c r="L331" i="2" s="1"/>
  <c r="J332" i="2"/>
  <c r="L332" i="2" s="1"/>
  <c r="J333" i="2"/>
  <c r="M333" i="2" s="1"/>
  <c r="J334" i="2"/>
  <c r="M334" i="2" s="1"/>
  <c r="J335" i="2"/>
  <c r="J347" i="2"/>
  <c r="J354" i="2"/>
  <c r="L354" i="2" s="1"/>
  <c r="J355" i="2"/>
  <c r="L355" i="2" s="1"/>
  <c r="J359" i="2"/>
  <c r="M359" i="2" s="1"/>
  <c r="J366" i="2"/>
  <c r="L366" i="2" s="1"/>
  <c r="J378" i="2"/>
  <c r="M378" i="2" s="1"/>
  <c r="J379" i="2"/>
  <c r="M379" i="2" s="1"/>
  <c r="J380" i="2"/>
  <c r="M380" i="2" s="1"/>
  <c r="J381" i="2"/>
  <c r="M381" i="2" s="1"/>
  <c r="J382" i="2"/>
  <c r="L382" i="2" s="1"/>
  <c r="J383" i="2"/>
  <c r="M383" i="2" s="1"/>
  <c r="J390" i="2"/>
  <c r="J391" i="2"/>
  <c r="J405" i="2"/>
  <c r="L405" i="2" s="1"/>
  <c r="J406" i="2"/>
  <c r="M406" i="2" s="1"/>
  <c r="J407" i="2"/>
  <c r="M407" i="2" s="1"/>
  <c r="J414" i="2"/>
  <c r="J415" i="2"/>
  <c r="J416" i="2"/>
  <c r="J428" i="2"/>
  <c r="J429" i="2"/>
  <c r="L429" i="2" s="1"/>
  <c r="J430" i="2"/>
  <c r="L430" i="2" s="1"/>
  <c r="J431" i="2"/>
  <c r="J440" i="2"/>
  <c r="M440" i="2" s="1"/>
  <c r="J442" i="2"/>
  <c r="J453" i="2"/>
  <c r="M453" i="2" s="1"/>
  <c r="J454" i="2"/>
  <c r="M454" i="2" s="1"/>
  <c r="J455" i="2"/>
  <c r="M455" i="2" s="1"/>
  <c r="J462" i="2"/>
  <c r="M462" i="2" s="1"/>
  <c r="J463" i="2"/>
  <c r="M463" i="2" s="1"/>
  <c r="J464" i="2"/>
  <c r="M464" i="2" s="1"/>
  <c r="J466" i="2"/>
  <c r="J467" i="2"/>
  <c r="J486" i="2"/>
  <c r="M486" i="2" s="1"/>
  <c r="J487" i="2"/>
  <c r="M487" i="2" s="1"/>
  <c r="J488" i="2"/>
  <c r="M488" i="2" s="1"/>
  <c r="J490" i="2"/>
  <c r="M490" i="2" s="1"/>
  <c r="J491" i="2"/>
  <c r="M491" i="2" s="1"/>
  <c r="J503" i="2"/>
  <c r="M503" i="2" s="1"/>
  <c r="H187" i="2"/>
  <c r="J187" i="2" s="1"/>
  <c r="M187" i="2" s="1"/>
  <c r="H188" i="2"/>
  <c r="J188" i="2" s="1"/>
  <c r="M188" i="2" s="1"/>
  <c r="H189" i="2"/>
  <c r="J189" i="2" s="1"/>
  <c r="M189" i="2" s="1"/>
  <c r="H190" i="2"/>
  <c r="H191" i="2"/>
  <c r="H192" i="2"/>
  <c r="J192" i="2" s="1"/>
  <c r="H193" i="2"/>
  <c r="J193" i="2" s="1"/>
  <c r="H194" i="2"/>
  <c r="J194" i="2" s="1"/>
  <c r="M194" i="2" s="1"/>
  <c r="H195" i="2"/>
  <c r="J195" i="2" s="1"/>
  <c r="H196" i="2"/>
  <c r="J196" i="2" s="1"/>
  <c r="M196" i="2" s="1"/>
  <c r="H197" i="2"/>
  <c r="J197" i="2" s="1"/>
  <c r="M197" i="2" s="1"/>
  <c r="H198" i="2"/>
  <c r="H199" i="2"/>
  <c r="H200" i="2"/>
  <c r="J200" i="2" s="1"/>
  <c r="H201" i="2"/>
  <c r="J201" i="2" s="1"/>
  <c r="M201" i="2" s="1"/>
  <c r="H202" i="2"/>
  <c r="J202" i="2" s="1"/>
  <c r="M202" i="2" s="1"/>
  <c r="H203" i="2"/>
  <c r="H204" i="2"/>
  <c r="J204" i="2" s="1"/>
  <c r="M204" i="2" s="1"/>
  <c r="H205" i="2"/>
  <c r="J205" i="2" s="1"/>
  <c r="M205" i="2" s="1"/>
  <c r="H206" i="2"/>
  <c r="J206" i="2" s="1"/>
  <c r="M206" i="2" s="1"/>
  <c r="H207" i="2"/>
  <c r="J207" i="2" s="1"/>
  <c r="H208" i="2"/>
  <c r="J208" i="2" s="1"/>
  <c r="H209" i="2"/>
  <c r="J209" i="2" s="1"/>
  <c r="L209" i="2" s="1"/>
  <c r="H210" i="2"/>
  <c r="H211" i="2"/>
  <c r="J211" i="2" s="1"/>
  <c r="H212" i="2"/>
  <c r="J212" i="2" s="1"/>
  <c r="M212" i="2" s="1"/>
  <c r="H213" i="2"/>
  <c r="J213" i="2" s="1"/>
  <c r="H214" i="2"/>
  <c r="J214" i="2" s="1"/>
  <c r="M214" i="2" s="1"/>
  <c r="H215" i="2"/>
  <c r="H216" i="2"/>
  <c r="J216" i="2" s="1"/>
  <c r="H217" i="2"/>
  <c r="J217" i="2" s="1"/>
  <c r="M217" i="2" s="1"/>
  <c r="H218" i="2"/>
  <c r="J218" i="2" s="1"/>
  <c r="M218" i="2" s="1"/>
  <c r="H219" i="2"/>
  <c r="J219" i="2" s="1"/>
  <c r="H220" i="2"/>
  <c r="J220" i="2" s="1"/>
  <c r="H221" i="2"/>
  <c r="J221" i="2" s="1"/>
  <c r="L221" i="2" s="1"/>
  <c r="H222" i="2"/>
  <c r="J222" i="2" s="1"/>
  <c r="M222" i="2" s="1"/>
  <c r="H223" i="2"/>
  <c r="J223" i="2" s="1"/>
  <c r="M223" i="2" s="1"/>
  <c r="H224" i="2"/>
  <c r="J224" i="2" s="1"/>
  <c r="M224" i="2" s="1"/>
  <c r="H225" i="2"/>
  <c r="J225" i="2" s="1"/>
  <c r="M225" i="2" s="1"/>
  <c r="H226" i="2"/>
  <c r="H227" i="2"/>
  <c r="H228" i="2"/>
  <c r="J228" i="2" s="1"/>
  <c r="M228" i="2" s="1"/>
  <c r="H229" i="2"/>
  <c r="J229" i="2" s="1"/>
  <c r="H230" i="2"/>
  <c r="J230" i="2" s="1"/>
  <c r="M230" i="2" s="1"/>
  <c r="H231" i="2"/>
  <c r="J231" i="2" s="1"/>
  <c r="H232" i="2"/>
  <c r="J232" i="2" s="1"/>
  <c r="H233" i="2"/>
  <c r="J233" i="2" s="1"/>
  <c r="H234" i="2"/>
  <c r="H235" i="2"/>
  <c r="H236" i="2"/>
  <c r="J236" i="2" s="1"/>
  <c r="M236" i="2" s="1"/>
  <c r="H237" i="2"/>
  <c r="J237" i="2" s="1"/>
  <c r="M237" i="2" s="1"/>
  <c r="H238" i="2"/>
  <c r="J238" i="2" s="1"/>
  <c r="M238" i="2" s="1"/>
  <c r="H239" i="2"/>
  <c r="J239" i="2" s="1"/>
  <c r="M239" i="2" s="1"/>
  <c r="H240" i="2"/>
  <c r="J240" i="2" s="1"/>
  <c r="M240" i="2" s="1"/>
  <c r="H241" i="2"/>
  <c r="J241" i="2" s="1"/>
  <c r="M241" i="2" s="1"/>
  <c r="H242" i="2"/>
  <c r="J242" i="2" s="1"/>
  <c r="M242" i="2" s="1"/>
  <c r="H243" i="2"/>
  <c r="J243" i="2" s="1"/>
  <c r="H244" i="2"/>
  <c r="J244" i="2" s="1"/>
  <c r="H245" i="2"/>
  <c r="J245" i="2" s="1"/>
  <c r="H246" i="2"/>
  <c r="J246" i="2" s="1"/>
  <c r="H247" i="2"/>
  <c r="J247" i="2" s="1"/>
  <c r="M247" i="2" s="1"/>
  <c r="H248" i="2"/>
  <c r="H249" i="2"/>
  <c r="J249" i="2" s="1"/>
  <c r="L249" i="2" s="1"/>
  <c r="H250" i="2"/>
  <c r="H251" i="2"/>
  <c r="H252" i="2"/>
  <c r="J252" i="2" s="1"/>
  <c r="M252" i="2" s="1"/>
  <c r="H253" i="2"/>
  <c r="J253" i="2" s="1"/>
  <c r="M253" i="2" s="1"/>
  <c r="H254" i="2"/>
  <c r="J254" i="2" s="1"/>
  <c r="M254" i="2" s="1"/>
  <c r="H255" i="2"/>
  <c r="J255" i="2" s="1"/>
  <c r="M255" i="2" s="1"/>
  <c r="H256" i="2"/>
  <c r="J256" i="2" s="1"/>
  <c r="M256" i="2" s="1"/>
  <c r="H257" i="2"/>
  <c r="J257" i="2" s="1"/>
  <c r="M257" i="2" s="1"/>
  <c r="H258" i="2"/>
  <c r="H259" i="2"/>
  <c r="H260" i="2"/>
  <c r="J260" i="2" s="1"/>
  <c r="H261" i="2"/>
  <c r="J261" i="2" s="1"/>
  <c r="M261" i="2" s="1"/>
  <c r="H262" i="2"/>
  <c r="J262" i="2" s="1"/>
  <c r="H263" i="2"/>
  <c r="J263" i="2" s="1"/>
  <c r="L263" i="2" s="1"/>
  <c r="H264" i="2"/>
  <c r="J264" i="2" s="1"/>
  <c r="L264" i="2" s="1"/>
  <c r="H265" i="2"/>
  <c r="J265" i="2" s="1"/>
  <c r="L265" i="2" s="1"/>
  <c r="H266" i="2"/>
  <c r="J266" i="2" s="1"/>
  <c r="M266" i="2" s="1"/>
  <c r="H267" i="2"/>
  <c r="J267" i="2" s="1"/>
  <c r="H268" i="2"/>
  <c r="J268" i="2" s="1"/>
  <c r="M268" i="2" s="1"/>
  <c r="H269" i="2"/>
  <c r="J269" i="2" s="1"/>
  <c r="M269" i="2" s="1"/>
  <c r="H270" i="2"/>
  <c r="J270" i="2" s="1"/>
  <c r="H271" i="2"/>
  <c r="J271" i="2" s="1"/>
  <c r="M271" i="2" s="1"/>
  <c r="H272" i="2"/>
  <c r="J272" i="2" s="1"/>
  <c r="M272" i="2" s="1"/>
  <c r="H273" i="2"/>
  <c r="J273" i="2" s="1"/>
  <c r="L273" i="2" s="1"/>
  <c r="H274" i="2"/>
  <c r="H275" i="2"/>
  <c r="H276" i="2"/>
  <c r="J276" i="2" s="1"/>
  <c r="H277" i="2"/>
  <c r="J277" i="2" s="1"/>
  <c r="M277" i="2" s="1"/>
  <c r="H278" i="2"/>
  <c r="J278" i="2" s="1"/>
  <c r="M278" i="2" s="1"/>
  <c r="H279" i="2"/>
  <c r="J279" i="2" s="1"/>
  <c r="H280" i="2"/>
  <c r="J280" i="2" s="1"/>
  <c r="H281" i="2"/>
  <c r="J281" i="2" s="1"/>
  <c r="M281" i="2" s="1"/>
  <c r="H282" i="2"/>
  <c r="J282" i="2" s="1"/>
  <c r="M282" i="2" s="1"/>
  <c r="H283" i="2"/>
  <c r="J283" i="2" s="1"/>
  <c r="M283" i="2" s="1"/>
  <c r="H284" i="2"/>
  <c r="H285" i="2"/>
  <c r="H286" i="2"/>
  <c r="J286" i="2" s="1"/>
  <c r="H287" i="2"/>
  <c r="J287" i="2" s="1"/>
  <c r="H288" i="2"/>
  <c r="J288" i="2" s="1"/>
  <c r="M288" i="2" s="1"/>
  <c r="H289" i="2"/>
  <c r="J289" i="2" s="1"/>
  <c r="M289" i="2" s="1"/>
  <c r="H290" i="2"/>
  <c r="J290" i="2" s="1"/>
  <c r="M290" i="2" s="1"/>
  <c r="H291" i="2"/>
  <c r="J291" i="2" s="1"/>
  <c r="H292" i="2"/>
  <c r="J292" i="2" s="1"/>
  <c r="H293" i="2"/>
  <c r="J293" i="2" s="1"/>
  <c r="H294" i="2"/>
  <c r="J294" i="2" s="1"/>
  <c r="M294" i="2" s="1"/>
  <c r="H295" i="2"/>
  <c r="J295" i="2" s="1"/>
  <c r="M295" i="2" s="1"/>
  <c r="H296" i="2"/>
  <c r="H297" i="2"/>
  <c r="J297" i="2" s="1"/>
  <c r="M297" i="2" s="1"/>
  <c r="H298" i="2"/>
  <c r="H299" i="2"/>
  <c r="H300" i="2"/>
  <c r="J300" i="2" s="1"/>
  <c r="H301" i="2"/>
  <c r="J301" i="2" s="1"/>
  <c r="M301" i="2" s="1"/>
  <c r="H302" i="2"/>
  <c r="J302" i="2" s="1"/>
  <c r="M302" i="2" s="1"/>
  <c r="H303" i="2"/>
  <c r="J303" i="2" s="1"/>
  <c r="H304" i="2"/>
  <c r="J304" i="2" s="1"/>
  <c r="H305" i="2"/>
  <c r="J305" i="2" s="1"/>
  <c r="H306" i="2"/>
  <c r="H307" i="2"/>
  <c r="H308" i="2"/>
  <c r="J308" i="2" s="1"/>
  <c r="H309" i="2"/>
  <c r="J309" i="2" s="1"/>
  <c r="H310" i="2"/>
  <c r="H311" i="2"/>
  <c r="J311" i="2" s="1"/>
  <c r="M311" i="2" s="1"/>
  <c r="H312" i="2"/>
  <c r="J312" i="2" s="1"/>
  <c r="M312" i="2" s="1"/>
  <c r="H313" i="2"/>
  <c r="J313" i="2" s="1"/>
  <c r="M313" i="2" s="1"/>
  <c r="H314" i="2"/>
  <c r="J314" i="2" s="1"/>
  <c r="M314" i="2" s="1"/>
  <c r="H315" i="2"/>
  <c r="J315" i="2" s="1"/>
  <c r="H316" i="2"/>
  <c r="J316" i="2" s="1"/>
  <c r="L316" i="2" s="1"/>
  <c r="H317" i="2"/>
  <c r="J317" i="2" s="1"/>
  <c r="L317" i="2" s="1"/>
  <c r="H318" i="2"/>
  <c r="J318" i="2" s="1"/>
  <c r="H319" i="2"/>
  <c r="J319" i="2" s="1"/>
  <c r="H320" i="2"/>
  <c r="J320" i="2" s="1"/>
  <c r="H321" i="2"/>
  <c r="J321" i="2" s="1"/>
  <c r="H322" i="2"/>
  <c r="J322" i="2" s="1"/>
  <c r="M322" i="2" s="1"/>
  <c r="H323" i="2"/>
  <c r="J323" i="2" s="1"/>
  <c r="M323" i="2" s="1"/>
  <c r="H324" i="2"/>
  <c r="J324" i="2" s="1"/>
  <c r="H325" i="2"/>
  <c r="J325" i="2" s="1"/>
  <c r="H326" i="2"/>
  <c r="J326" i="2" s="1"/>
  <c r="M326" i="2" s="1"/>
  <c r="H327" i="2"/>
  <c r="J327" i="2" s="1"/>
  <c r="H328" i="2"/>
  <c r="J328" i="2" s="1"/>
  <c r="L328" i="2" s="1"/>
  <c r="H329" i="2"/>
  <c r="J329" i="2" s="1"/>
  <c r="L329" i="2" s="1"/>
  <c r="H330" i="2"/>
  <c r="H331" i="2"/>
  <c r="H332" i="2"/>
  <c r="H333" i="2"/>
  <c r="H334" i="2"/>
  <c r="H335" i="2"/>
  <c r="H336" i="2"/>
  <c r="J336" i="2" s="1"/>
  <c r="M336" i="2" s="1"/>
  <c r="H337" i="2"/>
  <c r="J337" i="2" s="1"/>
  <c r="M337" i="2" s="1"/>
  <c r="H338" i="2"/>
  <c r="J338" i="2" s="1"/>
  <c r="M338" i="2" s="1"/>
  <c r="H339" i="2"/>
  <c r="J339" i="2" s="1"/>
  <c r="H340" i="2"/>
  <c r="J340" i="2" s="1"/>
  <c r="L340" i="2" s="1"/>
  <c r="H341" i="2"/>
  <c r="J341" i="2" s="1"/>
  <c r="L341" i="2" s="1"/>
  <c r="H342" i="2"/>
  <c r="J342" i="2" s="1"/>
  <c r="M342" i="2" s="1"/>
  <c r="H343" i="2"/>
  <c r="J343" i="2" s="1"/>
  <c r="M343" i="2" s="1"/>
  <c r="H344" i="2"/>
  <c r="J344" i="2" s="1"/>
  <c r="M344" i="2" s="1"/>
  <c r="H345" i="2"/>
  <c r="J345" i="2" s="1"/>
  <c r="M345" i="2" s="1"/>
  <c r="H346" i="2"/>
  <c r="J346" i="2" s="1"/>
  <c r="M346" i="2" s="1"/>
  <c r="H347" i="2"/>
  <c r="H348" i="2"/>
  <c r="J348" i="2" s="1"/>
  <c r="H349" i="2"/>
  <c r="J349" i="2" s="1"/>
  <c r="M349" i="2" s="1"/>
  <c r="H350" i="2"/>
  <c r="J350" i="2" s="1"/>
  <c r="M350" i="2" s="1"/>
  <c r="H351" i="2"/>
  <c r="J351" i="2" s="1"/>
  <c r="H352" i="2"/>
  <c r="J352" i="2" s="1"/>
  <c r="M352" i="2" s="1"/>
  <c r="H353" i="2"/>
  <c r="J353" i="2" s="1"/>
  <c r="L353" i="2" s="1"/>
  <c r="H354" i="2"/>
  <c r="H355" i="2"/>
  <c r="H356" i="2"/>
  <c r="J356" i="2" s="1"/>
  <c r="L356" i="2" s="1"/>
  <c r="H357" i="2"/>
  <c r="J357" i="2" s="1"/>
  <c r="L357" i="2" s="1"/>
  <c r="H358" i="2"/>
  <c r="J358" i="2" s="1"/>
  <c r="M358" i="2" s="1"/>
  <c r="H359" i="2"/>
  <c r="H360" i="2"/>
  <c r="J360" i="2" s="1"/>
  <c r="L360" i="2" s="1"/>
  <c r="H361" i="2"/>
  <c r="J361" i="2" s="1"/>
  <c r="M361" i="2" s="1"/>
  <c r="H362" i="2"/>
  <c r="J362" i="2" s="1"/>
  <c r="M362" i="2" s="1"/>
  <c r="H363" i="2"/>
  <c r="J363" i="2" s="1"/>
  <c r="H364" i="2"/>
  <c r="J364" i="2" s="1"/>
  <c r="M364" i="2" s="1"/>
  <c r="H365" i="2"/>
  <c r="J365" i="2" s="1"/>
  <c r="L365" i="2" s="1"/>
  <c r="H366" i="2"/>
  <c r="H367" i="2"/>
  <c r="J367" i="2" s="1"/>
  <c r="M367" i="2" s="1"/>
  <c r="H368" i="2"/>
  <c r="J368" i="2" s="1"/>
  <c r="H369" i="2"/>
  <c r="J369" i="2" s="1"/>
  <c r="M369" i="2" s="1"/>
  <c r="H370" i="2"/>
  <c r="J370" i="2" s="1"/>
  <c r="M370" i="2" s="1"/>
  <c r="H371" i="2"/>
  <c r="J371" i="2" s="1"/>
  <c r="M371" i="2" s="1"/>
  <c r="H372" i="2"/>
  <c r="J372" i="2" s="1"/>
  <c r="M372" i="2" s="1"/>
  <c r="H373" i="2"/>
  <c r="J373" i="2" s="1"/>
  <c r="M373" i="2" s="1"/>
  <c r="H374" i="2"/>
  <c r="J374" i="2" s="1"/>
  <c r="M374" i="2" s="1"/>
  <c r="H375" i="2"/>
  <c r="J375" i="2" s="1"/>
  <c r="H376" i="2"/>
  <c r="J376" i="2" s="1"/>
  <c r="H377" i="2"/>
  <c r="J377" i="2" s="1"/>
  <c r="H378" i="2"/>
  <c r="H379" i="2"/>
  <c r="H380" i="2"/>
  <c r="H381" i="2"/>
  <c r="H382" i="2"/>
  <c r="H383" i="2"/>
  <c r="H384" i="2"/>
  <c r="J384" i="2" s="1"/>
  <c r="M384" i="2" s="1"/>
  <c r="H385" i="2"/>
  <c r="J385" i="2" s="1"/>
  <c r="M385" i="2" s="1"/>
  <c r="H386" i="2"/>
  <c r="J386" i="2" s="1"/>
  <c r="M386" i="2" s="1"/>
  <c r="H387" i="2"/>
  <c r="J387" i="2" s="1"/>
  <c r="H388" i="2"/>
  <c r="J388" i="2" s="1"/>
  <c r="H389" i="2"/>
  <c r="J389" i="2" s="1"/>
  <c r="H390" i="2"/>
  <c r="H391" i="2"/>
  <c r="H392" i="2"/>
  <c r="J392" i="2" s="1"/>
  <c r="M392" i="2" s="1"/>
  <c r="H393" i="2"/>
  <c r="J393" i="2" s="1"/>
  <c r="M393" i="2" s="1"/>
  <c r="H394" i="2"/>
  <c r="J394" i="2" s="1"/>
  <c r="M394" i="2" s="1"/>
  <c r="H395" i="2"/>
  <c r="J395" i="2" s="1"/>
  <c r="M395" i="2" s="1"/>
  <c r="H396" i="2"/>
  <c r="J396" i="2" s="1"/>
  <c r="M396" i="2" s="1"/>
  <c r="H397" i="2"/>
  <c r="J397" i="2" s="1"/>
  <c r="M397" i="2" s="1"/>
  <c r="H398" i="2"/>
  <c r="J398" i="2" s="1"/>
  <c r="M398" i="2" s="1"/>
  <c r="H399" i="2"/>
  <c r="J399" i="2" s="1"/>
  <c r="M399" i="2" s="1"/>
  <c r="H400" i="2"/>
  <c r="J400" i="2" s="1"/>
  <c r="H401" i="2"/>
  <c r="J401" i="2" s="1"/>
  <c r="H402" i="2"/>
  <c r="J402" i="2" s="1"/>
  <c r="H403" i="2"/>
  <c r="J403" i="2" s="1"/>
  <c r="L403" i="2" s="1"/>
  <c r="H404" i="2"/>
  <c r="J404" i="2" s="1"/>
  <c r="L404" i="2" s="1"/>
  <c r="H405" i="2"/>
  <c r="H406" i="2"/>
  <c r="H407" i="2"/>
  <c r="H408" i="2"/>
  <c r="J408" i="2" s="1"/>
  <c r="H409" i="2"/>
  <c r="J409" i="2" s="1"/>
  <c r="H410" i="2"/>
  <c r="J410" i="2" s="1"/>
  <c r="M410" i="2" s="1"/>
  <c r="H411" i="2"/>
  <c r="J411" i="2" s="1"/>
  <c r="H412" i="2"/>
  <c r="J412" i="2" s="1"/>
  <c r="M412" i="2" s="1"/>
  <c r="H413" i="2"/>
  <c r="J413" i="2" s="1"/>
  <c r="H414" i="2"/>
  <c r="H415" i="2"/>
  <c r="H416" i="2"/>
  <c r="H417" i="2"/>
  <c r="J417" i="2" s="1"/>
  <c r="H418" i="2"/>
  <c r="J418" i="2" s="1"/>
  <c r="H419" i="2"/>
  <c r="J419" i="2" s="1"/>
  <c r="H420" i="2"/>
  <c r="J420" i="2" s="1"/>
  <c r="L420" i="2" s="1"/>
  <c r="H421" i="2"/>
  <c r="J421" i="2" s="1"/>
  <c r="L421" i="2" s="1"/>
  <c r="H422" i="2"/>
  <c r="J422" i="2" s="1"/>
  <c r="M422" i="2" s="1"/>
  <c r="H423" i="2"/>
  <c r="J423" i="2" s="1"/>
  <c r="H424" i="2"/>
  <c r="J424" i="2" s="1"/>
  <c r="M424" i="2" s="1"/>
  <c r="H425" i="2"/>
  <c r="J425" i="2" s="1"/>
  <c r="M425" i="2" s="1"/>
  <c r="H426" i="2"/>
  <c r="J426" i="2" s="1"/>
  <c r="M426" i="2" s="1"/>
  <c r="H427" i="2"/>
  <c r="J427" i="2" s="1"/>
  <c r="M427" i="2" s="1"/>
  <c r="H428" i="2"/>
  <c r="H429" i="2"/>
  <c r="H430" i="2"/>
  <c r="H431" i="2"/>
  <c r="H432" i="2"/>
  <c r="J432" i="2" s="1"/>
  <c r="M432" i="2" s="1"/>
  <c r="H433" i="2"/>
  <c r="J433" i="2" s="1"/>
  <c r="M433" i="2" s="1"/>
  <c r="H434" i="2"/>
  <c r="J434" i="2" s="1"/>
  <c r="M434" i="2" s="1"/>
  <c r="H435" i="2"/>
  <c r="J435" i="2" s="1"/>
  <c r="H436" i="2"/>
  <c r="J436" i="2" s="1"/>
  <c r="M436" i="2" s="1"/>
  <c r="H437" i="2"/>
  <c r="J437" i="2" s="1"/>
  <c r="M437" i="2" s="1"/>
  <c r="H438" i="2"/>
  <c r="J438" i="2" s="1"/>
  <c r="H439" i="2"/>
  <c r="J439" i="2" s="1"/>
  <c r="M439" i="2" s="1"/>
  <c r="H440" i="2"/>
  <c r="H441" i="2"/>
  <c r="J441" i="2" s="1"/>
  <c r="M441" i="2" s="1"/>
  <c r="H442" i="2"/>
  <c r="H443" i="2"/>
  <c r="J443" i="2" s="1"/>
  <c r="M443" i="2" s="1"/>
  <c r="H444" i="2"/>
  <c r="J444" i="2" s="1"/>
  <c r="H445" i="2"/>
  <c r="J445" i="2" s="1"/>
  <c r="M445" i="2" s="1"/>
  <c r="H446" i="2"/>
  <c r="J446" i="2" s="1"/>
  <c r="M446" i="2" s="1"/>
  <c r="H447" i="2"/>
  <c r="J447" i="2" s="1"/>
  <c r="H448" i="2"/>
  <c r="J448" i="2" s="1"/>
  <c r="M448" i="2" s="1"/>
  <c r="H449" i="2"/>
  <c r="J449" i="2" s="1"/>
  <c r="M449" i="2" s="1"/>
  <c r="H450" i="2"/>
  <c r="J450" i="2" s="1"/>
  <c r="L450" i="2" s="1"/>
  <c r="H451" i="2"/>
  <c r="J451" i="2" s="1"/>
  <c r="H452" i="2"/>
  <c r="J452" i="2" s="1"/>
  <c r="M452" i="2" s="1"/>
  <c r="H453" i="2"/>
  <c r="H454" i="2"/>
  <c r="H455" i="2"/>
  <c r="H456" i="2"/>
  <c r="J456" i="2" s="1"/>
  <c r="L456" i="2" s="1"/>
  <c r="H457" i="2"/>
  <c r="J457" i="2" s="1"/>
  <c r="L457" i="2" s="1"/>
  <c r="H458" i="2"/>
  <c r="J458" i="2" s="1"/>
  <c r="M458" i="2" s="1"/>
  <c r="H459" i="2"/>
  <c r="J459" i="2" s="1"/>
  <c r="H460" i="2"/>
  <c r="J460" i="2" s="1"/>
  <c r="L460" i="2" s="1"/>
  <c r="H461" i="2"/>
  <c r="J461" i="2" s="1"/>
  <c r="L461" i="2" s="1"/>
  <c r="H462" i="2"/>
  <c r="H463" i="2"/>
  <c r="H464" i="2"/>
  <c r="H465" i="2"/>
  <c r="J465" i="2" s="1"/>
  <c r="M465" i="2" s="1"/>
  <c r="H466" i="2"/>
  <c r="H467" i="2"/>
  <c r="H468" i="2"/>
  <c r="J468" i="2" s="1"/>
  <c r="M468" i="2" s="1"/>
  <c r="H469" i="2"/>
  <c r="J469" i="2" s="1"/>
  <c r="M469" i="2" s="1"/>
  <c r="H470" i="2"/>
  <c r="J470" i="2" s="1"/>
  <c r="M470" i="2" s="1"/>
  <c r="H471" i="2"/>
  <c r="J471" i="2" s="1"/>
  <c r="H472" i="2"/>
  <c r="J472" i="2" s="1"/>
  <c r="L472" i="2" s="1"/>
  <c r="H473" i="2"/>
  <c r="J473" i="2" s="1"/>
  <c r="L473" i="2" s="1"/>
  <c r="H474" i="2"/>
  <c r="J474" i="2" s="1"/>
  <c r="H475" i="2"/>
  <c r="J475" i="2" s="1"/>
  <c r="H476" i="2"/>
  <c r="J476" i="2" s="1"/>
  <c r="M476" i="2" s="1"/>
  <c r="H477" i="2"/>
  <c r="J477" i="2" s="1"/>
  <c r="M477" i="2" s="1"/>
  <c r="H478" i="2"/>
  <c r="J478" i="2" s="1"/>
  <c r="H479" i="2"/>
  <c r="J479" i="2" s="1"/>
  <c r="H480" i="2"/>
  <c r="J480" i="2" s="1"/>
  <c r="H481" i="2"/>
  <c r="J481" i="2" s="1"/>
  <c r="H482" i="2"/>
  <c r="J482" i="2" s="1"/>
  <c r="M482" i="2" s="1"/>
  <c r="H483" i="2"/>
  <c r="J483" i="2" s="1"/>
  <c r="H484" i="2"/>
  <c r="J484" i="2" s="1"/>
  <c r="L484" i="2" s="1"/>
  <c r="H485" i="2"/>
  <c r="J485" i="2" s="1"/>
  <c r="L485" i="2" s="1"/>
  <c r="H486" i="2"/>
  <c r="H487" i="2"/>
  <c r="H488" i="2"/>
  <c r="H489" i="2"/>
  <c r="J489" i="2" s="1"/>
  <c r="M489" i="2" s="1"/>
  <c r="H490" i="2"/>
  <c r="H491" i="2"/>
  <c r="H492" i="2"/>
  <c r="J492" i="2" s="1"/>
  <c r="M492" i="2" s="1"/>
  <c r="H493" i="2"/>
  <c r="J493" i="2" s="1"/>
  <c r="M493" i="2" s="1"/>
  <c r="H494" i="2"/>
  <c r="J494" i="2" s="1"/>
  <c r="M494" i="2" s="1"/>
  <c r="H495" i="2"/>
  <c r="J495" i="2" s="1"/>
  <c r="H496" i="2"/>
  <c r="J496" i="2" s="1"/>
  <c r="H497" i="2"/>
  <c r="J497" i="2" s="1"/>
  <c r="L497" i="2" s="1"/>
  <c r="H498" i="2"/>
  <c r="J498" i="2" s="1"/>
  <c r="H499" i="2"/>
  <c r="J499" i="2" s="1"/>
  <c r="L499" i="2" s="1"/>
  <c r="H500" i="2"/>
  <c r="J500" i="2" s="1"/>
  <c r="L500" i="2" s="1"/>
  <c r="H501" i="2"/>
  <c r="J501" i="2" s="1"/>
  <c r="L501" i="2" s="1"/>
  <c r="H502" i="2"/>
  <c r="J502" i="2" s="1"/>
  <c r="M502" i="2" s="1"/>
  <c r="H503" i="2"/>
  <c r="H504" i="2"/>
  <c r="J504" i="2" s="1"/>
  <c r="M504" i="2" s="1"/>
  <c r="H505" i="2"/>
  <c r="J505" i="2" s="1"/>
  <c r="M505" i="2" s="1"/>
  <c r="H506" i="2"/>
  <c r="J506" i="2" s="1"/>
  <c r="M506" i="2" s="1"/>
  <c r="H507" i="2"/>
  <c r="J507" i="2" s="1"/>
  <c r="M507" i="2" s="1"/>
  <c r="H508" i="2"/>
  <c r="J508" i="2" s="1"/>
  <c r="H509" i="2"/>
  <c r="J509" i="2" s="1"/>
  <c r="M509" i="2" s="1"/>
  <c r="H510" i="2"/>
  <c r="J510" i="2" s="1"/>
  <c r="M510" i="2" s="1"/>
  <c r="H511" i="2"/>
  <c r="J511" i="2" s="1"/>
  <c r="M511" i="2" s="1"/>
  <c r="H512" i="2"/>
  <c r="J512" i="2" s="1"/>
  <c r="M512" i="2" s="1"/>
  <c r="H513" i="2"/>
  <c r="J513" i="2" s="1"/>
  <c r="M513" i="2" s="1"/>
  <c r="H514" i="2"/>
  <c r="J514" i="2" s="1"/>
  <c r="M514" i="2" s="1"/>
  <c r="H515" i="2"/>
  <c r="J515" i="2" s="1"/>
  <c r="H516" i="2"/>
  <c r="J516" i="2" s="1"/>
  <c r="H517" i="2"/>
  <c r="J517" i="2" s="1"/>
  <c r="H518" i="2"/>
  <c r="J518" i="2" s="1"/>
  <c r="L518" i="2" s="1"/>
  <c r="H519" i="2"/>
  <c r="J519" i="2" s="1"/>
  <c r="M519" i="2" s="1"/>
  <c r="H520" i="2"/>
  <c r="J520" i="2" s="1"/>
  <c r="H521" i="2"/>
  <c r="J521" i="2" s="1"/>
  <c r="M521" i="2" s="1"/>
  <c r="H522" i="2"/>
  <c r="J522" i="2" s="1"/>
  <c r="M522" i="2" s="1"/>
  <c r="H523" i="2"/>
  <c r="J523" i="2" s="1"/>
  <c r="M523" i="2" s="1"/>
  <c r="H524" i="2"/>
  <c r="J524" i="2" s="1"/>
  <c r="M524" i="2" s="1"/>
  <c r="H525" i="2"/>
  <c r="J525" i="2" s="1"/>
  <c r="H526" i="2"/>
  <c r="J526" i="2" s="1"/>
  <c r="H527" i="2"/>
  <c r="J527" i="2" s="1"/>
  <c r="H528" i="2"/>
  <c r="J528" i="2" s="1"/>
  <c r="H529" i="2"/>
  <c r="J529" i="2" s="1"/>
  <c r="H530" i="2"/>
  <c r="J530" i="2" s="1"/>
  <c r="H531" i="2"/>
  <c r="J531" i="2" s="1"/>
  <c r="M531" i="2" s="1"/>
  <c r="H532" i="2"/>
  <c r="J532" i="2" s="1"/>
  <c r="H533" i="2"/>
  <c r="J533" i="2" s="1"/>
  <c r="M533" i="2" s="1"/>
  <c r="H534" i="2"/>
  <c r="J534" i="2" s="1"/>
  <c r="M534" i="2" s="1"/>
  <c r="H535" i="2"/>
  <c r="J535" i="2" s="1"/>
  <c r="H536" i="2"/>
  <c r="J536" i="2" s="1"/>
  <c r="H537" i="2"/>
  <c r="J537" i="2" s="1"/>
  <c r="H538" i="2"/>
  <c r="J538" i="2" s="1"/>
  <c r="H539" i="2"/>
  <c r="J539" i="2" s="1"/>
  <c r="H540" i="2"/>
  <c r="J540" i="2" s="1"/>
  <c r="H541" i="2"/>
  <c r="J541" i="2" s="1"/>
  <c r="H542" i="2"/>
  <c r="J542" i="2" s="1"/>
  <c r="M542" i="2" s="1"/>
  <c r="H543" i="2"/>
  <c r="J543" i="2" s="1"/>
  <c r="M543" i="2" s="1"/>
  <c r="H544" i="2"/>
  <c r="J544" i="2" s="1"/>
  <c r="H545" i="2"/>
  <c r="J545" i="2" s="1"/>
  <c r="M545" i="2" s="1"/>
  <c r="H546" i="2"/>
  <c r="J546" i="2" s="1"/>
  <c r="H547" i="2"/>
  <c r="J547" i="2" s="1"/>
  <c r="H548" i="2"/>
  <c r="J548" i="2" s="1"/>
  <c r="M548" i="2" s="1"/>
  <c r="H549" i="2"/>
  <c r="J549" i="2" s="1"/>
  <c r="H550" i="2"/>
  <c r="J550" i="2" s="1"/>
  <c r="M550" i="2" s="1"/>
  <c r="H551" i="2"/>
  <c r="J551" i="2" s="1"/>
  <c r="H552" i="2"/>
  <c r="J552" i="2" s="1"/>
  <c r="H553" i="2"/>
  <c r="J553" i="2" s="1"/>
  <c r="H554" i="2"/>
  <c r="J554" i="2" s="1"/>
  <c r="H555" i="2"/>
  <c r="J555" i="2" s="1"/>
  <c r="M555" i="2" s="1"/>
  <c r="H556" i="2"/>
  <c r="J556" i="2" s="1"/>
  <c r="H557" i="2"/>
  <c r="J557" i="2" s="1"/>
  <c r="M557" i="2" s="1"/>
  <c r="H558" i="2"/>
  <c r="J558" i="2" s="1"/>
  <c r="M558" i="2" s="1"/>
  <c r="H559" i="2"/>
  <c r="J559" i="2" s="1"/>
  <c r="M559" i="2" s="1"/>
  <c r="H560" i="2"/>
  <c r="H561" i="2"/>
  <c r="J561" i="2" s="1"/>
  <c r="M561" i="2" s="1"/>
  <c r="H562" i="2"/>
  <c r="J562" i="2" s="1"/>
  <c r="H563" i="2"/>
  <c r="J563" i="2" s="1"/>
  <c r="H564" i="2"/>
  <c r="J564" i="2" s="1"/>
  <c r="H565" i="2"/>
  <c r="J565" i="2" s="1"/>
  <c r="H566" i="2"/>
  <c r="J566" i="2" s="1"/>
  <c r="H567" i="2"/>
  <c r="J567" i="2" s="1"/>
  <c r="M567" i="2" s="1"/>
  <c r="H568" i="2"/>
  <c r="J568" i="2" s="1"/>
  <c r="H569" i="2"/>
  <c r="J569" i="2" s="1"/>
  <c r="M569" i="2" s="1"/>
  <c r="H570" i="2"/>
  <c r="J570" i="2" s="1"/>
  <c r="H571" i="2"/>
  <c r="J571" i="2" s="1"/>
  <c r="H572" i="2"/>
  <c r="J572" i="2" s="1"/>
  <c r="M572" i="2" s="1"/>
  <c r="H573" i="2"/>
  <c r="J573" i="2" s="1"/>
  <c r="H574" i="2"/>
  <c r="J574" i="2" s="1"/>
  <c r="H575" i="2"/>
  <c r="J575" i="2" s="1"/>
  <c r="H576" i="2"/>
  <c r="J576" i="2" s="1"/>
  <c r="M576" i="2" s="1"/>
  <c r="H577" i="2"/>
  <c r="J577" i="2" s="1"/>
  <c r="M577" i="2" s="1"/>
  <c r="H578" i="2"/>
  <c r="J578" i="2" s="1"/>
  <c r="M578" i="2" s="1"/>
  <c r="H579" i="2"/>
  <c r="J579" i="2" s="1"/>
  <c r="M579" i="2" s="1"/>
  <c r="H580" i="2"/>
  <c r="J580" i="2" s="1"/>
  <c r="H581" i="2"/>
  <c r="J581" i="2" s="1"/>
  <c r="M581" i="2" s="1"/>
  <c r="H582" i="2"/>
  <c r="J582" i="2" s="1"/>
  <c r="L582" i="2" s="1"/>
  <c r="H583" i="2"/>
  <c r="J583" i="2" s="1"/>
  <c r="H584" i="2"/>
  <c r="J584" i="2" s="1"/>
  <c r="M584" i="2" s="1"/>
  <c r="H585" i="2"/>
  <c r="J585" i="2" s="1"/>
  <c r="H586" i="2"/>
  <c r="J586" i="2" s="1"/>
  <c r="M586" i="2" s="1"/>
  <c r="H587" i="2"/>
  <c r="J587" i="2" s="1"/>
  <c r="H588" i="2"/>
  <c r="J588" i="2" s="1"/>
  <c r="H589" i="2"/>
  <c r="J589" i="2" s="1"/>
  <c r="M589" i="2" s="1"/>
  <c r="H590" i="2"/>
  <c r="J590" i="2" s="1"/>
  <c r="M590" i="2" s="1"/>
  <c r="H591" i="2"/>
  <c r="J591" i="2" s="1"/>
  <c r="M591" i="2" s="1"/>
  <c r="H592" i="2"/>
  <c r="J592" i="2" s="1"/>
  <c r="H593" i="2"/>
  <c r="J593" i="2" s="1"/>
  <c r="M593" i="2" s="1"/>
  <c r="H594" i="2"/>
  <c r="J594" i="2" s="1"/>
  <c r="M594" i="2" s="1"/>
  <c r="H595" i="2"/>
  <c r="J595" i="2" s="1"/>
  <c r="H596" i="2"/>
  <c r="J596" i="2" s="1"/>
  <c r="H597" i="2"/>
  <c r="J597" i="2" s="1"/>
  <c r="H598" i="2"/>
  <c r="J598" i="2" s="1"/>
  <c r="H599" i="2"/>
  <c r="J599" i="2" s="1"/>
  <c r="L599" i="2" s="1"/>
  <c r="H600" i="2"/>
  <c r="J600" i="2" s="1"/>
  <c r="H601" i="2"/>
  <c r="J601" i="2" s="1"/>
  <c r="H602" i="2"/>
  <c r="J602" i="2" s="1"/>
  <c r="H603" i="2"/>
  <c r="J603" i="2" s="1"/>
  <c r="M603" i="2" s="1"/>
  <c r="H604" i="2"/>
  <c r="J604" i="2" s="1"/>
  <c r="H605" i="2"/>
  <c r="J605" i="2" s="1"/>
  <c r="M605" i="2" s="1"/>
  <c r="H606" i="2"/>
  <c r="J606" i="2" s="1"/>
  <c r="H607" i="2"/>
  <c r="H608" i="2"/>
  <c r="J608" i="2" s="1"/>
  <c r="H609" i="2"/>
  <c r="J609" i="2" s="1"/>
  <c r="H610" i="2"/>
  <c r="J610" i="2" s="1"/>
  <c r="H611" i="2"/>
  <c r="J611" i="2" s="1"/>
  <c r="H612" i="2"/>
  <c r="J612" i="2" s="1"/>
  <c r="H613" i="2"/>
  <c r="J613" i="2" s="1"/>
  <c r="H614" i="2"/>
  <c r="J614" i="2" s="1"/>
  <c r="L614" i="2" s="1"/>
  <c r="H615" i="2"/>
  <c r="J615" i="2" s="1"/>
  <c r="M615" i="2" s="1"/>
  <c r="H616" i="2"/>
  <c r="J616" i="2" s="1"/>
  <c r="H617" i="2"/>
  <c r="H618" i="2"/>
  <c r="H619" i="2"/>
  <c r="J619" i="2" s="1"/>
  <c r="H620" i="2"/>
  <c r="J620" i="2" s="1"/>
  <c r="M620" i="2" s="1"/>
  <c r="H621" i="2"/>
  <c r="J621" i="2" s="1"/>
  <c r="M621" i="2" s="1"/>
  <c r="H622" i="2"/>
  <c r="J622" i="2" s="1"/>
  <c r="M622" i="2" s="1"/>
  <c r="H623" i="2"/>
  <c r="J623" i="2" s="1"/>
  <c r="H624" i="2"/>
  <c r="J624" i="2" s="1"/>
  <c r="H625" i="2"/>
  <c r="J625" i="2" s="1"/>
  <c r="H626" i="2"/>
  <c r="J626" i="2" s="1"/>
  <c r="H627" i="2"/>
  <c r="J627" i="2" s="1"/>
  <c r="M627" i="2" s="1"/>
  <c r="H628" i="2"/>
  <c r="J628" i="2" s="1"/>
  <c r="H629" i="2"/>
  <c r="J629" i="2" s="1"/>
  <c r="M629" i="2" s="1"/>
  <c r="H630" i="2"/>
  <c r="J630" i="2" s="1"/>
  <c r="L630" i="2" s="1"/>
  <c r="H631" i="2"/>
  <c r="J631" i="2" s="1"/>
  <c r="L631" i="2" s="1"/>
  <c r="H632" i="2"/>
  <c r="J632" i="2" s="1"/>
  <c r="L632" i="2" s="1"/>
  <c r="H633" i="2"/>
  <c r="J633" i="2" s="1"/>
  <c r="M633" i="2" s="1"/>
  <c r="H634" i="2"/>
  <c r="J634" i="2" s="1"/>
  <c r="H635" i="2"/>
  <c r="J635" i="2" s="1"/>
  <c r="H636" i="2"/>
  <c r="J636" i="2" s="1"/>
  <c r="H637" i="2"/>
  <c r="J637" i="2" s="1"/>
  <c r="L637" i="2" s="1"/>
  <c r="H638" i="2"/>
  <c r="J638" i="2" s="1"/>
  <c r="H639" i="2"/>
  <c r="J639" i="2" s="1"/>
  <c r="M639" i="2" s="1"/>
  <c r="H640" i="2"/>
  <c r="J640" i="2" s="1"/>
  <c r="H641" i="2"/>
  <c r="J641" i="2" s="1"/>
  <c r="M641" i="2" s="1"/>
  <c r="H642" i="2"/>
  <c r="J642" i="2" s="1"/>
  <c r="L642" i="2" s="1"/>
  <c r="H643" i="2"/>
  <c r="J643" i="2" s="1"/>
  <c r="M643" i="2" s="1"/>
  <c r="H644" i="2"/>
  <c r="J644" i="2" s="1"/>
  <c r="M644" i="2" s="1"/>
  <c r="H645" i="2"/>
  <c r="J645" i="2" s="1"/>
  <c r="M645" i="2" s="1"/>
  <c r="H646" i="2"/>
  <c r="J646" i="2" s="1"/>
  <c r="H647" i="2"/>
  <c r="J647" i="2" s="1"/>
  <c r="H648" i="2"/>
  <c r="J648" i="2" s="1"/>
  <c r="H649" i="2"/>
  <c r="J649" i="2" s="1"/>
  <c r="H650" i="2"/>
  <c r="J650" i="2" s="1"/>
  <c r="H651" i="2"/>
  <c r="J651" i="2" s="1"/>
  <c r="M651" i="2" s="1"/>
  <c r="H652" i="2"/>
  <c r="J652" i="2" s="1"/>
  <c r="H653" i="2"/>
  <c r="J653" i="2" s="1"/>
  <c r="M653" i="2" s="1"/>
  <c r="H654" i="2"/>
  <c r="J654" i="2" s="1"/>
  <c r="H655" i="2"/>
  <c r="J655" i="2" s="1"/>
  <c r="H656" i="2"/>
  <c r="J656" i="2" s="1"/>
  <c r="M656" i="2" s="1"/>
  <c r="H657" i="2"/>
  <c r="J657" i="2" s="1"/>
  <c r="H658" i="2"/>
  <c r="J658" i="2" s="1"/>
  <c r="M658" i="2" s="1"/>
  <c r="H659" i="2"/>
  <c r="J659" i="2" s="1"/>
  <c r="H660" i="2"/>
  <c r="J660" i="2" s="1"/>
  <c r="H661" i="2"/>
  <c r="J661" i="2" s="1"/>
  <c r="L661" i="2" s="1"/>
  <c r="H662" i="2"/>
  <c r="J662" i="2" s="1"/>
  <c r="L662" i="2" s="1"/>
  <c r="H663" i="2"/>
  <c r="J663" i="2" s="1"/>
  <c r="M663" i="2" s="1"/>
  <c r="H664" i="2"/>
  <c r="J664" i="2" s="1"/>
  <c r="H665" i="2"/>
  <c r="J665" i="2" s="1"/>
  <c r="M665" i="2" s="1"/>
  <c r="H666" i="2"/>
  <c r="J666" i="2" s="1"/>
  <c r="H667" i="2"/>
  <c r="J667" i="2" s="1"/>
  <c r="M667" i="2" s="1"/>
  <c r="H668" i="2"/>
  <c r="J668" i="2" s="1"/>
  <c r="M668" i="2" s="1"/>
  <c r="H669" i="2"/>
  <c r="J669" i="2" s="1"/>
  <c r="H670" i="2"/>
  <c r="J670" i="2" s="1"/>
  <c r="H671" i="2"/>
  <c r="J671" i="2" s="1"/>
  <c r="H672" i="2"/>
  <c r="J672" i="2" s="1"/>
  <c r="M672" i="2" s="1"/>
  <c r="H673" i="2"/>
  <c r="J673" i="2" s="1"/>
  <c r="H674" i="2"/>
  <c r="J674" i="2" s="1"/>
  <c r="H675" i="2"/>
  <c r="J675" i="2" s="1"/>
  <c r="M675" i="2" s="1"/>
  <c r="H676" i="2"/>
  <c r="J676" i="2" s="1"/>
  <c r="H677" i="2"/>
  <c r="H678" i="2"/>
  <c r="H679" i="2"/>
  <c r="J679" i="2" s="1"/>
  <c r="H680" i="2"/>
  <c r="J680" i="2" s="1"/>
  <c r="H681" i="2"/>
  <c r="J681" i="2" s="1"/>
  <c r="H682" i="2"/>
  <c r="J682" i="2" s="1"/>
  <c r="M682" i="2" s="1"/>
  <c r="H683" i="2"/>
  <c r="J683" i="2" s="1"/>
  <c r="H684" i="2"/>
  <c r="J684" i="2" s="1"/>
  <c r="H685" i="2"/>
  <c r="J685" i="2" s="1"/>
  <c r="L685" i="2" s="1"/>
  <c r="H686" i="2"/>
  <c r="J686" i="2" s="1"/>
  <c r="H687" i="2"/>
  <c r="J687" i="2" s="1"/>
  <c r="M687" i="2" s="1"/>
  <c r="H688" i="2"/>
  <c r="J688" i="2" s="1"/>
  <c r="H689" i="2"/>
  <c r="J689" i="2" s="1"/>
  <c r="M689" i="2" s="1"/>
  <c r="H690" i="2"/>
  <c r="J690" i="2" s="1"/>
  <c r="M690" i="2" s="1"/>
  <c r="H691" i="2"/>
  <c r="J691" i="2" s="1"/>
  <c r="M691" i="2" s="1"/>
  <c r="H692" i="2"/>
  <c r="J692" i="2" s="1"/>
  <c r="M692" i="2" s="1"/>
  <c r="H693" i="2"/>
  <c r="J693" i="2" s="1"/>
  <c r="H694" i="2"/>
  <c r="J694" i="2" s="1"/>
  <c r="H695" i="2"/>
  <c r="J695" i="2" s="1"/>
  <c r="H696" i="2"/>
  <c r="J696" i="2" s="1"/>
  <c r="H697" i="2"/>
  <c r="J697" i="2" s="1"/>
  <c r="H698" i="2"/>
  <c r="J698" i="2" s="1"/>
  <c r="H699" i="2"/>
  <c r="J699" i="2" s="1"/>
  <c r="M699" i="2" s="1"/>
  <c r="H700" i="2"/>
  <c r="J700" i="2" s="1"/>
  <c r="H701" i="2"/>
  <c r="J701" i="2" s="1"/>
  <c r="M701" i="2" s="1"/>
  <c r="H702" i="2"/>
  <c r="J702" i="2" s="1"/>
  <c r="L702" i="2" s="1"/>
  <c r="H703" i="2"/>
  <c r="J703" i="2" s="1"/>
  <c r="H704" i="2"/>
  <c r="J704" i="2" s="1"/>
  <c r="M704" i="2" s="1"/>
  <c r="H705" i="2"/>
  <c r="J705" i="2" s="1"/>
  <c r="M705" i="2" s="1"/>
  <c r="H706" i="2"/>
  <c r="J706" i="2" s="1"/>
  <c r="H707" i="2"/>
  <c r="J707" i="2" s="1"/>
  <c r="M707" i="2" s="1"/>
  <c r="H708" i="2"/>
  <c r="J708" i="2" s="1"/>
  <c r="M708" i="2" s="1"/>
  <c r="H709" i="2"/>
  <c r="J709" i="2" s="1"/>
  <c r="H710" i="2"/>
  <c r="J710" i="2" s="1"/>
  <c r="H711" i="2"/>
  <c r="J711" i="2" s="1"/>
  <c r="M711" i="2" s="1"/>
  <c r="H712" i="2"/>
  <c r="J712" i="2" s="1"/>
  <c r="H713" i="2"/>
  <c r="J713" i="2" s="1"/>
  <c r="M713" i="2" s="1"/>
  <c r="H714" i="2"/>
  <c r="J714" i="2" s="1"/>
  <c r="H715" i="2"/>
  <c r="J715" i="2" s="1"/>
  <c r="L715" i="2" s="1"/>
  <c r="H716" i="2"/>
  <c r="J716" i="2" s="1"/>
  <c r="H717" i="2"/>
  <c r="J717" i="2" s="1"/>
  <c r="M717" i="2" s="1"/>
  <c r="H718" i="2"/>
  <c r="J718" i="2" s="1"/>
  <c r="M718" i="2" s="1"/>
  <c r="H719" i="2"/>
  <c r="J719" i="2" s="1"/>
  <c r="M719" i="2" s="1"/>
  <c r="H720" i="2"/>
  <c r="J720" i="2" s="1"/>
  <c r="M720" i="2" s="1"/>
  <c r="H721" i="2"/>
  <c r="J721" i="2" s="1"/>
  <c r="H722" i="2"/>
  <c r="J722" i="2" s="1"/>
  <c r="H723" i="2"/>
  <c r="J723" i="2" s="1"/>
  <c r="M723" i="2" s="1"/>
  <c r="H724" i="2"/>
  <c r="J724" i="2" s="1"/>
  <c r="H725" i="2"/>
  <c r="H726" i="2"/>
  <c r="H727" i="2"/>
  <c r="J727" i="2" s="1"/>
  <c r="M727" i="2" s="1"/>
  <c r="H728" i="2"/>
  <c r="J728" i="2" s="1"/>
  <c r="M728" i="2" s="1"/>
  <c r="H729" i="2"/>
  <c r="H730" i="2"/>
  <c r="J730" i="2" s="1"/>
  <c r="M730" i="2" s="1"/>
  <c r="H731" i="2"/>
  <c r="J731" i="2" s="1"/>
  <c r="H732" i="2"/>
  <c r="J732" i="2" s="1"/>
  <c r="H733" i="2"/>
  <c r="J733" i="2" s="1"/>
  <c r="H734" i="2"/>
  <c r="J734" i="2" s="1"/>
  <c r="H735" i="2"/>
  <c r="J735" i="2" s="1"/>
  <c r="M735" i="2" s="1"/>
  <c r="H736" i="2"/>
  <c r="J736" i="2" s="1"/>
  <c r="H737" i="2"/>
  <c r="H738" i="2"/>
  <c r="J738" i="2" s="1"/>
  <c r="L738" i="2" s="1"/>
  <c r="H739" i="2"/>
  <c r="J739" i="2" s="1"/>
  <c r="M739" i="2" s="1"/>
  <c r="H740" i="2"/>
  <c r="J740" i="2" s="1"/>
  <c r="M740" i="2" s="1"/>
  <c r="H741" i="2"/>
  <c r="J741" i="2" s="1"/>
  <c r="H742" i="2"/>
  <c r="J742" i="2" s="1"/>
  <c r="H743" i="2"/>
  <c r="J743" i="2" s="1"/>
  <c r="H744" i="2"/>
  <c r="J744" i="2" s="1"/>
  <c r="H745" i="2"/>
  <c r="J745" i="2" s="1"/>
  <c r="H746" i="2"/>
  <c r="J746" i="2" s="1"/>
  <c r="H747" i="2"/>
  <c r="J747" i="2" s="1"/>
  <c r="M747" i="2" s="1"/>
  <c r="H748" i="2"/>
  <c r="J748" i="2" s="1"/>
  <c r="H749" i="2"/>
  <c r="J749" i="2" s="1"/>
  <c r="M749" i="2" s="1"/>
  <c r="H750" i="2"/>
  <c r="J750" i="2" s="1"/>
  <c r="H751" i="2"/>
  <c r="J751" i="2" s="1"/>
  <c r="H752" i="2"/>
  <c r="J752" i="2" s="1"/>
  <c r="M752" i="2" s="1"/>
  <c r="H753" i="2"/>
  <c r="J753" i="2" s="1"/>
  <c r="H754" i="2"/>
  <c r="J754" i="2" s="1"/>
  <c r="M754" i="2" s="1"/>
  <c r="H755" i="2"/>
  <c r="J755" i="2" s="1"/>
  <c r="H756" i="2"/>
  <c r="J756" i="2" s="1"/>
  <c r="L756" i="2" s="1"/>
  <c r="H757" i="2"/>
  <c r="J757" i="2" s="1"/>
  <c r="L757" i="2" s="1"/>
  <c r="H758" i="2"/>
  <c r="J758" i="2" s="1"/>
  <c r="L758" i="2" s="1"/>
  <c r="H759" i="2"/>
  <c r="J759" i="2" s="1"/>
  <c r="M759" i="2" s="1"/>
  <c r="H760" i="2"/>
  <c r="J760" i="2" s="1"/>
  <c r="H761" i="2"/>
  <c r="J761" i="2" s="1"/>
  <c r="M761" i="2" s="1"/>
  <c r="H762" i="2"/>
  <c r="J762" i="2" s="1"/>
  <c r="M762" i="2" s="1"/>
  <c r="H763" i="2"/>
  <c r="J763" i="2" s="1"/>
  <c r="M763" i="2" s="1"/>
  <c r="H764" i="2"/>
  <c r="J764" i="2" s="1"/>
  <c r="M764" i="2" s="1"/>
  <c r="H765" i="2"/>
  <c r="J765" i="2" s="1"/>
  <c r="M765" i="2" s="1"/>
  <c r="H766" i="2"/>
  <c r="J766" i="2" s="1"/>
  <c r="M766" i="2" s="1"/>
  <c r="H767" i="2"/>
  <c r="J767" i="2" s="1"/>
  <c r="H768" i="2"/>
  <c r="J768" i="2" s="1"/>
  <c r="H769" i="2"/>
  <c r="J769" i="2" s="1"/>
  <c r="H770" i="2"/>
  <c r="J770" i="2" s="1"/>
  <c r="H771" i="2"/>
  <c r="J771" i="2" s="1"/>
  <c r="M771" i="2" s="1"/>
  <c r="H772" i="2"/>
  <c r="J772" i="2" s="1"/>
  <c r="H773" i="2"/>
  <c r="J773" i="2" s="1"/>
  <c r="M773" i="2" s="1"/>
  <c r="H774" i="2"/>
  <c r="J774" i="2" s="1"/>
  <c r="H775" i="2"/>
  <c r="J775" i="2" s="1"/>
  <c r="M775" i="2" s="1"/>
  <c r="H776" i="2"/>
  <c r="J776" i="2" s="1"/>
  <c r="L776" i="2" s="1"/>
  <c r="H777" i="2"/>
  <c r="J777" i="2" s="1"/>
  <c r="M777" i="2" s="1"/>
  <c r="H778" i="2"/>
  <c r="J778" i="2" s="1"/>
  <c r="H779" i="2"/>
  <c r="J779" i="2" s="1"/>
  <c r="L779" i="2" s="1"/>
  <c r="H780" i="2"/>
  <c r="J780" i="2" s="1"/>
  <c r="H781" i="2"/>
  <c r="J781" i="2" s="1"/>
  <c r="L781" i="2" s="1"/>
  <c r="H782" i="2"/>
  <c r="J782" i="2" s="1"/>
  <c r="H783" i="2"/>
  <c r="J783" i="2" s="1"/>
  <c r="M783" i="2" s="1"/>
  <c r="H784" i="2"/>
  <c r="J784" i="2" s="1"/>
  <c r="H785" i="2"/>
  <c r="J785" i="2" s="1"/>
  <c r="M785" i="2" s="1"/>
  <c r="H786" i="2"/>
  <c r="J786" i="2" s="1"/>
  <c r="M786" i="2" s="1"/>
  <c r="H787" i="2"/>
  <c r="J787" i="2" s="1"/>
  <c r="M787" i="2" s="1"/>
  <c r="H788" i="2"/>
  <c r="J788" i="2" s="1"/>
  <c r="H789" i="2"/>
  <c r="J789" i="2" s="1"/>
  <c r="M789" i="2" s="1"/>
  <c r="H790" i="2"/>
  <c r="J790" i="2" s="1"/>
  <c r="M790" i="2" s="1"/>
  <c r="H791" i="2"/>
  <c r="J791" i="2" s="1"/>
  <c r="M791" i="2" s="1"/>
  <c r="H792" i="2"/>
  <c r="J792" i="2" s="1"/>
  <c r="H793" i="2"/>
  <c r="J793" i="2" s="1"/>
  <c r="H794" i="2"/>
  <c r="J794" i="2" s="1"/>
  <c r="H795" i="2"/>
  <c r="J795" i="2" s="1"/>
  <c r="M795" i="2" s="1"/>
  <c r="H796" i="2"/>
  <c r="J796" i="2" s="1"/>
  <c r="H797" i="2"/>
  <c r="J797" i="2" s="1"/>
  <c r="M797" i="2" s="1"/>
  <c r="H798" i="2"/>
  <c r="J798" i="2" s="1"/>
  <c r="M798" i="2" s="1"/>
  <c r="H799" i="2"/>
  <c r="J799" i="2" s="1"/>
  <c r="M799" i="2" s="1"/>
  <c r="H800" i="2"/>
  <c r="J800" i="2" s="1"/>
  <c r="M800" i="2" s="1"/>
  <c r="H801" i="2"/>
  <c r="J801" i="2" s="1"/>
  <c r="H802" i="2"/>
  <c r="J802" i="2" s="1"/>
  <c r="H803" i="2"/>
  <c r="J803" i="2" s="1"/>
  <c r="M803" i="2" s="1"/>
  <c r="H804" i="2"/>
  <c r="J804" i="2" s="1"/>
  <c r="M804" i="2" s="1"/>
  <c r="H805" i="2"/>
  <c r="J805" i="2" s="1"/>
  <c r="H806" i="2"/>
  <c r="J806" i="2" s="1"/>
  <c r="H807" i="2"/>
  <c r="J807" i="2" s="1"/>
  <c r="M807" i="2" s="1"/>
  <c r="H808" i="2"/>
  <c r="J808" i="2" s="1"/>
  <c r="H809" i="2"/>
  <c r="J809" i="2" s="1"/>
  <c r="M809" i="2" s="1"/>
  <c r="H810" i="2"/>
  <c r="J810" i="2" s="1"/>
  <c r="M810" i="2" s="1"/>
  <c r="H811" i="2"/>
  <c r="J811" i="2" s="1"/>
  <c r="H812" i="2"/>
  <c r="J812" i="2" s="1"/>
  <c r="M812" i="2" s="1"/>
  <c r="H813" i="2"/>
  <c r="J813" i="2" s="1"/>
  <c r="L813" i="2" s="1"/>
  <c r="H814" i="2"/>
  <c r="J814" i="2" s="1"/>
  <c r="H815" i="2"/>
  <c r="J815" i="2" s="1"/>
  <c r="H816" i="2"/>
  <c r="J816" i="2" s="1"/>
  <c r="H817" i="2"/>
  <c r="J817" i="2" s="1"/>
  <c r="H818" i="2"/>
  <c r="J818" i="2" s="1"/>
  <c r="H819" i="2"/>
  <c r="J819" i="2" s="1"/>
  <c r="M819" i="2" s="1"/>
  <c r="H820" i="2"/>
  <c r="J820" i="2" s="1"/>
  <c r="H821" i="2"/>
  <c r="J821" i="2" s="1"/>
  <c r="M821" i="2" s="1"/>
  <c r="H822" i="2"/>
  <c r="J822" i="2" s="1"/>
  <c r="M822" i="2" s="1"/>
  <c r="H823" i="2"/>
  <c r="J823" i="2" s="1"/>
  <c r="L823" i="2" s="1"/>
  <c r="H824" i="2"/>
  <c r="J824" i="2" s="1"/>
  <c r="L824" i="2" s="1"/>
  <c r="H825" i="2"/>
  <c r="J825" i="2" s="1"/>
  <c r="H826" i="2"/>
  <c r="J826" i="2" s="1"/>
  <c r="H827" i="2"/>
  <c r="J827" i="2" s="1"/>
  <c r="H828" i="2"/>
  <c r="J828" i="2" s="1"/>
  <c r="H829" i="2"/>
  <c r="J829" i="2" s="1"/>
  <c r="H830" i="2"/>
  <c r="J830" i="2" s="1"/>
  <c r="H831" i="2"/>
  <c r="J831" i="2" s="1"/>
  <c r="M831" i="2" s="1"/>
  <c r="H832" i="2"/>
  <c r="J832" i="2" s="1"/>
  <c r="H833" i="2"/>
  <c r="J833" i="2" s="1"/>
  <c r="M833" i="2" s="1"/>
  <c r="H834" i="2"/>
  <c r="J834" i="2" s="1"/>
  <c r="M834" i="2" s="1"/>
  <c r="H835" i="2"/>
  <c r="J835" i="2" s="1"/>
  <c r="M835" i="2" s="1"/>
  <c r="H836" i="2"/>
  <c r="H837" i="2"/>
  <c r="H838" i="2"/>
  <c r="J838" i="2" s="1"/>
  <c r="M838" i="2" s="1"/>
  <c r="H839" i="2"/>
  <c r="J839" i="2" s="1"/>
  <c r="H840" i="2"/>
  <c r="J840" i="2" s="1"/>
  <c r="H841" i="2"/>
  <c r="J841" i="2" s="1"/>
  <c r="H842" i="2"/>
  <c r="J842" i="2" s="1"/>
  <c r="H843" i="2"/>
  <c r="J843" i="2" s="1"/>
  <c r="M843" i="2" s="1"/>
  <c r="H844" i="2"/>
  <c r="J844" i="2" s="1"/>
  <c r="H845" i="2"/>
  <c r="H846" i="2"/>
  <c r="J846" i="2" s="1"/>
  <c r="L846" i="2" s="1"/>
  <c r="H847" i="2"/>
  <c r="J847" i="2" s="1"/>
  <c r="L847" i="2" s="1"/>
  <c r="H848" i="2"/>
  <c r="J848" i="2" s="1"/>
  <c r="H849" i="2"/>
  <c r="J849" i="2" s="1"/>
  <c r="L849" i="2" s="1"/>
  <c r="H850" i="2"/>
  <c r="J850" i="2" s="1"/>
  <c r="H851" i="2"/>
  <c r="J851" i="2" s="1"/>
  <c r="L851" i="2" s="1"/>
  <c r="H852" i="2"/>
  <c r="J852" i="2" s="1"/>
  <c r="H853" i="2"/>
  <c r="J853" i="2" s="1"/>
  <c r="H854" i="2"/>
  <c r="J854" i="2" s="1"/>
  <c r="H855" i="2"/>
  <c r="J855" i="2" s="1"/>
  <c r="M855" i="2" s="1"/>
  <c r="H856" i="2"/>
  <c r="J856" i="2" s="1"/>
  <c r="H857" i="2"/>
  <c r="J857" i="2" s="1"/>
  <c r="M857" i="2" s="1"/>
  <c r="H858" i="2"/>
  <c r="J858" i="2" s="1"/>
  <c r="H859" i="2"/>
  <c r="J859" i="2" s="1"/>
  <c r="H860" i="2"/>
  <c r="J860" i="2" s="1"/>
  <c r="M860" i="2" s="1"/>
  <c r="H861" i="2"/>
  <c r="J861" i="2" s="1"/>
  <c r="M861" i="2" s="1"/>
  <c r="H862" i="2"/>
  <c r="J862" i="2" s="1"/>
  <c r="M862" i="2" s="1"/>
  <c r="H863" i="2"/>
  <c r="J863" i="2" s="1"/>
  <c r="H864" i="2"/>
  <c r="J864" i="2" s="1"/>
  <c r="H865" i="2"/>
  <c r="J865" i="2" s="1"/>
  <c r="L865" i="2" s="1"/>
  <c r="H866" i="2"/>
  <c r="J866" i="2" s="1"/>
  <c r="L866" i="2" s="1"/>
  <c r="H867" i="2"/>
  <c r="J867" i="2" s="1"/>
  <c r="M867" i="2" s="1"/>
  <c r="H868" i="2"/>
  <c r="J868" i="2" s="1"/>
  <c r="H869" i="2"/>
  <c r="J869" i="2" s="1"/>
  <c r="M869" i="2" s="1"/>
  <c r="H870" i="2"/>
  <c r="J870" i="2" s="1"/>
  <c r="M870" i="2" s="1"/>
  <c r="H871" i="2"/>
  <c r="J871" i="2" s="1"/>
  <c r="M871" i="2" s="1"/>
  <c r="H872" i="2"/>
  <c r="J872" i="2" s="1"/>
  <c r="M872" i="2" s="1"/>
  <c r="H873" i="2"/>
  <c r="J873" i="2" s="1"/>
  <c r="H874" i="2"/>
  <c r="J874" i="2" s="1"/>
  <c r="H875" i="2"/>
  <c r="J875" i="2" s="1"/>
  <c r="H876" i="2"/>
  <c r="J876" i="2" s="1"/>
  <c r="H877" i="2"/>
  <c r="J877" i="2" s="1"/>
  <c r="H878" i="2"/>
  <c r="J878" i="2" s="1"/>
  <c r="H879" i="2"/>
  <c r="J879" i="2" s="1"/>
  <c r="M879" i="2" s="1"/>
  <c r="H880" i="2"/>
  <c r="J880" i="2" s="1"/>
  <c r="H881" i="2"/>
  <c r="J881" i="2" s="1"/>
  <c r="M881" i="2" s="1"/>
  <c r="H882" i="2"/>
  <c r="J882" i="2" s="1"/>
  <c r="M882" i="2" s="1"/>
  <c r="H883" i="2"/>
  <c r="J883" i="2" s="1"/>
  <c r="M883" i="2" s="1"/>
  <c r="H884" i="2"/>
  <c r="J884" i="2" s="1"/>
  <c r="H885" i="2"/>
  <c r="J885" i="2" s="1"/>
  <c r="L885" i="2" s="1"/>
  <c r="H886" i="2"/>
  <c r="J886" i="2" s="1"/>
  <c r="H887" i="2"/>
  <c r="J887" i="2" s="1"/>
  <c r="H888" i="2"/>
  <c r="J888" i="2" s="1"/>
  <c r="M888" i="2" s="1"/>
  <c r="H889" i="2"/>
  <c r="J889" i="2" s="1"/>
  <c r="L889" i="2" s="1"/>
  <c r="H890" i="2"/>
  <c r="J890" i="2" s="1"/>
  <c r="L890" i="2" s="1"/>
  <c r="H891" i="2"/>
  <c r="J891" i="2" s="1"/>
  <c r="M891" i="2" s="1"/>
  <c r="H892" i="2"/>
  <c r="J892" i="2" s="1"/>
  <c r="H893" i="2"/>
  <c r="J893" i="2" s="1"/>
  <c r="M893" i="2" s="1"/>
  <c r="H894" i="2"/>
  <c r="H895" i="2"/>
  <c r="J895" i="2" s="1"/>
  <c r="L895" i="2" s="1"/>
  <c r="H896" i="2"/>
  <c r="H897" i="2"/>
  <c r="J897" i="2" s="1"/>
  <c r="H898" i="2"/>
  <c r="J898" i="2" s="1"/>
  <c r="M898" i="2" s="1"/>
  <c r="H899" i="2"/>
  <c r="J899" i="2" s="1"/>
  <c r="H900" i="2"/>
  <c r="J900" i="2" s="1"/>
  <c r="H901" i="2"/>
  <c r="J901" i="2" s="1"/>
  <c r="H902" i="2"/>
  <c r="J902" i="2" s="1"/>
  <c r="H903" i="2"/>
  <c r="J903" i="2" s="1"/>
  <c r="M903" i="2" s="1"/>
  <c r="H904" i="2"/>
  <c r="J904" i="2" s="1"/>
  <c r="H905" i="2"/>
  <c r="J905" i="2" s="1"/>
  <c r="M905" i="2" s="1"/>
  <c r="H906" i="2"/>
  <c r="J906" i="2" s="1"/>
  <c r="H907" i="2"/>
  <c r="J907" i="2" s="1"/>
  <c r="H908" i="2"/>
  <c r="J908" i="2" s="1"/>
  <c r="L908" i="2" s="1"/>
  <c r="H909" i="2"/>
  <c r="J909" i="2" s="1"/>
  <c r="L909" i="2" s="1"/>
  <c r="H910" i="2"/>
  <c r="J910" i="2" s="1"/>
  <c r="H911" i="2"/>
  <c r="J911" i="2" s="1"/>
  <c r="H912" i="2"/>
  <c r="J912" i="2" s="1"/>
  <c r="H913" i="2"/>
  <c r="J913" i="2" s="1"/>
  <c r="H914" i="2"/>
  <c r="J914" i="2" s="1"/>
  <c r="H915" i="2"/>
  <c r="J915" i="2" s="1"/>
  <c r="M915" i="2" s="1"/>
  <c r="H916" i="2"/>
  <c r="J916" i="2" s="1"/>
  <c r="H917" i="2"/>
  <c r="J917" i="2" s="1"/>
  <c r="M917" i="2" s="1"/>
  <c r="H918" i="2"/>
  <c r="J918" i="2" s="1"/>
  <c r="M918" i="2" s="1"/>
  <c r="H919" i="2"/>
  <c r="J919" i="2" s="1"/>
  <c r="M919" i="2" s="1"/>
  <c r="H920" i="2"/>
  <c r="J920" i="2" s="1"/>
  <c r="M920" i="2" s="1"/>
  <c r="H921" i="2"/>
  <c r="J921" i="2" s="1"/>
  <c r="M921" i="2" s="1"/>
  <c r="H922" i="2"/>
  <c r="J922" i="2" s="1"/>
  <c r="M922" i="2" s="1"/>
  <c r="H923" i="2"/>
  <c r="J923" i="2" s="1"/>
  <c r="M923" i="2" s="1"/>
  <c r="H924" i="2"/>
  <c r="J924" i="2" s="1"/>
  <c r="M924" i="2" s="1"/>
  <c r="H925" i="2"/>
  <c r="J925" i="2" s="1"/>
  <c r="H926" i="2"/>
  <c r="J926" i="2" s="1"/>
  <c r="H927" i="2"/>
  <c r="J927" i="2" s="1"/>
  <c r="M927" i="2" s="1"/>
  <c r="H928" i="2"/>
  <c r="J928" i="2" s="1"/>
  <c r="H929" i="2"/>
  <c r="H930" i="2"/>
  <c r="J930" i="2" s="1"/>
  <c r="M930" i="2" s="1"/>
  <c r="H931" i="2"/>
  <c r="H932" i="2"/>
  <c r="H933" i="2"/>
  <c r="J933" i="2" s="1"/>
  <c r="M933" i="2" s="1"/>
  <c r="H934" i="2"/>
  <c r="J934" i="2" s="1"/>
  <c r="H935" i="2"/>
  <c r="J935" i="2" s="1"/>
  <c r="M935" i="2" s="1"/>
  <c r="H936" i="2"/>
  <c r="J936" i="2" s="1"/>
  <c r="M936" i="2" s="1"/>
  <c r="H937" i="2"/>
  <c r="J937" i="2" s="1"/>
  <c r="H938" i="2"/>
  <c r="J938" i="2" s="1"/>
  <c r="H939" i="2"/>
  <c r="J939" i="2" s="1"/>
  <c r="M939" i="2" s="1"/>
  <c r="H940" i="2"/>
  <c r="J940" i="2" s="1"/>
  <c r="H941" i="2"/>
  <c r="J941" i="2" s="1"/>
  <c r="M941" i="2" s="1"/>
  <c r="H942" i="2"/>
  <c r="J942" i="2" s="1"/>
  <c r="H943" i="2"/>
  <c r="J943" i="2" s="1"/>
  <c r="H944" i="2"/>
  <c r="J944" i="2" s="1"/>
  <c r="M944" i="2" s="1"/>
  <c r="H945" i="2"/>
  <c r="J945" i="2" s="1"/>
  <c r="H946" i="2"/>
  <c r="J946" i="2" s="1"/>
  <c r="H947" i="2"/>
  <c r="J947" i="2" s="1"/>
  <c r="H948" i="2"/>
  <c r="J948" i="2" s="1"/>
  <c r="H949" i="2"/>
  <c r="J949" i="2" s="1"/>
  <c r="H950" i="2"/>
  <c r="J950" i="2" s="1"/>
  <c r="L950" i="2" s="1"/>
  <c r="H951" i="2"/>
  <c r="J951" i="2" s="1"/>
  <c r="M951" i="2" s="1"/>
  <c r="H952" i="2"/>
  <c r="J952" i="2" s="1"/>
  <c r="H953" i="2"/>
  <c r="H954" i="2"/>
  <c r="H955" i="2"/>
  <c r="J955" i="2" s="1"/>
  <c r="M955" i="2" s="1"/>
  <c r="H956" i="2"/>
  <c r="H957" i="2"/>
  <c r="J957" i="2" s="1"/>
  <c r="L957" i="2" s="1"/>
  <c r="H958" i="2"/>
  <c r="H959" i="2"/>
  <c r="J959" i="2" s="1"/>
  <c r="H960" i="2"/>
  <c r="J960" i="2" s="1"/>
  <c r="H961" i="2"/>
  <c r="J961" i="2" s="1"/>
  <c r="H962" i="2"/>
  <c r="J962" i="2" s="1"/>
  <c r="H963" i="2"/>
  <c r="J963" i="2" s="1"/>
  <c r="M963" i="2" s="1"/>
  <c r="H964" i="2"/>
  <c r="J964" i="2" s="1"/>
  <c r="H965" i="2"/>
  <c r="J965" i="2" s="1"/>
  <c r="M965" i="2" s="1"/>
  <c r="H966" i="2"/>
  <c r="J966" i="2" s="1"/>
  <c r="M966" i="2" s="1"/>
  <c r="H967" i="2"/>
  <c r="J967" i="2" s="1"/>
  <c r="M967" i="2" s="1"/>
  <c r="H968" i="2"/>
  <c r="J968" i="2" s="1"/>
  <c r="M968" i="2" s="1"/>
  <c r="H969" i="2"/>
  <c r="J969" i="2" s="1"/>
  <c r="L969" i="2" s="1"/>
  <c r="H970" i="2"/>
  <c r="J970" i="2" s="1"/>
  <c r="H971" i="2"/>
  <c r="J971" i="2" s="1"/>
  <c r="L971" i="2" s="1"/>
  <c r="H972" i="2"/>
  <c r="J972" i="2" s="1"/>
  <c r="H973" i="2"/>
  <c r="J973" i="2" s="1"/>
  <c r="H974" i="2"/>
  <c r="J974" i="2" s="1"/>
  <c r="H975" i="2"/>
  <c r="J975" i="2" s="1"/>
  <c r="M975" i="2" s="1"/>
  <c r="H976" i="2"/>
  <c r="J976" i="2" s="1"/>
  <c r="H977" i="2"/>
  <c r="J977" i="2" s="1"/>
  <c r="M977" i="2" s="1"/>
  <c r="H978" i="2"/>
  <c r="J978" i="2" s="1"/>
  <c r="L978" i="2" s="1"/>
  <c r="H979" i="2"/>
  <c r="J979" i="2" s="1"/>
  <c r="L979" i="2" s="1"/>
  <c r="H980" i="2"/>
  <c r="J980" i="2" s="1"/>
  <c r="M980" i="2" s="1"/>
  <c r="H981" i="2"/>
  <c r="J981" i="2" s="1"/>
  <c r="M981" i="2" s="1"/>
  <c r="H982" i="2"/>
  <c r="H983" i="2"/>
  <c r="J983" i="2" s="1"/>
  <c r="H984" i="2"/>
  <c r="J984" i="2" s="1"/>
  <c r="H985" i="2"/>
  <c r="J985" i="2" s="1"/>
  <c r="H986" i="2"/>
  <c r="J986" i="2" s="1"/>
  <c r="H987" i="2"/>
  <c r="J987" i="2" s="1"/>
  <c r="M987" i="2" s="1"/>
  <c r="H988" i="2"/>
  <c r="J988" i="2" s="1"/>
  <c r="H989" i="2"/>
  <c r="J989" i="2" s="1"/>
  <c r="M989" i="2" s="1"/>
  <c r="H990" i="2"/>
  <c r="J990" i="2" s="1"/>
  <c r="H991" i="2"/>
  <c r="J991" i="2" s="1"/>
  <c r="H992" i="2"/>
  <c r="J992" i="2" s="1"/>
  <c r="M992" i="2" s="1"/>
  <c r="H993" i="2"/>
  <c r="J993" i="2" s="1"/>
  <c r="M993" i="2" s="1"/>
  <c r="H994" i="2"/>
  <c r="J994" i="2" s="1"/>
  <c r="M994" i="2" s="1"/>
  <c r="H995" i="2"/>
  <c r="J995" i="2" s="1"/>
  <c r="H996" i="2"/>
  <c r="J996" i="2" s="1"/>
  <c r="H997" i="2"/>
  <c r="J997" i="2" s="1"/>
  <c r="H998" i="2"/>
  <c r="J998" i="2" s="1"/>
  <c r="H999" i="2"/>
  <c r="J999" i="2" s="1"/>
  <c r="M999" i="2" s="1"/>
  <c r="H1000" i="2"/>
  <c r="J1000" i="2" s="1"/>
  <c r="H1001" i="2"/>
  <c r="H1002" i="2"/>
  <c r="H1003" i="2"/>
  <c r="J1003" i="2" s="1"/>
  <c r="H1004" i="2"/>
  <c r="J1004" i="2" s="1"/>
  <c r="H1005" i="2"/>
  <c r="J1005" i="2" s="1"/>
  <c r="M1005" i="2" s="1"/>
  <c r="H1006" i="2"/>
  <c r="J1006" i="2" s="1"/>
  <c r="M1006" i="2" s="1"/>
  <c r="H1007" i="2"/>
  <c r="J1007" i="2" s="1"/>
  <c r="M1007" i="2" s="1"/>
  <c r="H1008" i="2"/>
  <c r="J1008" i="2" s="1"/>
  <c r="H1009" i="2"/>
  <c r="J1009" i="2" s="1"/>
  <c r="H1010" i="2"/>
  <c r="J1010" i="2" s="1"/>
  <c r="H1011" i="2"/>
  <c r="J1011" i="2" s="1"/>
  <c r="M1011" i="2" s="1"/>
  <c r="H1012" i="2"/>
  <c r="J1012" i="2" s="1"/>
  <c r="H1013" i="2"/>
  <c r="J1013" i="2" s="1"/>
  <c r="M1013" i="2" s="1"/>
  <c r="H1014" i="2"/>
  <c r="J1014" i="2" s="1"/>
  <c r="M1014" i="2" s="1"/>
  <c r="H1015" i="2"/>
  <c r="J1015" i="2" s="1"/>
  <c r="M1015" i="2" s="1"/>
  <c r="H1016" i="2"/>
  <c r="J1016" i="2" s="1"/>
  <c r="M1016" i="2" s="1"/>
  <c r="H1017" i="2"/>
  <c r="J1017" i="2" s="1"/>
  <c r="H1018" i="2"/>
  <c r="J1018" i="2" s="1"/>
  <c r="H1019" i="2"/>
  <c r="J1019" i="2" s="1"/>
  <c r="M1019" i="2" s="1"/>
  <c r="H1020" i="2"/>
  <c r="J1020" i="2" s="1"/>
  <c r="M1020" i="2" s="1"/>
  <c r="H1021" i="2"/>
  <c r="J1021" i="2" s="1"/>
  <c r="H1022" i="2"/>
  <c r="J1022" i="2" s="1"/>
  <c r="H1023" i="2"/>
  <c r="J1023" i="2" s="1"/>
  <c r="M1023" i="2" s="1"/>
  <c r="H1024" i="2"/>
  <c r="J1024" i="2" s="1"/>
  <c r="H1025" i="2"/>
  <c r="H1026" i="2"/>
  <c r="H1027" i="2"/>
  <c r="J1027" i="2" s="1"/>
  <c r="H1028" i="2"/>
  <c r="J1028" i="2" s="1"/>
  <c r="H1029" i="2"/>
  <c r="J1029" i="2" s="1"/>
  <c r="H1030" i="2"/>
  <c r="J1030" i="2" s="1"/>
  <c r="M1030" i="2" s="1"/>
  <c r="H1031" i="2"/>
  <c r="J1031" i="2" s="1"/>
  <c r="H1032" i="2"/>
  <c r="J1032" i="2" s="1"/>
  <c r="H1033" i="2"/>
  <c r="J1033" i="2" s="1"/>
  <c r="H1034" i="2"/>
  <c r="J1034" i="2" s="1"/>
  <c r="H1035" i="2"/>
  <c r="J1035" i="2" s="1"/>
  <c r="M1035" i="2" s="1"/>
  <c r="H1036" i="2"/>
  <c r="J1036" i="2" s="1"/>
  <c r="H1037" i="2"/>
  <c r="J1037" i="2" s="1"/>
  <c r="M1037" i="2" s="1"/>
  <c r="H1038" i="2"/>
  <c r="J1038" i="2" s="1"/>
  <c r="M1038" i="2" s="1"/>
  <c r="H1039" i="2"/>
  <c r="J1039" i="2" s="1"/>
  <c r="M1039" i="2" s="1"/>
  <c r="H1040" i="2"/>
  <c r="J1040" i="2" s="1"/>
  <c r="H1041" i="2"/>
  <c r="J1041" i="2" s="1"/>
  <c r="L1041" i="2" s="1"/>
  <c r="H1042" i="2"/>
  <c r="J1042" i="2" s="1"/>
  <c r="H1043" i="2"/>
  <c r="J1043" i="2" s="1"/>
  <c r="H1044" i="2"/>
  <c r="J1044" i="2" s="1"/>
  <c r="H1045" i="2"/>
  <c r="J1045" i="2" s="1"/>
  <c r="H1046" i="2"/>
  <c r="J1046" i="2" s="1"/>
  <c r="H1047" i="2"/>
  <c r="J1047" i="2" s="1"/>
  <c r="M1047" i="2" s="1"/>
  <c r="H1048" i="2"/>
  <c r="J1048" i="2" s="1"/>
  <c r="H1049" i="2"/>
  <c r="H1050" i="2"/>
  <c r="H1051" i="2"/>
  <c r="J1051" i="2" s="1"/>
  <c r="L1051" i="2" s="1"/>
  <c r="H1052" i="2"/>
  <c r="H1053" i="2"/>
  <c r="J1053" i="2" s="1"/>
  <c r="M1053" i="2" s="1"/>
  <c r="H1054" i="2"/>
  <c r="H1055" i="2"/>
  <c r="J1055" i="2" s="1"/>
  <c r="L1055" i="2" s="1"/>
  <c r="H1056" i="2"/>
  <c r="J1056" i="2" s="1"/>
  <c r="H1057" i="2"/>
  <c r="J1057" i="2" s="1"/>
  <c r="L1057" i="2" s="1"/>
  <c r="H1058" i="2"/>
  <c r="J1058" i="2" s="1"/>
  <c r="H1059" i="2"/>
  <c r="J1059" i="2" s="1"/>
  <c r="M1059" i="2" s="1"/>
  <c r="H1060" i="2"/>
  <c r="J1060" i="2" s="1"/>
  <c r="H1061" i="2"/>
  <c r="J1061" i="2" s="1"/>
  <c r="M1061" i="2" s="1"/>
  <c r="H1062" i="2"/>
  <c r="J1062" i="2" s="1"/>
  <c r="M1062" i="2" s="1"/>
  <c r="H1063" i="2"/>
  <c r="J1063" i="2" s="1"/>
  <c r="M1063" i="2" s="1"/>
  <c r="H1064" i="2"/>
  <c r="J1064" i="2" s="1"/>
  <c r="M1064" i="2" s="1"/>
  <c r="H1065" i="2"/>
  <c r="J1065" i="2" s="1"/>
  <c r="M1065" i="2" s="1"/>
  <c r="H1066" i="2"/>
  <c r="J1066" i="2" s="1"/>
  <c r="M1066" i="2" s="1"/>
  <c r="H1067" i="2"/>
  <c r="J1067" i="2" s="1"/>
  <c r="H1068" i="2"/>
  <c r="J1068" i="2" s="1"/>
  <c r="M1068" i="2" s="1"/>
  <c r="H1069" i="2"/>
  <c r="J1069" i="2" s="1"/>
  <c r="H1070" i="2"/>
  <c r="J1070" i="2" s="1"/>
  <c r="H1071" i="2"/>
  <c r="J1071" i="2" s="1"/>
  <c r="H1072" i="2"/>
  <c r="J1072" i="2" s="1"/>
  <c r="H1073" i="2"/>
  <c r="H1074" i="2"/>
  <c r="J1074" i="2" s="1"/>
  <c r="H1075" i="2"/>
  <c r="J1075" i="2" s="1"/>
  <c r="H1076" i="2"/>
  <c r="J1076" i="2" s="1"/>
  <c r="H1077" i="2"/>
  <c r="J1077" i="2" s="1"/>
  <c r="L1077" i="2" s="1"/>
  <c r="H1078" i="2"/>
  <c r="J1078" i="2" s="1"/>
  <c r="L1078" i="2" s="1"/>
  <c r="H1079" i="2"/>
  <c r="J1079" i="2" s="1"/>
  <c r="L1079" i="2" s="1"/>
  <c r="H1080" i="2"/>
  <c r="J1080" i="2" s="1"/>
  <c r="H1081" i="2"/>
  <c r="J1081" i="2" s="1"/>
  <c r="H1082" i="2"/>
  <c r="J1082" i="2" s="1"/>
  <c r="H1083" i="2"/>
  <c r="J1083" i="2" s="1"/>
  <c r="M1083" i="2" s="1"/>
  <c r="H1084" i="2"/>
  <c r="J1084" i="2" s="1"/>
  <c r="H1085" i="2"/>
  <c r="J1085" i="2" s="1"/>
  <c r="M1085" i="2" s="1"/>
  <c r="H1086" i="2"/>
  <c r="J1086" i="2" s="1"/>
  <c r="M1086" i="2" s="1"/>
  <c r="H1087" i="2"/>
  <c r="J1087" i="2" s="1"/>
  <c r="H1088" i="2"/>
  <c r="J1088" i="2" s="1"/>
  <c r="M1088" i="2" s="1"/>
  <c r="H1089" i="2"/>
  <c r="J1089" i="2" s="1"/>
  <c r="L1089" i="2" s="1"/>
  <c r="H1090" i="2"/>
  <c r="J1090" i="2" s="1"/>
  <c r="M1090" i="2" s="1"/>
  <c r="H1091" i="2"/>
  <c r="J1091" i="2" s="1"/>
  <c r="H1092" i="2"/>
  <c r="J1092" i="2" s="1"/>
  <c r="H1093" i="2"/>
  <c r="J1093" i="2" s="1"/>
  <c r="L1093" i="2" s="1"/>
  <c r="H1094" i="2"/>
  <c r="J1094" i="2" s="1"/>
  <c r="H1095" i="2"/>
  <c r="J1095" i="2" s="1"/>
  <c r="H1096" i="2"/>
  <c r="J1096" i="2" s="1"/>
  <c r="H1097" i="2"/>
  <c r="J1097" i="2" s="1"/>
  <c r="M1097" i="2" s="1"/>
  <c r="H1098" i="2"/>
  <c r="J1098" i="2" s="1"/>
  <c r="M1098" i="2" s="1"/>
  <c r="H1099" i="2"/>
  <c r="J1099" i="2" s="1"/>
  <c r="H1100" i="2"/>
  <c r="J1100" i="2" s="1"/>
  <c r="M1100" i="2" s="1"/>
  <c r="H1101" i="2"/>
  <c r="J1101" i="2" s="1"/>
  <c r="H1102" i="2"/>
  <c r="J1102" i="2" s="1"/>
  <c r="M1102" i="2" s="1"/>
  <c r="H1103" i="2"/>
  <c r="J1103" i="2" s="1"/>
  <c r="M1103" i="2" s="1"/>
  <c r="H1104" i="2"/>
  <c r="J1104" i="2" s="1"/>
  <c r="H1105" i="2"/>
  <c r="J1105" i="2" s="1"/>
  <c r="H1106" i="2"/>
  <c r="J1106" i="2" s="1"/>
  <c r="H1107" i="2"/>
  <c r="J1107" i="2" s="1"/>
  <c r="H1108" i="2"/>
  <c r="J1108" i="2" s="1"/>
  <c r="H1109" i="2"/>
  <c r="J1109" i="2" s="1"/>
  <c r="M1109" i="2" s="1"/>
  <c r="H1110" i="2"/>
  <c r="J1110" i="2" s="1"/>
  <c r="L1110" i="2" s="1"/>
  <c r="H1111" i="2"/>
  <c r="J1111" i="2" s="1"/>
  <c r="H1112" i="2"/>
  <c r="J1112" i="2" s="1"/>
  <c r="M1112" i="2" s="1"/>
  <c r="H1113" i="2"/>
  <c r="J1113" i="2" s="1"/>
  <c r="H1114" i="2"/>
  <c r="J1114" i="2" s="1"/>
  <c r="H1115" i="2"/>
  <c r="J1115" i="2" s="1"/>
  <c r="H1116" i="2"/>
  <c r="J1116" i="2" s="1"/>
  <c r="H1117" i="2"/>
  <c r="J1117" i="2" s="1"/>
  <c r="L1117" i="2" s="1"/>
  <c r="H1118" i="2"/>
  <c r="J1118" i="2" s="1"/>
  <c r="H1119" i="2"/>
  <c r="J1119" i="2" s="1"/>
  <c r="H1120" i="2"/>
  <c r="H1121" i="2"/>
  <c r="H1122" i="2"/>
  <c r="H1123" i="2"/>
  <c r="H1124" i="2"/>
  <c r="H1125" i="2"/>
  <c r="H1126" i="2"/>
  <c r="J1126" i="2" s="1"/>
  <c r="H1127" i="2"/>
  <c r="J1127" i="2" s="1"/>
  <c r="H1128" i="2"/>
  <c r="J1128" i="2" s="1"/>
  <c r="H1129" i="2"/>
  <c r="J1129" i="2" s="1"/>
  <c r="H1130" i="2"/>
  <c r="J1130" i="2" s="1"/>
  <c r="H1131" i="2"/>
  <c r="J1131" i="2" s="1"/>
  <c r="H1132" i="2"/>
  <c r="J1132" i="2" s="1"/>
  <c r="H1133" i="2"/>
  <c r="J1133" i="2" s="1"/>
  <c r="M1133" i="2" s="1"/>
  <c r="H1134" i="2"/>
  <c r="J1134" i="2" s="1"/>
  <c r="H1135" i="2"/>
  <c r="J1135" i="2" s="1"/>
  <c r="H1136" i="2"/>
  <c r="J1136" i="2" s="1"/>
  <c r="H1137" i="2"/>
  <c r="J1137" i="2" s="1"/>
  <c r="M1137" i="2" s="1"/>
  <c r="H1138" i="2"/>
  <c r="J1138" i="2" s="1"/>
  <c r="M1138" i="2" s="1"/>
  <c r="H1139" i="2"/>
  <c r="J1139" i="2" s="1"/>
  <c r="H1140" i="2"/>
  <c r="J1140" i="2" s="1"/>
  <c r="H1141" i="2"/>
  <c r="J1141" i="2" s="1"/>
  <c r="H1142" i="2"/>
  <c r="J1142" i="2" s="1"/>
  <c r="H1143" i="2"/>
  <c r="J1143" i="2" s="1"/>
  <c r="H1144" i="2"/>
  <c r="J1144" i="2" s="1"/>
  <c r="H1145" i="2"/>
  <c r="J1145" i="2" s="1"/>
  <c r="H1146" i="2"/>
  <c r="J1146" i="2" s="1"/>
  <c r="M1146" i="2" s="1"/>
  <c r="H1147" i="2"/>
  <c r="J1147" i="2" s="1"/>
  <c r="L1147" i="2" s="1"/>
  <c r="H1148" i="2"/>
  <c r="J1148" i="2" s="1"/>
  <c r="M1148" i="2" s="1"/>
  <c r="H1149" i="2"/>
  <c r="J1149" i="2" s="1"/>
  <c r="M1149" i="2" s="1"/>
  <c r="H1150" i="2"/>
  <c r="J1150" i="2" s="1"/>
  <c r="M1150" i="2" s="1"/>
  <c r="H1151" i="2"/>
  <c r="J1151" i="2" s="1"/>
  <c r="M1151" i="2" s="1"/>
  <c r="H1152" i="2"/>
  <c r="J1152" i="2" s="1"/>
  <c r="M1152" i="2" s="1"/>
  <c r="H1153" i="2"/>
  <c r="J1153" i="2" s="1"/>
  <c r="H1154" i="2"/>
  <c r="J1154" i="2" s="1"/>
  <c r="L1154" i="2" s="1"/>
  <c r="H1155" i="2"/>
  <c r="J1155" i="2" s="1"/>
  <c r="H1156" i="2"/>
  <c r="J1156" i="2" s="1"/>
  <c r="H1157" i="2"/>
  <c r="J1157" i="2" s="1"/>
  <c r="M1157" i="2" s="1"/>
  <c r="H1158" i="2"/>
  <c r="J1158" i="2" s="1"/>
  <c r="H1159" i="2"/>
  <c r="H1160" i="2"/>
  <c r="H1161" i="2"/>
  <c r="H1162" i="2"/>
  <c r="H1163" i="2"/>
  <c r="J1163" i="2" s="1"/>
  <c r="M1163" i="2" s="1"/>
  <c r="H1164" i="2"/>
  <c r="J1164" i="2" s="1"/>
  <c r="M1164" i="2" s="1"/>
  <c r="H1165" i="2"/>
  <c r="J1165" i="2" s="1"/>
  <c r="H1166" i="2"/>
  <c r="J1166" i="2" s="1"/>
  <c r="H1167" i="2"/>
  <c r="J1167" i="2" s="1"/>
  <c r="H1168" i="2"/>
  <c r="H1169" i="2"/>
  <c r="H1170" i="2"/>
  <c r="J1170" i="2" s="1"/>
  <c r="M1170" i="2" s="1"/>
  <c r="H1171" i="2"/>
  <c r="J1171" i="2" s="1"/>
  <c r="M1171" i="2" s="1"/>
  <c r="H1172" i="2"/>
  <c r="J1172" i="2" s="1"/>
  <c r="M1172" i="2" s="1"/>
  <c r="H1173" i="2"/>
  <c r="J1173" i="2" s="1"/>
  <c r="L1173" i="2" s="1"/>
  <c r="H1174" i="2"/>
  <c r="J1174" i="2" s="1"/>
  <c r="M1174" i="2" s="1"/>
  <c r="H1175" i="2"/>
  <c r="J1175" i="2" s="1"/>
  <c r="H1176" i="2"/>
  <c r="J1176" i="2" s="1"/>
  <c r="L1176" i="2" s="1"/>
  <c r="H1177" i="2"/>
  <c r="J1177" i="2" s="1"/>
  <c r="H1178" i="2"/>
  <c r="J1178" i="2" s="1"/>
  <c r="H1179" i="2"/>
  <c r="J1179" i="2" s="1"/>
  <c r="H1180" i="2"/>
  <c r="J1180" i="2" s="1"/>
  <c r="H1181" i="2"/>
  <c r="H1182" i="2"/>
  <c r="H1183" i="2"/>
  <c r="J1183" i="2" s="1"/>
  <c r="L1183" i="2" s="1"/>
  <c r="H1184" i="2"/>
  <c r="J1184" i="2" s="1"/>
  <c r="H1185" i="2"/>
  <c r="J1185" i="2" s="1"/>
  <c r="L1185" i="2" s="1"/>
  <c r="H1186" i="2"/>
  <c r="J1186" i="2" s="1"/>
  <c r="M1186" i="2" s="1"/>
  <c r="H1187" i="2"/>
  <c r="J1187" i="2" s="1"/>
  <c r="H1188" i="2"/>
  <c r="J1188" i="2" s="1"/>
  <c r="H1189" i="2"/>
  <c r="J1189" i="2" s="1"/>
  <c r="H1190" i="2"/>
  <c r="J1190" i="2" s="1"/>
  <c r="H1191" i="2"/>
  <c r="J1191" i="2" s="1"/>
  <c r="M1191" i="2" s="1"/>
  <c r="H1192" i="2"/>
  <c r="J1192" i="2" s="1"/>
  <c r="M1192" i="2" s="1"/>
  <c r="H1193" i="2"/>
  <c r="J1193" i="2" s="1"/>
  <c r="M1193" i="2" s="1"/>
  <c r="H1194" i="2"/>
  <c r="J1194" i="2" s="1"/>
  <c r="M1194" i="2" s="1"/>
  <c r="H1195" i="2"/>
  <c r="J1195" i="2" s="1"/>
  <c r="M1195" i="2" s="1"/>
  <c r="H1196" i="2"/>
  <c r="J1196" i="2" s="1"/>
  <c r="M1196" i="2" s="1"/>
  <c r="H1197" i="2"/>
  <c r="J1197" i="2" s="1"/>
  <c r="M1197" i="2" s="1"/>
  <c r="H1198" i="2"/>
  <c r="J1198" i="2" s="1"/>
  <c r="M1198" i="2" s="1"/>
  <c r="H1199" i="2"/>
  <c r="J1199" i="2" s="1"/>
  <c r="H1200" i="2"/>
  <c r="J1200" i="2" s="1"/>
  <c r="H1201" i="2"/>
  <c r="J1201" i="2" s="1"/>
  <c r="H1202" i="2"/>
  <c r="J1202" i="2" s="1"/>
  <c r="H1203" i="2"/>
  <c r="J1203" i="2" s="1"/>
  <c r="M1203" i="2" s="1"/>
  <c r="H1204" i="2"/>
  <c r="J1204" i="2" s="1"/>
  <c r="L1204" i="2" s="1"/>
  <c r="H1205" i="2"/>
  <c r="H1206" i="2"/>
  <c r="H1207" i="2"/>
  <c r="H1208" i="2"/>
  <c r="H1209" i="2"/>
  <c r="J1209" i="2" s="1"/>
  <c r="H1210" i="2"/>
  <c r="J1210" i="2" s="1"/>
  <c r="M1210" i="2" s="1"/>
  <c r="H1211" i="2"/>
  <c r="J1211" i="2" s="1"/>
  <c r="H1212" i="2"/>
  <c r="J1212" i="2" s="1"/>
  <c r="H1213" i="2"/>
  <c r="J1213" i="2" s="1"/>
  <c r="H1214" i="2"/>
  <c r="J1214" i="2" s="1"/>
  <c r="H1215" i="2"/>
  <c r="J1215" i="2" s="1"/>
  <c r="H1216" i="2"/>
  <c r="J1216" i="2" s="1"/>
  <c r="M1216" i="2" s="1"/>
  <c r="H1217" i="2"/>
  <c r="J1217" i="2" s="1"/>
  <c r="M1217" i="2" s="1"/>
  <c r="H1218" i="2"/>
  <c r="J1218" i="2" s="1"/>
  <c r="M1218" i="2" s="1"/>
  <c r="H1219" i="2"/>
  <c r="J1219" i="2" s="1"/>
  <c r="M1219" i="2" s="1"/>
  <c r="H1220" i="2"/>
  <c r="H1221" i="2"/>
  <c r="J1221" i="2" s="1"/>
  <c r="M1221" i="2" s="1"/>
  <c r="H1222" i="2"/>
  <c r="J1222" i="2" s="1"/>
  <c r="L1222" i="2" s="1"/>
  <c r="H1223" i="2"/>
  <c r="J1223" i="2" s="1"/>
  <c r="H1224" i="2"/>
  <c r="J1224" i="2" s="1"/>
  <c r="H1225" i="2"/>
  <c r="J1225" i="2" s="1"/>
  <c r="H1226" i="2"/>
  <c r="J1226" i="2" s="1"/>
  <c r="H1227" i="2"/>
  <c r="H1228" i="2"/>
  <c r="H1229" i="2"/>
  <c r="H1230" i="2"/>
  <c r="J1230" i="2" s="1"/>
  <c r="L1230" i="2" s="1"/>
  <c r="H1231" i="2"/>
  <c r="J1231" i="2" s="1"/>
  <c r="H1232" i="2"/>
  <c r="J1232" i="2" s="1"/>
  <c r="H1233" i="2"/>
  <c r="J1233" i="2" s="1"/>
  <c r="H1234" i="2"/>
  <c r="J1234" i="2" s="1"/>
  <c r="H1235" i="2"/>
  <c r="J1235" i="2" s="1"/>
  <c r="H1236" i="2"/>
  <c r="J1236" i="2" s="1"/>
  <c r="H1237" i="2"/>
  <c r="J1237" i="2" s="1"/>
  <c r="H1238" i="2"/>
  <c r="J1238" i="2" s="1"/>
  <c r="H1239" i="2"/>
  <c r="J1239" i="2" s="1"/>
  <c r="M1239" i="2" s="1"/>
  <c r="H1240" i="2"/>
  <c r="J1240" i="2" s="1"/>
  <c r="M1240" i="2" s="1"/>
  <c r="H1241" i="2"/>
  <c r="J1241" i="2" s="1"/>
  <c r="M1241" i="2" s="1"/>
  <c r="H1242" i="2"/>
  <c r="J1242" i="2" s="1"/>
  <c r="L1242" i="2" s="1"/>
  <c r="H1243" i="2"/>
  <c r="J1243" i="2" s="1"/>
  <c r="L1243" i="2" s="1"/>
  <c r="H1244" i="2"/>
  <c r="J1244" i="2" s="1"/>
  <c r="M1244" i="2" s="1"/>
  <c r="H1245" i="2"/>
  <c r="J1245" i="2" s="1"/>
  <c r="H1246" i="2"/>
  <c r="J1246" i="2" s="1"/>
  <c r="H1247" i="2"/>
  <c r="J1247" i="2" s="1"/>
  <c r="M1247" i="2" s="1"/>
  <c r="H1248" i="2"/>
  <c r="J1248" i="2" s="1"/>
  <c r="M1248" i="2" s="1"/>
  <c r="H1249" i="2"/>
  <c r="J1249" i="2" s="1"/>
  <c r="L1249" i="2" s="1"/>
  <c r="H1250" i="2"/>
  <c r="J1250" i="2" s="1"/>
  <c r="H1251" i="2"/>
  <c r="J1251" i="2" s="1"/>
  <c r="H1252" i="2"/>
  <c r="J1252" i="2" s="1"/>
  <c r="H1253" i="2"/>
  <c r="J1253" i="2" s="1"/>
  <c r="M1253" i="2" s="1"/>
  <c r="H1254" i="2"/>
  <c r="J1254" i="2" s="1"/>
  <c r="M1254" i="2" s="1"/>
  <c r="H1255" i="2"/>
  <c r="J1255" i="2" s="1"/>
  <c r="M1255" i="2" s="1"/>
  <c r="H1256" i="2"/>
  <c r="J1256" i="2" s="1"/>
  <c r="M1256" i="2" s="1"/>
  <c r="H1257" i="2"/>
  <c r="J1257" i="2" s="1"/>
  <c r="H1258" i="2"/>
  <c r="J1258" i="2" s="1"/>
  <c r="L1258" i="2" s="1"/>
  <c r="H1259" i="2"/>
  <c r="J1259" i="2" s="1"/>
  <c r="H1260" i="2"/>
  <c r="J1260" i="2" s="1"/>
  <c r="H1261" i="2"/>
  <c r="J1261" i="2" s="1"/>
  <c r="H1262" i="2"/>
  <c r="J1262" i="2" s="1"/>
  <c r="H1263" i="2"/>
  <c r="H1264" i="2"/>
  <c r="H1265" i="2"/>
  <c r="J1265" i="2" s="1"/>
  <c r="M1265" i="2" s="1"/>
  <c r="H1266" i="2"/>
  <c r="J1266" i="2" s="1"/>
  <c r="M1266" i="2" s="1"/>
  <c r="H1267" i="2"/>
  <c r="J1267" i="2" s="1"/>
  <c r="M1267" i="2" s="1"/>
  <c r="H1268" i="2"/>
  <c r="J1268" i="2" s="1"/>
  <c r="M1268" i="2" s="1"/>
  <c r="H1269" i="2"/>
  <c r="J1269" i="2" s="1"/>
  <c r="M1269" i="2" s="1"/>
  <c r="H1270" i="2"/>
  <c r="J1270" i="2" s="1"/>
  <c r="H1271" i="2"/>
  <c r="J1271" i="2" s="1"/>
  <c r="H1272" i="2"/>
  <c r="J1272" i="2" s="1"/>
  <c r="H1273" i="2"/>
  <c r="J1273" i="2" s="1"/>
  <c r="H1274" i="2"/>
  <c r="H1275" i="2"/>
  <c r="H1276" i="2"/>
  <c r="H1277" i="2"/>
  <c r="J1277" i="2" s="1"/>
  <c r="M1277" i="2" s="1"/>
  <c r="H1278" i="2"/>
  <c r="J1278" i="2" s="1"/>
  <c r="M1278" i="2" s="1"/>
  <c r="H1279" i="2"/>
  <c r="J1279" i="2" s="1"/>
  <c r="L1279" i="2" s="1"/>
  <c r="H1280" i="2"/>
  <c r="J1280" i="2" s="1"/>
  <c r="L1280" i="2" s="1"/>
  <c r="H1281" i="2"/>
  <c r="J1281" i="2" s="1"/>
  <c r="L1281" i="2" s="1"/>
  <c r="H1282" i="2"/>
  <c r="J1282" i="2" s="1"/>
  <c r="H1283" i="2"/>
  <c r="J1283" i="2" s="1"/>
  <c r="M1283" i="2" s="1"/>
  <c r="H1284" i="2"/>
  <c r="J1284" i="2" s="1"/>
  <c r="L1284" i="2" s="1"/>
  <c r="H1285" i="2"/>
  <c r="J1285" i="2" s="1"/>
  <c r="L1285" i="2" s="1"/>
  <c r="H1286" i="2"/>
  <c r="J1286" i="2" s="1"/>
  <c r="H1287" i="2"/>
  <c r="J1287" i="2" s="1"/>
  <c r="H1288" i="2"/>
  <c r="J1288" i="2" s="1"/>
  <c r="M1288" i="2" s="1"/>
  <c r="H1289" i="2"/>
  <c r="J1289" i="2" s="1"/>
  <c r="M1289" i="2" s="1"/>
  <c r="H1290" i="2"/>
  <c r="H1291" i="2"/>
  <c r="J1291" i="2" s="1"/>
  <c r="M1291" i="2" s="1"/>
  <c r="H1292" i="2"/>
  <c r="H1293" i="2"/>
  <c r="J1293" i="2" s="1"/>
  <c r="M1293" i="2" s="1"/>
  <c r="H1294" i="2"/>
  <c r="H1295" i="2"/>
  <c r="J1295" i="2" s="1"/>
  <c r="M1295" i="2" s="1"/>
  <c r="H1296" i="2"/>
  <c r="J1296" i="2" s="1"/>
  <c r="M1296" i="2" s="1"/>
  <c r="H1297" i="2"/>
  <c r="J1297" i="2" s="1"/>
  <c r="H1298" i="2"/>
  <c r="J1298" i="2" s="1"/>
  <c r="H1299" i="2"/>
  <c r="J1299" i="2" s="1"/>
  <c r="H1300" i="2"/>
  <c r="J1300" i="2" s="1"/>
  <c r="M1300" i="2" s="1"/>
  <c r="H1301" i="2"/>
  <c r="J1301" i="2" s="1"/>
  <c r="M1301" i="2" s="1"/>
  <c r="H1302" i="2"/>
  <c r="J1302" i="2" s="1"/>
  <c r="L1302" i="2" s="1"/>
  <c r="H1303" i="2"/>
  <c r="J1303" i="2" s="1"/>
  <c r="H1304" i="2"/>
  <c r="H1305" i="2"/>
  <c r="J1305" i="2" s="1"/>
  <c r="M1305" i="2" s="1"/>
  <c r="H1306" i="2"/>
  <c r="J1306" i="2" s="1"/>
  <c r="H1307" i="2"/>
  <c r="J1307" i="2" s="1"/>
  <c r="H1308" i="2"/>
  <c r="J1308" i="2" s="1"/>
  <c r="M1308" i="2" s="1"/>
  <c r="H1309" i="2"/>
  <c r="J1309" i="2" s="1"/>
  <c r="H1310" i="2"/>
  <c r="H1311" i="2"/>
  <c r="H1312" i="2"/>
  <c r="J1312" i="2" s="1"/>
  <c r="M1312" i="2" s="1"/>
  <c r="H1313" i="2"/>
  <c r="J1313" i="2" s="1"/>
  <c r="M1313" i="2" s="1"/>
  <c r="H1314" i="2"/>
  <c r="J1314" i="2" s="1"/>
  <c r="M1314" i="2" s="1"/>
  <c r="H1315" i="2"/>
  <c r="J1315" i="2" s="1"/>
  <c r="M1315" i="2" s="1"/>
  <c r="H1316" i="2"/>
  <c r="J1316" i="2" s="1"/>
  <c r="M1316" i="2" s="1"/>
  <c r="H1317" i="2"/>
  <c r="J1317" i="2" s="1"/>
  <c r="L1317" i="2" s="1"/>
  <c r="H1318" i="2"/>
  <c r="J1318" i="2" s="1"/>
  <c r="M1318" i="2" s="1"/>
  <c r="H1319" i="2"/>
  <c r="J1319" i="2" s="1"/>
  <c r="H1320" i="2"/>
  <c r="J1320" i="2" s="1"/>
  <c r="H1321" i="2"/>
  <c r="J1321" i="2" s="1"/>
  <c r="H1322" i="2"/>
  <c r="J1322" i="2" s="1"/>
  <c r="H1323" i="2"/>
  <c r="J1323" i="2" s="1"/>
  <c r="M1323" i="2" s="1"/>
  <c r="H1324" i="2"/>
  <c r="J1324" i="2" s="1"/>
  <c r="H1325" i="2"/>
  <c r="J1325" i="2" s="1"/>
  <c r="M1325" i="2" s="1"/>
  <c r="H1326" i="2"/>
  <c r="J1326" i="2" s="1"/>
  <c r="H1327" i="2"/>
  <c r="J1327" i="2" s="1"/>
  <c r="H1328" i="2"/>
  <c r="J1328" i="2" s="1"/>
  <c r="H1329" i="2"/>
  <c r="J1329" i="2" s="1"/>
  <c r="L1329" i="2" s="1"/>
  <c r="H1330" i="2"/>
  <c r="J1330" i="2" s="1"/>
  <c r="H1331" i="2"/>
  <c r="J1331" i="2" s="1"/>
  <c r="H1332" i="2"/>
  <c r="J1332" i="2" s="1"/>
  <c r="H1333" i="2"/>
  <c r="J1333" i="2" s="1"/>
  <c r="H1334" i="2"/>
  <c r="J1334" i="2" s="1"/>
  <c r="H1335" i="2"/>
  <c r="J1335" i="2" s="1"/>
  <c r="M1335" i="2" s="1"/>
  <c r="H1336" i="2"/>
  <c r="J1336" i="2" s="1"/>
  <c r="H1337" i="2"/>
  <c r="H1338" i="2"/>
  <c r="H1339" i="2"/>
  <c r="H1340" i="2"/>
  <c r="H1341" i="2"/>
  <c r="H1342" i="2"/>
  <c r="H1343" i="2"/>
  <c r="J1343" i="2" s="1"/>
  <c r="H1344" i="2"/>
  <c r="J1344" i="2" s="1"/>
  <c r="H1345" i="2"/>
  <c r="J1345" i="2" s="1"/>
  <c r="H1346" i="2"/>
  <c r="J1346" i="2" s="1"/>
  <c r="L1346" i="2" s="1"/>
  <c r="H1347" i="2"/>
  <c r="J1347" i="2" s="1"/>
  <c r="M1347" i="2" s="1"/>
  <c r="H1348" i="2"/>
  <c r="J1348" i="2" s="1"/>
  <c r="H1349" i="2"/>
  <c r="J1349" i="2" s="1"/>
  <c r="M1349" i="2" s="1"/>
  <c r="H1350" i="2"/>
  <c r="J1350" i="2" s="1"/>
  <c r="H1351" i="2"/>
  <c r="J1351" i="2" s="1"/>
  <c r="M1351" i="2" s="1"/>
  <c r="H1352" i="2"/>
  <c r="J1352" i="2" s="1"/>
  <c r="M1352" i="2" s="1"/>
  <c r="H1353" i="2"/>
  <c r="J1353" i="2" s="1"/>
  <c r="M1353" i="2" s="1"/>
  <c r="H1354" i="2"/>
  <c r="J1354" i="2" s="1"/>
  <c r="M1354" i="2" s="1"/>
  <c r="H1355" i="2"/>
  <c r="J1355" i="2" s="1"/>
  <c r="H1356" i="2"/>
  <c r="J1356" i="2" s="1"/>
  <c r="H1357" i="2"/>
  <c r="J1357" i="2" s="1"/>
  <c r="H1358" i="2"/>
  <c r="J1358" i="2" s="1"/>
  <c r="H1359" i="2"/>
  <c r="J1359" i="2" s="1"/>
  <c r="M1359" i="2" s="1"/>
  <c r="H1360" i="2"/>
  <c r="J1360" i="2" s="1"/>
  <c r="L1360" i="2" s="1"/>
  <c r="H1361" i="2"/>
  <c r="J1361" i="2" s="1"/>
  <c r="M1361" i="2" s="1"/>
  <c r="H1362" i="2"/>
  <c r="J1362" i="2" s="1"/>
  <c r="H1363" i="2"/>
  <c r="J1363" i="2" s="1"/>
  <c r="H1364" i="2"/>
  <c r="J1364" i="2" s="1"/>
  <c r="M1364" i="2" s="1"/>
  <c r="H1365" i="2"/>
  <c r="J1365" i="2" s="1"/>
  <c r="H1366" i="2"/>
  <c r="J1366" i="2" s="1"/>
  <c r="H1367" i="2"/>
  <c r="J1367" i="2" s="1"/>
  <c r="L1367" i="2" s="1"/>
  <c r="H1368" i="2"/>
  <c r="J1368" i="2" s="1"/>
  <c r="H1369" i="2"/>
  <c r="J1369" i="2" s="1"/>
  <c r="H1370" i="2"/>
  <c r="J1370" i="2" s="1"/>
  <c r="H1371" i="2"/>
  <c r="H1372" i="2"/>
  <c r="H1373" i="2"/>
  <c r="H1374" i="2"/>
  <c r="J1374" i="2" s="1"/>
  <c r="M1374" i="2" s="1"/>
  <c r="H1375" i="2"/>
  <c r="J1375" i="2" s="1"/>
  <c r="H1376" i="2"/>
  <c r="J1376" i="2" s="1"/>
  <c r="M1376" i="2" s="1"/>
  <c r="H1377" i="2"/>
  <c r="J1377" i="2" s="1"/>
  <c r="H1378" i="2"/>
  <c r="J1378" i="2" s="1"/>
  <c r="M1378" i="2" s="1"/>
  <c r="H1379" i="2"/>
  <c r="J1379" i="2" s="1"/>
  <c r="M1379" i="2" s="1"/>
  <c r="H1380" i="2"/>
  <c r="J1380" i="2" s="1"/>
  <c r="L1380" i="2" s="1"/>
  <c r="H1381" i="2"/>
  <c r="J1381" i="2" s="1"/>
  <c r="L1381" i="2" s="1"/>
  <c r="H1382" i="2"/>
  <c r="J1382" i="2" s="1"/>
  <c r="L1382" i="2" s="1"/>
  <c r="H1383" i="2"/>
  <c r="J1383" i="2" s="1"/>
  <c r="H1384" i="2"/>
  <c r="J1384" i="2" s="1"/>
  <c r="H1385" i="2"/>
  <c r="H1386" i="2"/>
  <c r="H1387" i="2"/>
  <c r="J1387" i="2" s="1"/>
  <c r="H1388" i="2"/>
  <c r="H1389" i="2"/>
  <c r="J1389" i="2" s="1"/>
  <c r="H1390" i="2"/>
  <c r="J1390" i="2" s="1"/>
  <c r="H1391" i="2"/>
  <c r="J1391" i="2" s="1"/>
  <c r="M1391" i="2" s="1"/>
  <c r="H1392" i="2"/>
  <c r="J1392" i="2" s="1"/>
  <c r="M1392" i="2" s="1"/>
  <c r="H1393" i="2"/>
  <c r="J1393" i="2" s="1"/>
  <c r="H1394" i="2"/>
  <c r="J1394" i="2" s="1"/>
  <c r="H1395" i="2"/>
  <c r="J1395" i="2" s="1"/>
  <c r="H1396" i="2"/>
  <c r="J1396" i="2" s="1"/>
  <c r="H1397" i="2"/>
  <c r="J1397" i="2" s="1"/>
  <c r="M1397" i="2" s="1"/>
  <c r="H1398" i="2"/>
  <c r="J1398" i="2" s="1"/>
  <c r="M1398" i="2" s="1"/>
  <c r="H1399" i="2"/>
  <c r="J1399" i="2" s="1"/>
  <c r="M1399" i="2" s="1"/>
  <c r="H1400" i="2"/>
  <c r="J1400" i="2" s="1"/>
  <c r="M1400" i="2" s="1"/>
  <c r="H1401" i="2"/>
  <c r="J1401" i="2" s="1"/>
  <c r="L1401" i="2" s="1"/>
  <c r="H1402" i="2"/>
  <c r="J1402" i="2" s="1"/>
  <c r="H1403" i="2"/>
  <c r="J1403" i="2" s="1"/>
  <c r="M1403" i="2" s="1"/>
  <c r="H1404" i="2"/>
  <c r="J1404" i="2" s="1"/>
  <c r="H1405" i="2"/>
  <c r="J1405" i="2" s="1"/>
  <c r="H1406" i="2"/>
  <c r="J1406" i="2" s="1"/>
  <c r="M1406" i="2" s="1"/>
  <c r="H1407" i="2"/>
  <c r="J1407" i="2" s="1"/>
  <c r="M1407" i="2" s="1"/>
  <c r="H1408" i="2"/>
  <c r="J1408" i="2" s="1"/>
  <c r="M1408" i="2" s="1"/>
  <c r="H1409" i="2"/>
  <c r="J1409" i="2" s="1"/>
  <c r="M1409" i="2" s="1"/>
  <c r="H1410" i="2"/>
  <c r="J1410" i="2" s="1"/>
  <c r="L1410" i="2" s="1"/>
  <c r="H1411" i="2"/>
  <c r="J1411" i="2" s="1"/>
  <c r="L1411" i="2" s="1"/>
  <c r="H1412" i="2"/>
  <c r="J1412" i="2" s="1"/>
  <c r="L1412" i="2" s="1"/>
  <c r="H1413" i="2"/>
  <c r="J1413" i="2" s="1"/>
  <c r="M1413" i="2" s="1"/>
  <c r="H1414" i="2"/>
  <c r="J1414" i="2" s="1"/>
  <c r="M1414" i="2" s="1"/>
  <c r="H1415" i="2"/>
  <c r="J1415" i="2" s="1"/>
  <c r="M1415" i="2" s="1"/>
  <c r="H1416" i="2"/>
  <c r="J1416" i="2" s="1"/>
  <c r="M1416" i="2" s="1"/>
  <c r="H1417" i="2"/>
  <c r="J1417" i="2" s="1"/>
  <c r="M1417" i="2" s="1"/>
  <c r="H1418" i="2"/>
  <c r="J1418" i="2" s="1"/>
  <c r="M1418" i="2" s="1"/>
  <c r="H1419" i="2"/>
  <c r="J1419" i="2" s="1"/>
  <c r="M1419" i="2" s="1"/>
  <c r="H1420" i="2"/>
  <c r="J1420" i="2" s="1"/>
  <c r="M1420" i="2" s="1"/>
  <c r="H1421" i="2"/>
  <c r="J1421" i="2" s="1"/>
  <c r="M1421" i="2" s="1"/>
  <c r="H1422" i="2"/>
  <c r="J1422" i="2" s="1"/>
  <c r="L1422" i="2" s="1"/>
  <c r="H1423" i="2"/>
  <c r="J1423" i="2" s="1"/>
  <c r="M1423" i="2" s="1"/>
  <c r="H1424" i="2"/>
  <c r="J1424" i="2" s="1"/>
  <c r="M1424" i="2" s="1"/>
  <c r="H1425" i="2"/>
  <c r="J1425" i="2" s="1"/>
  <c r="L1425" i="2" s="1"/>
  <c r="H1426" i="2"/>
  <c r="J1426" i="2" s="1"/>
  <c r="H1427" i="2"/>
  <c r="J1427" i="2" s="1"/>
  <c r="L1427" i="2" s="1"/>
  <c r="H1428" i="2"/>
  <c r="J1428" i="2" s="1"/>
  <c r="L1428" i="2" s="1"/>
  <c r="H1429" i="2"/>
  <c r="J1429" i="2" s="1"/>
  <c r="L1429" i="2" s="1"/>
  <c r="H1430" i="2"/>
  <c r="J1430" i="2" s="1"/>
  <c r="M1430" i="2" s="1"/>
  <c r="H1431" i="2"/>
  <c r="J1431" i="2" s="1"/>
  <c r="M1431" i="2" s="1"/>
  <c r="H1432" i="2"/>
  <c r="J1432" i="2" s="1"/>
  <c r="M1432" i="2" s="1"/>
  <c r="H1433" i="2"/>
  <c r="J1433" i="2" s="1"/>
  <c r="M1433" i="2" s="1"/>
  <c r="H1434" i="2"/>
  <c r="J1434" i="2" s="1"/>
  <c r="L1434" i="2" s="1"/>
  <c r="H1435" i="2"/>
  <c r="J1435" i="2" s="1"/>
  <c r="L1435" i="2" s="1"/>
  <c r="H1436" i="2"/>
  <c r="J1436" i="2" s="1"/>
  <c r="M1436" i="2" s="1"/>
  <c r="H1437" i="2"/>
  <c r="J1437" i="2" s="1"/>
  <c r="H1438" i="2"/>
  <c r="J1438" i="2" s="1"/>
  <c r="H1439" i="2"/>
  <c r="J1439" i="2" s="1"/>
  <c r="M1439" i="2" s="1"/>
  <c r="H1440" i="2"/>
  <c r="J1440" i="2" s="1"/>
  <c r="H1441" i="2"/>
  <c r="J1441" i="2" s="1"/>
  <c r="H1442" i="2"/>
  <c r="J1442" i="2" s="1"/>
  <c r="M1442" i="2" s="1"/>
  <c r="H1443" i="2"/>
  <c r="J1443" i="2" s="1"/>
  <c r="M1443" i="2" s="1"/>
  <c r="H1444" i="2"/>
  <c r="J1444" i="2" s="1"/>
  <c r="M1444" i="2" s="1"/>
  <c r="H1445" i="2"/>
  <c r="J1445" i="2" s="1"/>
  <c r="M1445" i="2" s="1"/>
  <c r="H1446" i="2"/>
  <c r="J1446" i="2" s="1"/>
  <c r="L1446" i="2" s="1"/>
  <c r="H1447" i="2"/>
  <c r="J1447" i="2" s="1"/>
  <c r="L1447" i="2" s="1"/>
  <c r="H1448" i="2"/>
  <c r="J1448" i="2" s="1"/>
  <c r="L1448" i="2" s="1"/>
  <c r="H1449" i="2"/>
  <c r="J1449" i="2" s="1"/>
  <c r="M1449" i="2" s="1"/>
  <c r="H1450" i="2"/>
  <c r="J1450" i="2" s="1"/>
  <c r="M1450" i="2" s="1"/>
  <c r="H1451" i="2"/>
  <c r="J1451" i="2" s="1"/>
  <c r="M1451" i="2" s="1"/>
  <c r="H1452" i="2"/>
  <c r="J1452" i="2" s="1"/>
  <c r="M1452" i="2" s="1"/>
  <c r="H1453" i="2"/>
  <c r="J1453" i="2" s="1"/>
  <c r="M1453" i="2" s="1"/>
  <c r="H1454" i="2"/>
  <c r="J1454" i="2" s="1"/>
  <c r="M1454" i="2" s="1"/>
  <c r="H1455" i="2"/>
  <c r="J1455" i="2" s="1"/>
  <c r="M1455" i="2" s="1"/>
  <c r="H1456" i="2"/>
  <c r="J1456" i="2" s="1"/>
  <c r="M1456" i="2" s="1"/>
  <c r="H1457" i="2"/>
  <c r="H1458" i="2"/>
  <c r="H1459" i="2"/>
  <c r="J1459" i="2" s="1"/>
  <c r="M1459" i="2" s="1"/>
  <c r="H1460" i="2"/>
  <c r="J1460" i="2" s="1"/>
  <c r="M1460" i="2" s="1"/>
  <c r="H1461" i="2"/>
  <c r="J1461" i="2" s="1"/>
  <c r="L1461" i="2" s="1"/>
  <c r="H1462" i="2"/>
  <c r="J1462" i="2" s="1"/>
  <c r="H1463" i="2"/>
  <c r="J1463" i="2" s="1"/>
  <c r="M1463" i="2" s="1"/>
  <c r="H1464" i="2"/>
  <c r="J1464" i="2" s="1"/>
  <c r="M1464" i="2" s="1"/>
  <c r="H1465" i="2"/>
  <c r="J1465" i="2" s="1"/>
  <c r="M1465" i="2" s="1"/>
  <c r="H1466" i="2"/>
  <c r="J1466" i="2" s="1"/>
  <c r="M1466" i="2" s="1"/>
  <c r="H1467" i="2"/>
  <c r="H1468" i="2"/>
  <c r="H1469" i="2"/>
  <c r="H1470" i="2"/>
  <c r="J1470" i="2" s="1"/>
  <c r="L1470" i="2" s="1"/>
  <c r="H1471" i="2"/>
  <c r="J1471" i="2" s="1"/>
  <c r="L1471" i="2" s="1"/>
  <c r="H1472" i="2"/>
  <c r="J1472" i="2" s="1"/>
  <c r="M1472" i="2" s="1"/>
  <c r="H1473" i="2"/>
  <c r="J1473" i="2" s="1"/>
  <c r="M1473" i="2" s="1"/>
  <c r="H1474" i="2"/>
  <c r="J1474" i="2" s="1"/>
  <c r="H1475" i="2"/>
  <c r="J1475" i="2" s="1"/>
  <c r="L1475" i="2" s="1"/>
  <c r="H1476" i="2"/>
  <c r="J1476" i="2" s="1"/>
  <c r="H1477" i="2"/>
  <c r="J1477" i="2" s="1"/>
  <c r="L1477" i="2" s="1"/>
  <c r="H1478" i="2"/>
  <c r="J1478" i="2" s="1"/>
  <c r="M1478" i="2" s="1"/>
  <c r="H1479" i="2"/>
  <c r="J1479" i="2" s="1"/>
  <c r="M1479" i="2" s="1"/>
  <c r="H1480" i="2"/>
  <c r="J1480" i="2" s="1"/>
  <c r="M1480" i="2" s="1"/>
  <c r="H1481" i="2"/>
  <c r="J1481" i="2" s="1"/>
  <c r="M1481" i="2" s="1"/>
  <c r="H1482" i="2"/>
  <c r="J1482" i="2" s="1"/>
  <c r="L1482" i="2" s="1"/>
  <c r="H1483" i="2"/>
  <c r="J1483" i="2" s="1"/>
  <c r="L1483" i="2" s="1"/>
  <c r="H1484" i="2"/>
  <c r="J1484" i="2" s="1"/>
  <c r="L1484" i="2" s="1"/>
  <c r="H1485" i="2"/>
  <c r="J1485" i="2" s="1"/>
  <c r="M1485" i="2" s="1"/>
  <c r="H1486" i="2"/>
  <c r="J1486" i="2" s="1"/>
  <c r="M1486" i="2" s="1"/>
  <c r="H1487" i="2"/>
  <c r="J1487" i="2" s="1"/>
  <c r="M1487" i="2" s="1"/>
  <c r="H1488" i="2"/>
  <c r="J1488" i="2" s="1"/>
  <c r="M1488" i="2" s="1"/>
  <c r="H1489" i="2"/>
  <c r="J1489" i="2" s="1"/>
  <c r="M1489" i="2" s="1"/>
  <c r="H1490" i="2"/>
  <c r="J1490" i="2" s="1"/>
  <c r="M1490" i="2" s="1"/>
  <c r="H1491" i="2"/>
  <c r="J1491" i="2" s="1"/>
  <c r="M1491" i="2" s="1"/>
  <c r="H1492" i="2"/>
  <c r="J1492" i="2" s="1"/>
  <c r="M1492" i="2" s="1"/>
  <c r="H1493" i="2"/>
  <c r="J1493" i="2" s="1"/>
  <c r="M1493" i="2" s="1"/>
  <c r="H1494" i="2"/>
  <c r="J1494" i="2" s="1"/>
  <c r="L1494" i="2" s="1"/>
  <c r="H1495" i="2"/>
  <c r="J1495" i="2" s="1"/>
  <c r="L1495" i="2" s="1"/>
  <c r="H1496" i="2"/>
  <c r="J1496" i="2" s="1"/>
  <c r="L1496" i="2" s="1"/>
  <c r="H1497" i="2"/>
  <c r="J1497" i="2" s="1"/>
  <c r="M1497" i="2" s="1"/>
  <c r="H1498" i="2"/>
  <c r="J1498" i="2" s="1"/>
  <c r="H1499" i="2"/>
  <c r="J1499" i="2" s="1"/>
  <c r="M1499" i="2" s="1"/>
  <c r="H1500" i="2"/>
  <c r="J1500" i="2" s="1"/>
  <c r="L1500" i="2" s="1"/>
  <c r="H1501" i="2"/>
  <c r="J1501" i="2" s="1"/>
  <c r="L1501" i="2" s="1"/>
  <c r="H1502" i="2"/>
  <c r="J1502" i="2" s="1"/>
  <c r="M1502" i="2" s="1"/>
  <c r="H1503" i="2"/>
  <c r="J1503" i="2" s="1"/>
  <c r="M1503" i="2" s="1"/>
  <c r="H1504" i="2"/>
  <c r="J1504" i="2" s="1"/>
  <c r="M1504" i="2" s="1"/>
  <c r="H1505" i="2"/>
  <c r="J1505" i="2" s="1"/>
  <c r="M1505" i="2" s="1"/>
  <c r="H1506" i="2"/>
  <c r="J1506" i="2" s="1"/>
  <c r="L1506" i="2" s="1"/>
  <c r="H1507" i="2"/>
  <c r="J1507" i="2" s="1"/>
  <c r="M1507" i="2" s="1"/>
  <c r="H1508" i="2"/>
  <c r="J1508" i="2" s="1"/>
  <c r="M1508" i="2" s="1"/>
  <c r="H1509" i="2"/>
  <c r="J1509" i="2" s="1"/>
  <c r="L1509" i="2" s="1"/>
  <c r="H1510" i="2"/>
  <c r="J1510" i="2" s="1"/>
  <c r="H1511" i="2"/>
  <c r="J1511" i="2" s="1"/>
  <c r="L1511" i="2" s="1"/>
  <c r="H1512" i="2"/>
  <c r="J1512" i="2" s="1"/>
  <c r="M1512" i="2" s="1"/>
  <c r="H1513" i="2"/>
  <c r="J1513" i="2" s="1"/>
  <c r="M1513" i="2" s="1"/>
  <c r="H1514" i="2"/>
  <c r="J1514" i="2" s="1"/>
  <c r="M1514" i="2" s="1"/>
  <c r="H1515" i="2"/>
  <c r="J1515" i="2" s="1"/>
  <c r="M1515" i="2" s="1"/>
  <c r="H1516" i="2"/>
  <c r="H1517" i="2"/>
  <c r="H1518" i="2"/>
  <c r="J1518" i="2" s="1"/>
  <c r="L1518" i="2" s="1"/>
  <c r="H1519" i="2"/>
  <c r="J1519" i="2" s="1"/>
  <c r="L1519" i="2" s="1"/>
  <c r="H1520" i="2"/>
  <c r="J1520" i="2" s="1"/>
  <c r="M1520" i="2" s="1"/>
  <c r="H1521" i="2"/>
  <c r="J1521" i="2" s="1"/>
  <c r="M1521" i="2" s="1"/>
  <c r="H1522" i="2"/>
  <c r="J1522" i="2" s="1"/>
  <c r="H1523" i="2"/>
  <c r="J1523" i="2" s="1"/>
  <c r="L1523" i="2" s="1"/>
  <c r="H1524" i="2"/>
  <c r="J1524" i="2" s="1"/>
  <c r="M1524" i="2" s="1"/>
  <c r="H1525" i="2"/>
  <c r="J1525" i="2" s="1"/>
  <c r="L1525" i="2" s="1"/>
  <c r="H1526" i="2"/>
  <c r="J1526" i="2" s="1"/>
  <c r="M1526" i="2" s="1"/>
  <c r="H1527" i="2"/>
  <c r="J1527" i="2" s="1"/>
  <c r="M1527" i="2" s="1"/>
  <c r="H1528" i="2"/>
  <c r="J1528" i="2" s="1"/>
  <c r="M1528" i="2" s="1"/>
  <c r="H1529" i="2"/>
  <c r="J1529" i="2" s="1"/>
  <c r="M1529" i="2" s="1"/>
  <c r="H1530" i="2"/>
  <c r="J1530" i="2" s="1"/>
  <c r="L1530" i="2" s="1"/>
  <c r="H1531" i="2"/>
  <c r="J1531" i="2" s="1"/>
  <c r="L1531" i="2" s="1"/>
  <c r="H1532" i="2"/>
  <c r="J1532" i="2" s="1"/>
  <c r="L1532" i="2" s="1"/>
  <c r="H1533" i="2"/>
  <c r="J1533" i="2" s="1"/>
  <c r="M1533" i="2" s="1"/>
  <c r="H1534" i="2"/>
  <c r="J1534" i="2" s="1"/>
  <c r="M1534" i="2" s="1"/>
  <c r="H1535" i="2"/>
  <c r="J1535" i="2" s="1"/>
  <c r="M1535" i="2" s="1"/>
  <c r="H1536" i="2"/>
  <c r="J1536" i="2" s="1"/>
  <c r="M1536" i="2" s="1"/>
  <c r="H1537" i="2"/>
  <c r="J1537" i="2" s="1"/>
  <c r="H1538" i="2"/>
  <c r="J1538" i="2" s="1"/>
  <c r="M1538" i="2" s="1"/>
  <c r="H1539" i="2"/>
  <c r="J1539" i="2" s="1"/>
  <c r="M1539" i="2" s="1"/>
  <c r="H1540" i="2"/>
  <c r="J1540" i="2" s="1"/>
  <c r="M1540" i="2" s="1"/>
  <c r="H1541" i="2"/>
  <c r="J1541" i="2" s="1"/>
  <c r="M1541" i="2" s="1"/>
  <c r="H1542" i="2"/>
  <c r="J1542" i="2" s="1"/>
  <c r="L1542" i="2" s="1"/>
  <c r="H1543" i="2"/>
  <c r="J1543" i="2" s="1"/>
  <c r="L1543" i="2" s="1"/>
  <c r="H1544" i="2"/>
  <c r="J1544" i="2" s="1"/>
  <c r="L1544" i="2" s="1"/>
  <c r="H1545" i="2"/>
  <c r="J1545" i="2" s="1"/>
  <c r="H1546" i="2"/>
  <c r="J1546" i="2" s="1"/>
  <c r="H1547" i="2"/>
  <c r="J1547" i="2" s="1"/>
  <c r="M1547" i="2" s="1"/>
  <c r="H1548" i="2"/>
  <c r="J1548" i="2" s="1"/>
  <c r="M1548" i="2" s="1"/>
  <c r="H1549" i="2"/>
  <c r="J1549" i="2" s="1"/>
  <c r="M1549" i="2" s="1"/>
  <c r="H1550" i="2"/>
  <c r="J1550" i="2" s="1"/>
  <c r="M1550" i="2" s="1"/>
  <c r="H1551" i="2"/>
  <c r="J1551" i="2" s="1"/>
  <c r="M1551" i="2" s="1"/>
  <c r="H1552" i="2"/>
  <c r="J1552" i="2" s="1"/>
  <c r="M1552" i="2" s="1"/>
  <c r="H1553" i="2"/>
  <c r="J1553" i="2" s="1"/>
  <c r="M1553" i="2" s="1"/>
  <c r="H1554" i="2"/>
  <c r="J1554" i="2" s="1"/>
  <c r="L1554" i="2" s="1"/>
  <c r="H1555" i="2"/>
  <c r="J1555" i="2" s="1"/>
  <c r="M1555" i="2" s="1"/>
  <c r="H1556" i="2"/>
  <c r="J1556" i="2" s="1"/>
  <c r="M1556" i="2" s="1"/>
  <c r="H1557" i="2"/>
  <c r="J1557" i="2" s="1"/>
  <c r="M1557" i="2" s="1"/>
  <c r="H1558" i="2"/>
  <c r="J1558" i="2" s="1"/>
  <c r="H1559" i="2"/>
  <c r="J1559" i="2" s="1"/>
  <c r="L1559" i="2" s="1"/>
  <c r="H1560" i="2"/>
  <c r="J1560" i="2" s="1"/>
  <c r="M1560" i="2" s="1"/>
  <c r="H1561" i="2"/>
  <c r="J1561" i="2" s="1"/>
  <c r="M1561" i="2" s="1"/>
  <c r="H1562" i="2"/>
  <c r="J1562" i="2" s="1"/>
  <c r="M1562" i="2" s="1"/>
  <c r="H1563" i="2"/>
  <c r="J1563" i="2" s="1"/>
  <c r="M1563" i="2" s="1"/>
  <c r="H1564" i="2"/>
  <c r="J1564" i="2" s="1"/>
  <c r="M1564" i="2" s="1"/>
  <c r="H1565" i="2"/>
  <c r="J1565" i="2" s="1"/>
  <c r="M1565" i="2" s="1"/>
  <c r="H1566" i="2"/>
  <c r="J1566" i="2" s="1"/>
  <c r="L1566" i="2" s="1"/>
  <c r="H1567" i="2"/>
  <c r="J1567" i="2" s="1"/>
  <c r="L1567" i="2" s="1"/>
  <c r="H1568" i="2"/>
  <c r="J1568" i="2" s="1"/>
  <c r="M1568" i="2" s="1"/>
  <c r="H1569" i="2"/>
  <c r="J1569" i="2" s="1"/>
  <c r="M1569" i="2" s="1"/>
  <c r="H1570" i="2"/>
  <c r="J1570" i="2" s="1"/>
  <c r="H1571" i="2"/>
  <c r="J1571" i="2" s="1"/>
  <c r="L1571" i="2" s="1"/>
  <c r="H1572" i="2"/>
  <c r="J1572" i="2" s="1"/>
  <c r="M1572" i="2" s="1"/>
  <c r="H1573" i="2"/>
  <c r="J1573" i="2" s="1"/>
  <c r="M1573" i="2" s="1"/>
  <c r="H1574" i="2"/>
  <c r="J1574" i="2" s="1"/>
  <c r="M1574" i="2" s="1"/>
  <c r="H1575" i="2"/>
  <c r="J1575" i="2" s="1"/>
  <c r="M1575" i="2" s="1"/>
  <c r="H1576" i="2"/>
  <c r="H1577" i="2"/>
  <c r="H1578" i="2"/>
  <c r="H1579" i="2"/>
  <c r="J1579" i="2" s="1"/>
  <c r="L1579" i="2" s="1"/>
  <c r="H1580" i="2"/>
  <c r="J1580" i="2" s="1"/>
  <c r="L1580" i="2" s="1"/>
  <c r="H1581" i="2"/>
  <c r="J1581" i="2" s="1"/>
  <c r="M1581" i="2" s="1"/>
  <c r="H1582" i="2"/>
  <c r="J1582" i="2" s="1"/>
  <c r="M1582" i="2" s="1"/>
  <c r="H1583" i="2"/>
  <c r="J1583" i="2" s="1"/>
  <c r="M1583" i="2" s="1"/>
  <c r="H1584" i="2"/>
  <c r="J1584" i="2" s="1"/>
  <c r="H1585" i="2"/>
  <c r="J1585" i="2" s="1"/>
  <c r="H1586" i="2"/>
  <c r="J1586" i="2" s="1"/>
  <c r="M1586" i="2" s="1"/>
  <c r="H1587" i="2"/>
  <c r="H1588" i="2"/>
  <c r="J1588" i="2" s="1"/>
  <c r="M1588" i="2" s="1"/>
  <c r="H1589" i="2"/>
  <c r="J1589" i="2" s="1"/>
  <c r="M1589" i="2" s="1"/>
  <c r="H1590" i="2"/>
  <c r="J1590" i="2" s="1"/>
  <c r="L1590" i="2" s="1"/>
  <c r="H1591" i="2"/>
  <c r="J1591" i="2" s="1"/>
  <c r="L1591" i="2" s="1"/>
  <c r="H1592" i="2"/>
  <c r="J1592" i="2" s="1"/>
  <c r="L1592" i="2" s="1"/>
  <c r="H1593" i="2"/>
  <c r="J1593" i="2" s="1"/>
  <c r="M1593" i="2" s="1"/>
  <c r="H1594" i="2"/>
  <c r="J1594" i="2" s="1"/>
  <c r="H1595" i="2"/>
  <c r="J1595" i="2" s="1"/>
  <c r="L1595" i="2" s="1"/>
  <c r="H1596" i="2"/>
  <c r="J1596" i="2" s="1"/>
  <c r="M1596" i="2" s="1"/>
  <c r="H1597" i="2"/>
  <c r="J1597" i="2" s="1"/>
  <c r="L1597" i="2" s="1"/>
  <c r="H1598" i="2"/>
  <c r="J1598" i="2" s="1"/>
  <c r="M1598" i="2" s="1"/>
  <c r="H1599" i="2"/>
  <c r="J1599" i="2" s="1"/>
  <c r="M1599" i="2" s="1"/>
  <c r="H1600" i="2"/>
  <c r="J1600" i="2" s="1"/>
  <c r="M1600" i="2" s="1"/>
  <c r="H1601" i="2"/>
  <c r="J1601" i="2" s="1"/>
  <c r="M1601" i="2" s="1"/>
  <c r="H1602" i="2"/>
  <c r="J1602" i="2" s="1"/>
  <c r="L1602" i="2" s="1"/>
  <c r="H1603" i="2"/>
  <c r="J1603" i="2" s="1"/>
  <c r="M1603" i="2" s="1"/>
  <c r="H1604" i="2"/>
  <c r="J1604" i="2" s="1"/>
  <c r="M1604" i="2" s="1"/>
  <c r="H1605" i="2"/>
  <c r="J1605" i="2" s="1"/>
  <c r="L1605" i="2" s="1"/>
  <c r="H1606" i="2"/>
  <c r="J1606" i="2" s="1"/>
  <c r="H1607" i="2"/>
  <c r="J1607" i="2" s="1"/>
  <c r="L1607" i="2" s="1"/>
  <c r="H1608" i="2"/>
  <c r="J1608" i="2" s="1"/>
  <c r="H1609" i="2"/>
  <c r="J1609" i="2" s="1"/>
  <c r="H1610" i="2"/>
  <c r="J1610" i="2" s="1"/>
  <c r="M1610" i="2" s="1"/>
  <c r="H1611" i="2"/>
  <c r="J1611" i="2" s="1"/>
  <c r="M1611" i="2" s="1"/>
  <c r="H1612" i="2"/>
  <c r="J1612" i="2" s="1"/>
  <c r="M1612" i="2" s="1"/>
  <c r="H1613" i="2"/>
  <c r="J1613" i="2" s="1"/>
  <c r="M1613" i="2" s="1"/>
  <c r="H1614" i="2"/>
  <c r="J1614" i="2" s="1"/>
  <c r="L1614" i="2" s="1"/>
  <c r="H1615" i="2"/>
  <c r="J1615" i="2" s="1"/>
  <c r="L1615" i="2" s="1"/>
  <c r="H1616" i="2"/>
  <c r="J1616" i="2" s="1"/>
  <c r="M1616" i="2" s="1"/>
  <c r="H1617" i="2"/>
  <c r="J1617" i="2" s="1"/>
  <c r="M1617" i="2" s="1"/>
  <c r="H1618" i="2"/>
  <c r="J1618" i="2" s="1"/>
  <c r="H1619" i="2"/>
  <c r="J1619" i="2" s="1"/>
  <c r="L1619" i="2" s="1"/>
  <c r="H1620" i="2"/>
  <c r="J1620" i="2" s="1"/>
  <c r="M1620" i="2" s="1"/>
  <c r="H1621" i="2"/>
  <c r="J1621" i="2" s="1"/>
  <c r="M1621" i="2" s="1"/>
  <c r="H1622" i="2"/>
  <c r="J1622" i="2" s="1"/>
  <c r="M1622" i="2" s="1"/>
  <c r="H1623" i="2"/>
  <c r="J1623" i="2" s="1"/>
  <c r="M1623" i="2" s="1"/>
  <c r="H1624" i="2"/>
  <c r="J1624" i="2" s="1"/>
  <c r="M1624" i="2" s="1"/>
  <c r="H1625" i="2"/>
  <c r="J1625" i="2" s="1"/>
  <c r="M1625" i="2" s="1"/>
  <c r="H1626" i="2"/>
  <c r="J1626" i="2" s="1"/>
  <c r="L1626" i="2" s="1"/>
  <c r="H1627" i="2"/>
  <c r="H1628" i="2"/>
  <c r="J1628" i="2" s="1"/>
  <c r="M1628" i="2" s="1"/>
  <c r="H1629" i="2"/>
  <c r="J1629" i="2" s="1"/>
  <c r="L1629" i="2" s="1"/>
  <c r="H1630" i="2"/>
  <c r="J1630" i="2" s="1"/>
  <c r="M1630" i="2" s="1"/>
  <c r="H1631" i="2"/>
  <c r="J1631" i="2" s="1"/>
  <c r="M1631" i="2" s="1"/>
  <c r="H1632" i="2"/>
  <c r="J1632" i="2" s="1"/>
  <c r="M1632" i="2" s="1"/>
  <c r="H1633" i="2"/>
  <c r="J1633" i="2" s="1"/>
  <c r="M1633" i="2" s="1"/>
  <c r="H1634" i="2"/>
  <c r="J1634" i="2" s="1"/>
  <c r="M1634" i="2" s="1"/>
  <c r="H1635" i="2"/>
  <c r="H1636" i="2"/>
  <c r="H1637" i="2"/>
  <c r="H1638" i="2"/>
  <c r="J1638" i="2" s="1"/>
  <c r="L1638" i="2" s="1"/>
  <c r="H1639" i="2"/>
  <c r="J1639" i="2" s="1"/>
  <c r="L1639" i="2" s="1"/>
  <c r="H1640" i="2"/>
  <c r="J1640" i="2" s="1"/>
  <c r="M1640" i="2" s="1"/>
  <c r="H1641" i="2"/>
  <c r="J1641" i="2" s="1"/>
  <c r="L1641" i="2" s="1"/>
  <c r="H1642" i="2"/>
  <c r="J1642" i="2" s="1"/>
  <c r="H1643" i="2"/>
  <c r="J1643" i="2" s="1"/>
  <c r="M1643" i="2" s="1"/>
  <c r="H1644" i="2"/>
  <c r="J1644" i="2" s="1"/>
  <c r="M1644" i="2" s="1"/>
  <c r="H1645" i="2"/>
  <c r="J1645" i="2" s="1"/>
  <c r="M1645" i="2" s="1"/>
  <c r="H1646" i="2"/>
  <c r="J1646" i="2" s="1"/>
  <c r="H1647" i="2"/>
  <c r="J1647" i="2" s="1"/>
  <c r="H1648" i="2"/>
  <c r="J1648" i="2" s="1"/>
  <c r="H1649" i="2"/>
  <c r="J1649" i="2" s="1"/>
  <c r="H1650" i="2"/>
  <c r="J1650" i="2" s="1"/>
  <c r="M1650" i="2" s="1"/>
  <c r="H1651" i="2"/>
  <c r="J1651" i="2" s="1"/>
  <c r="M1651" i="2" s="1"/>
  <c r="H1652" i="2"/>
  <c r="J1652" i="2" s="1"/>
  <c r="M1652" i="2" s="1"/>
  <c r="H1653" i="2"/>
  <c r="J1653" i="2" s="1"/>
  <c r="M1653" i="2" s="1"/>
  <c r="H1654" i="2"/>
  <c r="J1654" i="2" s="1"/>
  <c r="M1654" i="2" s="1"/>
  <c r="H1655" i="2"/>
  <c r="J1655" i="2" s="1"/>
  <c r="M1655" i="2" s="1"/>
  <c r="H1656" i="2"/>
  <c r="J1656" i="2" s="1"/>
  <c r="M1656" i="2" s="1"/>
  <c r="H1657" i="2"/>
  <c r="J1657" i="2" s="1"/>
  <c r="M1657" i="2" s="1"/>
  <c r="H1658" i="2"/>
  <c r="J1658" i="2" s="1"/>
  <c r="H1659" i="2"/>
  <c r="J1659" i="2" s="1"/>
  <c r="H1660" i="2"/>
  <c r="J1660" i="2" s="1"/>
  <c r="H1661" i="2"/>
  <c r="J1661" i="2" s="1"/>
  <c r="H1662" i="2"/>
  <c r="J1662" i="2" s="1"/>
  <c r="H1663" i="2"/>
  <c r="J1663" i="2" s="1"/>
  <c r="M1663" i="2" s="1"/>
  <c r="H1664" i="2"/>
  <c r="J1664" i="2" s="1"/>
  <c r="M1664" i="2" s="1"/>
  <c r="H1665" i="2"/>
  <c r="J1665" i="2" s="1"/>
  <c r="M1665" i="2" s="1"/>
  <c r="H1666" i="2"/>
  <c r="J1666" i="2" s="1"/>
  <c r="M1666" i="2" s="1"/>
  <c r="H1667" i="2"/>
  <c r="J1667" i="2" s="1"/>
  <c r="M1667" i="2" s="1"/>
  <c r="H1668" i="2"/>
  <c r="J1668" i="2" s="1"/>
  <c r="M1668" i="2" s="1"/>
  <c r="H1669" i="2"/>
  <c r="J1669" i="2" s="1"/>
  <c r="M1669" i="2" s="1"/>
  <c r="H1670" i="2"/>
  <c r="J1670" i="2" s="1"/>
  <c r="H1671" i="2"/>
  <c r="J1671" i="2" s="1"/>
  <c r="H1672" i="2"/>
  <c r="J1672" i="2" s="1"/>
  <c r="H1673" i="2"/>
  <c r="J1673" i="2" s="1"/>
  <c r="H1674" i="2"/>
  <c r="J1674" i="2" s="1"/>
  <c r="M1674" i="2" s="1"/>
  <c r="H1675" i="2"/>
  <c r="J1675" i="2" s="1"/>
  <c r="M1675" i="2" s="1"/>
  <c r="H1676" i="2"/>
  <c r="J1676" i="2" s="1"/>
  <c r="M1676" i="2" s="1"/>
  <c r="H1677" i="2"/>
  <c r="J1677" i="2" s="1"/>
  <c r="M1677" i="2" s="1"/>
  <c r="H1678" i="2"/>
  <c r="J1678" i="2" s="1"/>
  <c r="M1678" i="2" s="1"/>
  <c r="H1679" i="2"/>
  <c r="J1679" i="2" s="1"/>
  <c r="M1679" i="2" s="1"/>
  <c r="H1680" i="2"/>
  <c r="J1680" i="2" s="1"/>
  <c r="M1680" i="2" s="1"/>
  <c r="H1681" i="2"/>
  <c r="J1681" i="2" s="1"/>
  <c r="M1681" i="2" s="1"/>
  <c r="H1682" i="2"/>
  <c r="J1682" i="2" s="1"/>
  <c r="H1683" i="2"/>
  <c r="J1683" i="2" s="1"/>
  <c r="H1684" i="2"/>
  <c r="J1684" i="2" s="1"/>
  <c r="H1685" i="2"/>
  <c r="J1685" i="2" s="1"/>
  <c r="H1686" i="2"/>
  <c r="J1686" i="2" s="1"/>
  <c r="M1686" i="2" s="1"/>
  <c r="H1687" i="2"/>
  <c r="J1687" i="2" s="1"/>
  <c r="M1687" i="2" s="1"/>
  <c r="H1688" i="2"/>
  <c r="J1688" i="2" s="1"/>
  <c r="M1688" i="2" s="1"/>
  <c r="H1689" i="2"/>
  <c r="J1689" i="2" s="1"/>
  <c r="M1689" i="2" s="1"/>
  <c r="H1690" i="2"/>
  <c r="J1690" i="2" s="1"/>
  <c r="M1690" i="2" s="1"/>
  <c r="H1691" i="2"/>
  <c r="J1691" i="2" s="1"/>
  <c r="M1691" i="2" s="1"/>
  <c r="H1692" i="2"/>
  <c r="J1692" i="2" s="1"/>
  <c r="H1693" i="2"/>
  <c r="J1693" i="2" s="1"/>
  <c r="H1694" i="2"/>
  <c r="J1694" i="2" s="1"/>
  <c r="H1695" i="2"/>
  <c r="J1695" i="2" s="1"/>
  <c r="H1696" i="2"/>
  <c r="J1696" i="2" s="1"/>
  <c r="H1697" i="2"/>
  <c r="J1697" i="2" s="1"/>
  <c r="H1698" i="2"/>
  <c r="J1698" i="2" s="1"/>
  <c r="H1699" i="2"/>
  <c r="J1699" i="2" s="1"/>
  <c r="M1699" i="2" s="1"/>
  <c r="H1700" i="2"/>
  <c r="J1700" i="2" s="1"/>
  <c r="M1700" i="2" s="1"/>
  <c r="H1701" i="2"/>
  <c r="J1701" i="2" s="1"/>
  <c r="M1701" i="2" s="1"/>
  <c r="H1702" i="2"/>
  <c r="J1702" i="2" s="1"/>
  <c r="L1702" i="2" s="1"/>
  <c r="H1703" i="2"/>
  <c r="J1703" i="2" s="1"/>
  <c r="H1704" i="2"/>
  <c r="J1704" i="2" s="1"/>
  <c r="M1704" i="2" s="1"/>
  <c r="H1705" i="2"/>
  <c r="J1705" i="2" s="1"/>
  <c r="M1705" i="2" s="1"/>
  <c r="H1706" i="2"/>
  <c r="J1706" i="2" s="1"/>
  <c r="H1707" i="2"/>
  <c r="J1707" i="2" s="1"/>
  <c r="H1708" i="2"/>
  <c r="J1708" i="2" s="1"/>
  <c r="H1709" i="2"/>
  <c r="J1709" i="2" s="1"/>
  <c r="H1710" i="2"/>
  <c r="J1710" i="2" s="1"/>
  <c r="H1711" i="2"/>
  <c r="J1711" i="2" s="1"/>
  <c r="M1711" i="2" s="1"/>
  <c r="H1712" i="2"/>
  <c r="J1712" i="2" s="1"/>
  <c r="M1712" i="2" s="1"/>
  <c r="H1713" i="2"/>
  <c r="J1713" i="2" s="1"/>
  <c r="M1713" i="2" s="1"/>
  <c r="H1714" i="2"/>
  <c r="J1714" i="2" s="1"/>
  <c r="M1714" i="2" s="1"/>
  <c r="H1715" i="2"/>
  <c r="J1715" i="2" s="1"/>
  <c r="M1715" i="2" s="1"/>
  <c r="H1716" i="2"/>
  <c r="J1716" i="2" s="1"/>
  <c r="M1716" i="2" s="1"/>
  <c r="H1717" i="2"/>
  <c r="J1717" i="2" s="1"/>
  <c r="M1717" i="2" s="1"/>
  <c r="H1718" i="2"/>
  <c r="J1718" i="2" s="1"/>
  <c r="H1719" i="2"/>
  <c r="J1719" i="2" s="1"/>
  <c r="H1720" i="2"/>
  <c r="J1720" i="2" s="1"/>
  <c r="H1721" i="2"/>
  <c r="J1721" i="2" s="1"/>
  <c r="H1722" i="2"/>
  <c r="J1722" i="2" s="1"/>
  <c r="M1722" i="2" s="1"/>
  <c r="H1723" i="2"/>
  <c r="J1723" i="2" s="1"/>
  <c r="M1723" i="2" s="1"/>
  <c r="H1724" i="2"/>
  <c r="J1724" i="2" s="1"/>
  <c r="M1724" i="2" s="1"/>
  <c r="H1725" i="2"/>
  <c r="J1725" i="2" s="1"/>
  <c r="M1725" i="2" s="1"/>
  <c r="H1726" i="2"/>
  <c r="J1726" i="2" s="1"/>
  <c r="M1726" i="2" s="1"/>
  <c r="H1727" i="2"/>
  <c r="J1727" i="2" s="1"/>
  <c r="M1727" i="2" s="1"/>
  <c r="H1728" i="2"/>
  <c r="J1728" i="2" s="1"/>
  <c r="M1728" i="2" s="1"/>
  <c r="H1729" i="2"/>
  <c r="J1729" i="2" s="1"/>
  <c r="M1729" i="2" s="1"/>
  <c r="H1730" i="2"/>
  <c r="J1730" i="2" s="1"/>
  <c r="H1731" i="2"/>
  <c r="J1731" i="2" s="1"/>
  <c r="H1732" i="2"/>
  <c r="J1732" i="2" s="1"/>
  <c r="H1733" i="2"/>
  <c r="J1733" i="2" s="1"/>
  <c r="H1734" i="2"/>
  <c r="J1734" i="2" s="1"/>
  <c r="H1735" i="2"/>
  <c r="J1735" i="2" s="1"/>
  <c r="M1735" i="2" s="1"/>
  <c r="H1736" i="2"/>
  <c r="J1736" i="2" s="1"/>
  <c r="M1736" i="2" s="1"/>
  <c r="H1737" i="2"/>
  <c r="J1737" i="2" s="1"/>
  <c r="M1737" i="2" s="1"/>
  <c r="H1738" i="2"/>
  <c r="J1738" i="2" s="1"/>
  <c r="M1738" i="2" s="1"/>
  <c r="H1739" i="2"/>
  <c r="J1739" i="2" s="1"/>
  <c r="M1739" i="2" s="1"/>
  <c r="H1740" i="2"/>
  <c r="J1740" i="2" s="1"/>
  <c r="H1741" i="2"/>
  <c r="J1741" i="2" s="1"/>
  <c r="M1741" i="2" s="1"/>
  <c r="H1742" i="2"/>
  <c r="J1742" i="2" s="1"/>
  <c r="H1743" i="2"/>
  <c r="J1743" i="2" s="1"/>
  <c r="H1744" i="2"/>
  <c r="J1744" i="2" s="1"/>
  <c r="H1745" i="2"/>
  <c r="J1745" i="2" s="1"/>
  <c r="H1746" i="2"/>
  <c r="J1746" i="2" s="1"/>
  <c r="M1746" i="2" s="1"/>
  <c r="H1747" i="2"/>
  <c r="J1747" i="2" s="1"/>
  <c r="M1747" i="2" s="1"/>
  <c r="H1748" i="2"/>
  <c r="J1748" i="2" s="1"/>
  <c r="M1748" i="2" s="1"/>
  <c r="H1749" i="2"/>
  <c r="J1749" i="2" s="1"/>
  <c r="M1749" i="2" s="1"/>
  <c r="H1750" i="2"/>
  <c r="J1750" i="2" s="1"/>
  <c r="M1750" i="2" s="1"/>
  <c r="H1751" i="2"/>
  <c r="J1751" i="2" s="1"/>
  <c r="H1752" i="2"/>
  <c r="J1752" i="2" s="1"/>
  <c r="H1753" i="2"/>
  <c r="J1753" i="2" s="1"/>
  <c r="H1754" i="2"/>
  <c r="J1754" i="2" s="1"/>
  <c r="H1755" i="2"/>
  <c r="J1755" i="2" s="1"/>
  <c r="H1756" i="2"/>
  <c r="J1756" i="2" s="1"/>
  <c r="H1757" i="2"/>
  <c r="J1757" i="2" s="1"/>
  <c r="H1758" i="2"/>
  <c r="J1758" i="2" s="1"/>
  <c r="H1759" i="2"/>
  <c r="J1759" i="2" s="1"/>
  <c r="M1759" i="2" s="1"/>
  <c r="H1760" i="2"/>
  <c r="J1760" i="2" s="1"/>
  <c r="M1760" i="2" s="1"/>
  <c r="H1761" i="2"/>
  <c r="J1761" i="2" s="1"/>
  <c r="H1762" i="2"/>
  <c r="J1762" i="2" s="1"/>
  <c r="M1762" i="2" s="1"/>
  <c r="H1763" i="2"/>
  <c r="J1763" i="2" s="1"/>
  <c r="M1763" i="2" s="1"/>
  <c r="H1764" i="2"/>
  <c r="J1764" i="2" s="1"/>
  <c r="M1764" i="2" s="1"/>
  <c r="H1765" i="2"/>
  <c r="J1765" i="2" s="1"/>
  <c r="L1765" i="2" s="1"/>
  <c r="H1766" i="2"/>
  <c r="J1766" i="2" s="1"/>
  <c r="H1767" i="2"/>
  <c r="J1767" i="2" s="1"/>
  <c r="H1768" i="2"/>
  <c r="J1768" i="2" s="1"/>
  <c r="H1769" i="2"/>
  <c r="J1769" i="2" s="1"/>
  <c r="H1770" i="2"/>
  <c r="J1770" i="2" s="1"/>
  <c r="M1770" i="2" s="1"/>
  <c r="H1771" i="2"/>
  <c r="J1771" i="2" s="1"/>
  <c r="M1771" i="2" s="1"/>
  <c r="H1772" i="2"/>
  <c r="J1772" i="2" s="1"/>
  <c r="M1772" i="2" s="1"/>
  <c r="H1773" i="2"/>
  <c r="J1773" i="2" s="1"/>
  <c r="M1773" i="2" s="1"/>
  <c r="H1774" i="2"/>
  <c r="J1774" i="2" s="1"/>
  <c r="M1774" i="2" s="1"/>
  <c r="H1775" i="2"/>
  <c r="J1775" i="2" s="1"/>
  <c r="M1775" i="2" s="1"/>
  <c r="H1776" i="2"/>
  <c r="J1776" i="2" s="1"/>
  <c r="M1776" i="2" s="1"/>
  <c r="H1777" i="2"/>
  <c r="J1777" i="2" s="1"/>
  <c r="M1777" i="2" s="1"/>
  <c r="H1778" i="2"/>
  <c r="J1778" i="2" s="1"/>
  <c r="H1779" i="2"/>
  <c r="J1779" i="2" s="1"/>
  <c r="H1780" i="2"/>
  <c r="J1780" i="2" s="1"/>
  <c r="H1781" i="2"/>
  <c r="J1781" i="2" s="1"/>
  <c r="H1782" i="2"/>
  <c r="J1782" i="2" s="1"/>
  <c r="M1782" i="2" s="1"/>
  <c r="H1783" i="2"/>
  <c r="J1783" i="2" s="1"/>
  <c r="M1783" i="2" s="1"/>
  <c r="H1784" i="2"/>
  <c r="J1784" i="2" s="1"/>
  <c r="M1784" i="2" s="1"/>
  <c r="H1785" i="2"/>
  <c r="J1785" i="2" s="1"/>
  <c r="M1785" i="2" s="1"/>
  <c r="H1786" i="2"/>
  <c r="J1786" i="2" s="1"/>
  <c r="M1786" i="2" s="1"/>
  <c r="H1787" i="2"/>
  <c r="J1787" i="2" s="1"/>
  <c r="M1787" i="2" s="1"/>
  <c r="H1788" i="2"/>
  <c r="J1788" i="2" s="1"/>
  <c r="M1788" i="2" s="1"/>
  <c r="H1789" i="2"/>
  <c r="J1789" i="2" s="1"/>
  <c r="L1789" i="2" s="1"/>
  <c r="H1790" i="2"/>
  <c r="J1790" i="2" s="1"/>
  <c r="H1791" i="2"/>
  <c r="J1791" i="2" s="1"/>
  <c r="H1792" i="2"/>
  <c r="J1792" i="2" s="1"/>
  <c r="H1793" i="2"/>
  <c r="J1793" i="2" s="1"/>
  <c r="H1794" i="2"/>
  <c r="J1794" i="2" s="1"/>
  <c r="M1794" i="2" s="1"/>
  <c r="H1795" i="2"/>
  <c r="J1795" i="2" s="1"/>
  <c r="M1795" i="2" s="1"/>
  <c r="H1796" i="2"/>
  <c r="J1796" i="2" s="1"/>
  <c r="M1796" i="2" s="1"/>
  <c r="H1797" i="2"/>
  <c r="J1797" i="2" s="1"/>
  <c r="M1797" i="2" s="1"/>
  <c r="H1798" i="2"/>
  <c r="J1798" i="2" s="1"/>
  <c r="M1798" i="2" s="1"/>
  <c r="H1799" i="2"/>
  <c r="J1799" i="2" s="1"/>
  <c r="M1799" i="2" s="1"/>
  <c r="H1800" i="2"/>
  <c r="J1800" i="2" s="1"/>
  <c r="M1800" i="2" s="1"/>
  <c r="H1801" i="2"/>
  <c r="J1801" i="2" s="1"/>
  <c r="L1801" i="2" s="1"/>
  <c r="H1802" i="2"/>
  <c r="J1802" i="2" s="1"/>
  <c r="H1803" i="2"/>
  <c r="J1803" i="2" s="1"/>
  <c r="H1804" i="2"/>
  <c r="J1804" i="2" s="1"/>
  <c r="H1805" i="2"/>
  <c r="J1805" i="2" s="1"/>
  <c r="H1806" i="2"/>
  <c r="J1806" i="2" s="1"/>
  <c r="M1806" i="2" s="1"/>
  <c r="H1807" i="2"/>
  <c r="J1807" i="2" s="1"/>
  <c r="M1807" i="2" s="1"/>
  <c r="H1808" i="2"/>
  <c r="J1808" i="2" s="1"/>
  <c r="M1808" i="2" s="1"/>
  <c r="H1809" i="2"/>
  <c r="J1809" i="2" s="1"/>
  <c r="M1809" i="2" s="1"/>
  <c r="H1810" i="2"/>
  <c r="J1810" i="2" s="1"/>
  <c r="M1810" i="2" s="1"/>
  <c r="H1811" i="2"/>
  <c r="J1811" i="2" s="1"/>
  <c r="M1811" i="2" s="1"/>
  <c r="H1812" i="2"/>
  <c r="J1812" i="2" s="1"/>
  <c r="H1813" i="2"/>
  <c r="J1813" i="2" s="1"/>
  <c r="H1814" i="2"/>
  <c r="J1814" i="2" s="1"/>
  <c r="H1815" i="2"/>
  <c r="J1815" i="2" s="1"/>
  <c r="H1816" i="2"/>
  <c r="J1816" i="2" s="1"/>
  <c r="H1817" i="2"/>
  <c r="J1817" i="2" s="1"/>
  <c r="H1818" i="2"/>
  <c r="J1818" i="2" s="1"/>
  <c r="M1818" i="2" s="1"/>
  <c r="H1819" i="2"/>
  <c r="J1819" i="2" s="1"/>
  <c r="M1819" i="2" s="1"/>
  <c r="H1820" i="2"/>
  <c r="J1820" i="2" s="1"/>
  <c r="M1820" i="2" s="1"/>
  <c r="H1821" i="2"/>
  <c r="J1821" i="2" s="1"/>
  <c r="H1822" i="2"/>
  <c r="J1822" i="2" s="1"/>
  <c r="M1822" i="2" s="1"/>
  <c r="H1823" i="2"/>
  <c r="J1823" i="2" s="1"/>
  <c r="M1823" i="2" s="1"/>
  <c r="H1824" i="2"/>
  <c r="J1824" i="2" s="1"/>
  <c r="M1824" i="2" s="1"/>
  <c r="H1825" i="2"/>
  <c r="J1825" i="2" s="1"/>
  <c r="L1825" i="2" s="1"/>
  <c r="H1826" i="2"/>
  <c r="J1826" i="2" s="1"/>
  <c r="H1827" i="2"/>
  <c r="J1827" i="2" s="1"/>
  <c r="H1828" i="2"/>
  <c r="J1828" i="2" s="1"/>
  <c r="H1829" i="2"/>
  <c r="J1829" i="2" s="1"/>
  <c r="H1830" i="2"/>
  <c r="J1830" i="2" s="1"/>
  <c r="M1830" i="2" s="1"/>
  <c r="H1831" i="2"/>
  <c r="J1831" i="2" s="1"/>
  <c r="M1831" i="2" s="1"/>
  <c r="H1832" i="2"/>
  <c r="J1832" i="2" s="1"/>
  <c r="M1832" i="2" s="1"/>
  <c r="H1833" i="2"/>
  <c r="J1833" i="2" s="1"/>
  <c r="M1833" i="2" s="1"/>
  <c r="H1834" i="2"/>
  <c r="J1834" i="2" s="1"/>
  <c r="M1834" i="2" s="1"/>
  <c r="H1835" i="2"/>
  <c r="J1835" i="2" s="1"/>
  <c r="M1835" i="2" s="1"/>
  <c r="H1836" i="2"/>
  <c r="J1836" i="2" s="1"/>
  <c r="M1836" i="2" s="1"/>
  <c r="H1837" i="2"/>
  <c r="J1837" i="2" s="1"/>
  <c r="M1837" i="2" s="1"/>
  <c r="H1838" i="2"/>
  <c r="J1838" i="2" s="1"/>
  <c r="H1839" i="2"/>
  <c r="J1839" i="2" s="1"/>
  <c r="H1840" i="2"/>
  <c r="J1840" i="2" s="1"/>
  <c r="H1841" i="2"/>
  <c r="J1841" i="2" s="1"/>
  <c r="H1842" i="2"/>
  <c r="J1842" i="2" s="1"/>
  <c r="H1843" i="2"/>
  <c r="J1843" i="2" s="1"/>
  <c r="M1843" i="2" s="1"/>
  <c r="H1844" i="2"/>
  <c r="J1844" i="2" s="1"/>
  <c r="M1844" i="2" s="1"/>
  <c r="H1845" i="2"/>
  <c r="J1845" i="2" s="1"/>
  <c r="M1845" i="2" s="1"/>
  <c r="H1846" i="2"/>
  <c r="J1846" i="2" s="1"/>
  <c r="M1846" i="2" s="1"/>
  <c r="H1847" i="2"/>
  <c r="J1847" i="2" s="1"/>
  <c r="M1847" i="2" s="1"/>
  <c r="H1848" i="2"/>
  <c r="J1848" i="2" s="1"/>
  <c r="M1848" i="2" s="1"/>
  <c r="H1849" i="2"/>
  <c r="J1849" i="2" s="1"/>
  <c r="M1849" i="2" s="1"/>
  <c r="H1850" i="2"/>
  <c r="J1850" i="2" s="1"/>
  <c r="H1851" i="2"/>
  <c r="J1851" i="2" s="1"/>
  <c r="H1852" i="2"/>
  <c r="J1852" i="2" s="1"/>
  <c r="H1853" i="2"/>
  <c r="J1853" i="2" s="1"/>
  <c r="H1854" i="2"/>
  <c r="J1854" i="2" s="1"/>
  <c r="H1855" i="2"/>
  <c r="J1855" i="2" s="1"/>
  <c r="M1855" i="2" s="1"/>
  <c r="H1856" i="2"/>
  <c r="J1856" i="2" s="1"/>
  <c r="M1856" i="2" s="1"/>
  <c r="H1857" i="2"/>
  <c r="J1857" i="2" s="1"/>
  <c r="M1857" i="2" s="1"/>
  <c r="H1858" i="2"/>
  <c r="J1858" i="2" s="1"/>
  <c r="M1858" i="2" s="1"/>
  <c r="H1859" i="2"/>
  <c r="J1859" i="2" s="1"/>
  <c r="M1859" i="2" s="1"/>
  <c r="H1860" i="2"/>
  <c r="J1860" i="2" s="1"/>
  <c r="M1860" i="2" s="1"/>
  <c r="H1861" i="2"/>
  <c r="J1861" i="2" s="1"/>
  <c r="M1861" i="2" s="1"/>
  <c r="H1862" i="2"/>
  <c r="J1862" i="2" s="1"/>
  <c r="H1863" i="2"/>
  <c r="J1863" i="2" s="1"/>
  <c r="H1864" i="2"/>
  <c r="J1864" i="2" s="1"/>
  <c r="H1865" i="2"/>
  <c r="J1865" i="2" s="1"/>
  <c r="H1866" i="2"/>
  <c r="J1866" i="2" s="1"/>
  <c r="H1867" i="2"/>
  <c r="J1867" i="2" s="1"/>
  <c r="M1867" i="2" s="1"/>
  <c r="H1868" i="2"/>
  <c r="J1868" i="2" s="1"/>
  <c r="M1868" i="2" s="1"/>
  <c r="H1869" i="2"/>
  <c r="J1869" i="2" s="1"/>
  <c r="M1869" i="2" s="1"/>
  <c r="H1870" i="2"/>
  <c r="H1871" i="2"/>
  <c r="J1871" i="2" s="1"/>
  <c r="H1872" i="2"/>
  <c r="J1872" i="2" s="1"/>
  <c r="H1873" i="2"/>
  <c r="J1873" i="2" s="1"/>
  <c r="L1873" i="2" s="1"/>
  <c r="H1874" i="2"/>
  <c r="J1874" i="2" s="1"/>
  <c r="H1875" i="2"/>
  <c r="J1875" i="2" s="1"/>
  <c r="H1876" i="2"/>
  <c r="J1876" i="2" s="1"/>
  <c r="H1877" i="2"/>
  <c r="J1877" i="2" s="1"/>
  <c r="H1878" i="2"/>
  <c r="J1878" i="2" s="1"/>
  <c r="H1879" i="2"/>
  <c r="J1879" i="2" s="1"/>
  <c r="M1879" i="2" s="1"/>
  <c r="H1880" i="2"/>
  <c r="J1880" i="2" s="1"/>
  <c r="M1880" i="2" s="1"/>
  <c r="H1881" i="2"/>
  <c r="J1881" i="2" s="1"/>
  <c r="M1881" i="2" s="1"/>
  <c r="H1882" i="2"/>
  <c r="J1882" i="2" s="1"/>
  <c r="M1882" i="2" s="1"/>
  <c r="H1883" i="2"/>
  <c r="J1883" i="2" s="1"/>
  <c r="M1883" i="2" s="1"/>
  <c r="H1884" i="2"/>
  <c r="J1884" i="2" s="1"/>
  <c r="M1884" i="2" s="1"/>
  <c r="H1885" i="2"/>
  <c r="J1885" i="2" s="1"/>
  <c r="H1886" i="2"/>
  <c r="J1886" i="2" s="1"/>
  <c r="H1887" i="2"/>
  <c r="J1887" i="2" s="1"/>
  <c r="H1888" i="2"/>
  <c r="J1888" i="2" s="1"/>
  <c r="H1889" i="2"/>
  <c r="J1889" i="2" s="1"/>
  <c r="H1890" i="2"/>
  <c r="J1890" i="2" s="1"/>
  <c r="H1891" i="2"/>
  <c r="J1891" i="2" s="1"/>
  <c r="M1891" i="2" s="1"/>
  <c r="H1892" i="2"/>
  <c r="J1892" i="2" s="1"/>
  <c r="M1892" i="2" s="1"/>
  <c r="H1893" i="2"/>
  <c r="J1893" i="2" s="1"/>
  <c r="M1893" i="2" s="1"/>
  <c r="H1894" i="2"/>
  <c r="J1894" i="2" s="1"/>
  <c r="M1894" i="2" s="1"/>
  <c r="H1895" i="2"/>
  <c r="J1895" i="2" s="1"/>
  <c r="M1895" i="2" s="1"/>
  <c r="H1896" i="2"/>
  <c r="J1896" i="2" s="1"/>
  <c r="M1896" i="2" s="1"/>
  <c r="H1897" i="2"/>
  <c r="J1897" i="2" s="1"/>
  <c r="M1897" i="2" s="1"/>
  <c r="H1898" i="2"/>
  <c r="J1898" i="2" s="1"/>
  <c r="H1899" i="2"/>
  <c r="J1899" i="2" s="1"/>
  <c r="H1900" i="2"/>
  <c r="J1900" i="2" s="1"/>
  <c r="H1901" i="2"/>
  <c r="J1901" i="2" s="1"/>
  <c r="M1901" i="2" s="1"/>
  <c r="H1902" i="2"/>
  <c r="J1902" i="2" s="1"/>
  <c r="H1903" i="2"/>
  <c r="J1903" i="2" s="1"/>
  <c r="M1903" i="2" s="1"/>
  <c r="H1904" i="2"/>
  <c r="J1904" i="2" s="1"/>
  <c r="M1904" i="2" s="1"/>
  <c r="H1905" i="2"/>
  <c r="J1905" i="2" s="1"/>
  <c r="M1905" i="2" s="1"/>
  <c r="H1906" i="2"/>
  <c r="J1906" i="2" s="1"/>
  <c r="M1906" i="2" s="1"/>
  <c r="H1907" i="2"/>
  <c r="J1907" i="2" s="1"/>
  <c r="M1907" i="2" s="1"/>
  <c r="H1908" i="2"/>
  <c r="J1908" i="2" s="1"/>
  <c r="M1908" i="2" s="1"/>
  <c r="H1909" i="2"/>
  <c r="J1909" i="2" s="1"/>
  <c r="L1909" i="2" s="1"/>
  <c r="H1910" i="2"/>
  <c r="J1910" i="2" s="1"/>
  <c r="H1911" i="2"/>
  <c r="J1911" i="2" s="1"/>
  <c r="H1912" i="2"/>
  <c r="J1912" i="2" s="1"/>
  <c r="H1913" i="2"/>
  <c r="J1913" i="2" s="1"/>
  <c r="H1914" i="2"/>
  <c r="J1914" i="2" s="1"/>
  <c r="H1915" i="2"/>
  <c r="J1915" i="2" s="1"/>
  <c r="M1915" i="2" s="1"/>
  <c r="H1916" i="2"/>
  <c r="J1916" i="2" s="1"/>
  <c r="M1916" i="2" s="1"/>
  <c r="H1917" i="2"/>
  <c r="J1917" i="2" s="1"/>
  <c r="M1917" i="2" s="1"/>
  <c r="H1918" i="2"/>
  <c r="J1918" i="2" s="1"/>
  <c r="M1918" i="2" s="1"/>
  <c r="H1919" i="2"/>
  <c r="J1919" i="2" s="1"/>
  <c r="M1919" i="2" s="1"/>
  <c r="H1920" i="2"/>
  <c r="J1920" i="2" s="1"/>
  <c r="M1920" i="2" s="1"/>
  <c r="H1921" i="2"/>
  <c r="J1921" i="2" s="1"/>
  <c r="M1921" i="2" s="1"/>
  <c r="H1922" i="2"/>
  <c r="J1922" i="2" s="1"/>
  <c r="H1923" i="2"/>
  <c r="J1923" i="2" s="1"/>
  <c r="H1924" i="2"/>
  <c r="J1924" i="2" s="1"/>
  <c r="H1925" i="2"/>
  <c r="J1925" i="2" s="1"/>
  <c r="M1925" i="2" s="1"/>
  <c r="H1926" i="2"/>
  <c r="J1926" i="2" s="1"/>
  <c r="H1927" i="2"/>
  <c r="J1927" i="2" s="1"/>
  <c r="M1927" i="2" s="1"/>
  <c r="H1928" i="2"/>
  <c r="J1928" i="2" s="1"/>
  <c r="M1928" i="2" s="1"/>
  <c r="H1929" i="2"/>
  <c r="J1929" i="2" s="1"/>
  <c r="M1929" i="2" s="1"/>
  <c r="H1930" i="2"/>
  <c r="J1930" i="2" s="1"/>
  <c r="M1930" i="2" s="1"/>
  <c r="H1931" i="2"/>
  <c r="J1931" i="2" s="1"/>
  <c r="M1931" i="2" s="1"/>
  <c r="H1932" i="2"/>
  <c r="J1932" i="2" s="1"/>
  <c r="H1933" i="2"/>
  <c r="J1933" i="2" s="1"/>
  <c r="L1933" i="2" s="1"/>
  <c r="H1934" i="2"/>
  <c r="J1934" i="2" s="1"/>
  <c r="H1935" i="2"/>
  <c r="J1935" i="2" s="1"/>
  <c r="H1936" i="2"/>
  <c r="J1936" i="2" s="1"/>
  <c r="H1937" i="2"/>
  <c r="J1937" i="2" s="1"/>
  <c r="H1938" i="2"/>
  <c r="J1938" i="2" s="1"/>
  <c r="H1939" i="2"/>
  <c r="J1939" i="2" s="1"/>
  <c r="M1939" i="2" s="1"/>
  <c r="H1940" i="2"/>
  <c r="J1940" i="2" s="1"/>
  <c r="M1940" i="2" s="1"/>
  <c r="H1941" i="2"/>
  <c r="J1941" i="2" s="1"/>
  <c r="M1941" i="2" s="1"/>
  <c r="H1942" i="2"/>
  <c r="J1942" i="2" s="1"/>
  <c r="M1942" i="2" s="1"/>
  <c r="H1943" i="2"/>
  <c r="J1943" i="2" s="1"/>
  <c r="M1943" i="2" s="1"/>
  <c r="H1944" i="2"/>
  <c r="J1944" i="2" s="1"/>
  <c r="M1944" i="2" s="1"/>
  <c r="H1945" i="2"/>
  <c r="J1945" i="2" s="1"/>
  <c r="H1946" i="2"/>
  <c r="J1946" i="2" s="1"/>
  <c r="H1947" i="2"/>
  <c r="J1947" i="2" s="1"/>
  <c r="H1948" i="2"/>
  <c r="J1948" i="2" s="1"/>
  <c r="M1948" i="2" s="1"/>
  <c r="H1949" i="2"/>
  <c r="J1949" i="2" s="1"/>
  <c r="M1949" i="2" s="1"/>
  <c r="H1950" i="2"/>
  <c r="J1950" i="2" s="1"/>
  <c r="M1950" i="2" s="1"/>
  <c r="H1951" i="2"/>
  <c r="J1951" i="2" s="1"/>
  <c r="M1951" i="2" s="1"/>
  <c r="H1952" i="2"/>
  <c r="J1952" i="2" s="1"/>
  <c r="M1952" i="2" s="1"/>
  <c r="H1953" i="2"/>
  <c r="J1953" i="2" s="1"/>
  <c r="M1953" i="2" s="1"/>
  <c r="H1954" i="2"/>
  <c r="J1954" i="2" s="1"/>
  <c r="M1954" i="2" s="1"/>
  <c r="H1955" i="2"/>
  <c r="J1955" i="2" s="1"/>
  <c r="M1955" i="2" s="1"/>
  <c r="H1956" i="2"/>
  <c r="J1956" i="2" s="1"/>
  <c r="M1956" i="2" s="1"/>
  <c r="H1957" i="2"/>
  <c r="J1957" i="2" s="1"/>
  <c r="L1957" i="2" s="1"/>
  <c r="H1958" i="2"/>
  <c r="J1958" i="2" s="1"/>
  <c r="M1958" i="2" s="1"/>
  <c r="H1959" i="2"/>
  <c r="J1959" i="2" s="1"/>
  <c r="H1960" i="2"/>
  <c r="J1960" i="2" s="1"/>
  <c r="H1961" i="2"/>
  <c r="J1961" i="2" s="1"/>
  <c r="H1962" i="2"/>
  <c r="J1962" i="2" s="1"/>
  <c r="H1963" i="2"/>
  <c r="J1963" i="2" s="1"/>
  <c r="M1963" i="2" s="1"/>
  <c r="H1964" i="2"/>
  <c r="J1964" i="2" s="1"/>
  <c r="M1964" i="2" s="1"/>
  <c r="H1965" i="2"/>
  <c r="J1965" i="2" s="1"/>
  <c r="M1965" i="2" s="1"/>
  <c r="H1966" i="2"/>
  <c r="J1966" i="2" s="1"/>
  <c r="M1966" i="2" s="1"/>
  <c r="H1967" i="2"/>
  <c r="J1967" i="2" s="1"/>
  <c r="M1967" i="2" s="1"/>
  <c r="H1968" i="2"/>
  <c r="J1968" i="2" s="1"/>
  <c r="M1968" i="2" s="1"/>
  <c r="H1969" i="2"/>
  <c r="J1969" i="2" s="1"/>
  <c r="M1969" i="2" s="1"/>
  <c r="H1970" i="2"/>
  <c r="J1970" i="2" s="1"/>
  <c r="H1971" i="2"/>
  <c r="J1971" i="2" s="1"/>
  <c r="H1972" i="2"/>
  <c r="J1972" i="2" s="1"/>
  <c r="M1972" i="2" s="1"/>
  <c r="H1973" i="2"/>
  <c r="J1973" i="2" s="1"/>
  <c r="H1974" i="2"/>
  <c r="J1974" i="2" s="1"/>
  <c r="H1975" i="2"/>
  <c r="J1975" i="2" s="1"/>
  <c r="M1975" i="2" s="1"/>
  <c r="H1976" i="2"/>
  <c r="J1976" i="2" s="1"/>
  <c r="M1976" i="2" s="1"/>
  <c r="H1977" i="2"/>
  <c r="J1977" i="2" s="1"/>
  <c r="M1977" i="2" s="1"/>
  <c r="H1978" i="2"/>
  <c r="J1978" i="2" s="1"/>
  <c r="M1978" i="2" s="1"/>
  <c r="H1979" i="2"/>
  <c r="J1979" i="2" s="1"/>
  <c r="H1980" i="2"/>
  <c r="J1980" i="2" s="1"/>
  <c r="M1980" i="2" s="1"/>
  <c r="H1981" i="2"/>
  <c r="J1981" i="2" s="1"/>
  <c r="M1981" i="2" s="1"/>
  <c r="H34" i="2"/>
  <c r="J34" i="2" s="1"/>
  <c r="H35" i="2"/>
  <c r="H36" i="2"/>
  <c r="H37" i="2"/>
  <c r="H38" i="2"/>
  <c r="H39" i="2"/>
  <c r="J39" i="2" s="1"/>
  <c r="M39" i="2" s="1"/>
  <c r="H40" i="2"/>
  <c r="J40" i="2" s="1"/>
  <c r="M40" i="2" s="1"/>
  <c r="H41" i="2"/>
  <c r="J41" i="2" s="1"/>
  <c r="H42" i="2"/>
  <c r="J42" i="2" s="1"/>
  <c r="M42" i="2" s="1"/>
  <c r="H43" i="2"/>
  <c r="J43" i="2" s="1"/>
  <c r="L43" i="2" s="1"/>
  <c r="H44" i="2"/>
  <c r="J44" i="2" s="1"/>
  <c r="L44" i="2" s="1"/>
  <c r="H45" i="2"/>
  <c r="J45" i="2" s="1"/>
  <c r="H46" i="2"/>
  <c r="J46" i="2" s="1"/>
  <c r="H47" i="2"/>
  <c r="J47" i="2" s="1"/>
  <c r="H48" i="2"/>
  <c r="J48" i="2" s="1"/>
  <c r="H49" i="2"/>
  <c r="J49" i="2" s="1"/>
  <c r="L49" i="2" s="1"/>
  <c r="H50" i="2"/>
  <c r="J50" i="2" s="1"/>
  <c r="M50" i="2" s="1"/>
  <c r="H51" i="2"/>
  <c r="J51" i="2" s="1"/>
  <c r="M51" i="2" s="1"/>
  <c r="H52" i="2"/>
  <c r="J52" i="2" s="1"/>
  <c r="M52" i="2" s="1"/>
  <c r="H53" i="2"/>
  <c r="J53" i="2" s="1"/>
  <c r="L53" i="2" s="1"/>
  <c r="H54" i="2"/>
  <c r="J54" i="2" s="1"/>
  <c r="M54" i="2" s="1"/>
  <c r="H55" i="2"/>
  <c r="J55" i="2" s="1"/>
  <c r="M55" i="2" s="1"/>
  <c r="H56" i="2"/>
  <c r="J56" i="2" s="1"/>
  <c r="H57" i="2"/>
  <c r="J57" i="2" s="1"/>
  <c r="M57" i="2" s="1"/>
  <c r="H58" i="2"/>
  <c r="J58" i="2" s="1"/>
  <c r="M58" i="2" s="1"/>
  <c r="H59" i="2"/>
  <c r="J59" i="2" s="1"/>
  <c r="H60" i="2"/>
  <c r="J60" i="2" s="1"/>
  <c r="M60" i="2" s="1"/>
  <c r="H61" i="2"/>
  <c r="J61" i="2" s="1"/>
  <c r="H62" i="2"/>
  <c r="J62" i="2" s="1"/>
  <c r="M62" i="2" s="1"/>
  <c r="H63" i="2"/>
  <c r="J63" i="2" s="1"/>
  <c r="H64" i="2"/>
  <c r="J64" i="2" s="1"/>
  <c r="H65" i="2"/>
  <c r="J65" i="2" s="1"/>
  <c r="H66" i="2"/>
  <c r="H67" i="2"/>
  <c r="J67" i="2" s="1"/>
  <c r="H68" i="2"/>
  <c r="J68" i="2" s="1"/>
  <c r="M68" i="2" s="1"/>
  <c r="H69" i="2"/>
  <c r="J69" i="2" s="1"/>
  <c r="M69" i="2" s="1"/>
  <c r="H70" i="2"/>
  <c r="J70" i="2" s="1"/>
  <c r="H71" i="2"/>
  <c r="J71" i="2" s="1"/>
  <c r="M71" i="2" s="1"/>
  <c r="H72" i="2"/>
  <c r="J72" i="2" s="1"/>
  <c r="L72" i="2" s="1"/>
  <c r="H73" i="2"/>
  <c r="J73" i="2" s="1"/>
  <c r="L73" i="2" s="1"/>
  <c r="H74" i="2"/>
  <c r="H75" i="2"/>
  <c r="J75" i="2" s="1"/>
  <c r="L75" i="2" s="1"/>
  <c r="H76" i="2"/>
  <c r="J76" i="2" s="1"/>
  <c r="L76" i="2" s="1"/>
  <c r="H77" i="2"/>
  <c r="J77" i="2" s="1"/>
  <c r="L77" i="2" s="1"/>
  <c r="H78" i="2"/>
  <c r="J78" i="2" s="1"/>
  <c r="M78" i="2" s="1"/>
  <c r="H79" i="2"/>
  <c r="J79" i="2" s="1"/>
  <c r="L79" i="2" s="1"/>
  <c r="H80" i="2"/>
  <c r="J80" i="2" s="1"/>
  <c r="H81" i="2"/>
  <c r="J81" i="2" s="1"/>
  <c r="L81" i="2" s="1"/>
  <c r="H82" i="2"/>
  <c r="J82" i="2" s="1"/>
  <c r="M82" i="2" s="1"/>
  <c r="H83" i="2"/>
  <c r="J83" i="2" s="1"/>
  <c r="H84" i="2"/>
  <c r="J84" i="2" s="1"/>
  <c r="M84" i="2" s="1"/>
  <c r="H85" i="2"/>
  <c r="J85" i="2" s="1"/>
  <c r="L85" i="2" s="1"/>
  <c r="H86" i="2"/>
  <c r="J86" i="2" s="1"/>
  <c r="M86" i="2" s="1"/>
  <c r="H87" i="2"/>
  <c r="H88" i="2"/>
  <c r="H89" i="2"/>
  <c r="J89" i="2" s="1"/>
  <c r="L89" i="2" s="1"/>
  <c r="H90" i="2"/>
  <c r="H91" i="2"/>
  <c r="J91" i="2" s="1"/>
  <c r="H92" i="2"/>
  <c r="J92" i="2" s="1"/>
  <c r="H93" i="2"/>
  <c r="J93" i="2" s="1"/>
  <c r="H94" i="2"/>
  <c r="J94" i="2" s="1"/>
  <c r="H95" i="2"/>
  <c r="J95" i="2" s="1"/>
  <c r="M95" i="2" s="1"/>
  <c r="H96" i="2"/>
  <c r="J96" i="2" s="1"/>
  <c r="M96" i="2" s="1"/>
  <c r="H97" i="2"/>
  <c r="J97" i="2" s="1"/>
  <c r="M97" i="2" s="1"/>
  <c r="H98" i="2"/>
  <c r="J98" i="2" s="1"/>
  <c r="M98" i="2" s="1"/>
  <c r="H99" i="2"/>
  <c r="J99" i="2" s="1"/>
  <c r="L99" i="2" s="1"/>
  <c r="H100" i="2"/>
  <c r="J100" i="2" s="1"/>
  <c r="L100" i="2" s="1"/>
  <c r="H101" i="2"/>
  <c r="J101" i="2" s="1"/>
  <c r="L101" i="2" s="1"/>
  <c r="H102" i="2"/>
  <c r="J102" i="2" s="1"/>
  <c r="L102" i="2" s="1"/>
  <c r="H103" i="2"/>
  <c r="J103" i="2" s="1"/>
  <c r="M103" i="2" s="1"/>
  <c r="H104" i="2"/>
  <c r="J104" i="2" s="1"/>
  <c r="M104" i="2" s="1"/>
  <c r="H105" i="2"/>
  <c r="J105" i="2" s="1"/>
  <c r="M105" i="2" s="1"/>
  <c r="H106" i="2"/>
  <c r="J106" i="2" s="1"/>
  <c r="H107" i="2"/>
  <c r="J107" i="2" s="1"/>
  <c r="H108" i="2"/>
  <c r="J108" i="2" s="1"/>
  <c r="H109" i="2"/>
  <c r="J109" i="2" s="1"/>
  <c r="H110" i="2"/>
  <c r="J110" i="2" s="1"/>
  <c r="M110" i="2" s="1"/>
  <c r="H111" i="2"/>
  <c r="J111" i="2" s="1"/>
  <c r="M111" i="2" s="1"/>
  <c r="H112" i="2"/>
  <c r="J112" i="2" s="1"/>
  <c r="H113" i="2"/>
  <c r="J113" i="2" s="1"/>
  <c r="L113" i="2" s="1"/>
  <c r="H114" i="2"/>
  <c r="J114" i="2" s="1"/>
  <c r="L114" i="2" s="1"/>
  <c r="H115" i="2"/>
  <c r="J115" i="2" s="1"/>
  <c r="H116" i="2"/>
  <c r="J116" i="2" s="1"/>
  <c r="L116" i="2" s="1"/>
  <c r="H117" i="2"/>
  <c r="J117" i="2" s="1"/>
  <c r="M117" i="2" s="1"/>
  <c r="H118" i="2"/>
  <c r="H119" i="2"/>
  <c r="H120" i="2"/>
  <c r="J120" i="2" s="1"/>
  <c r="H121" i="2"/>
  <c r="J121" i="2" s="1"/>
  <c r="H122" i="2"/>
  <c r="J122" i="2" s="1"/>
  <c r="M122" i="2" s="1"/>
  <c r="H123" i="2"/>
  <c r="J123" i="2" s="1"/>
  <c r="M123" i="2" s="1"/>
  <c r="H124" i="2"/>
  <c r="J124" i="2" s="1"/>
  <c r="M124" i="2" s="1"/>
  <c r="H125" i="2"/>
  <c r="J125" i="2" s="1"/>
  <c r="M125" i="2" s="1"/>
  <c r="H126" i="2"/>
  <c r="J126" i="2" s="1"/>
  <c r="M126" i="2" s="1"/>
  <c r="H127" i="2"/>
  <c r="J127" i="2" s="1"/>
  <c r="L127" i="2" s="1"/>
  <c r="H128" i="2"/>
  <c r="J128" i="2" s="1"/>
  <c r="L128" i="2" s="1"/>
  <c r="H129" i="2"/>
  <c r="J129" i="2" s="1"/>
  <c r="H130" i="2"/>
  <c r="J130" i="2" s="1"/>
  <c r="H131" i="2"/>
  <c r="H132" i="2"/>
  <c r="J132" i="2" s="1"/>
  <c r="H133" i="2"/>
  <c r="J133" i="2" s="1"/>
  <c r="H134" i="2"/>
  <c r="J134" i="2" s="1"/>
  <c r="M134" i="2" s="1"/>
  <c r="H135" i="2"/>
  <c r="J135" i="2" s="1"/>
  <c r="L135" i="2" s="1"/>
  <c r="H136" i="2"/>
  <c r="J136" i="2" s="1"/>
  <c r="M136" i="2" s="1"/>
  <c r="H137" i="2"/>
  <c r="J137" i="2" s="1"/>
  <c r="M137" i="2" s="1"/>
  <c r="H138" i="2"/>
  <c r="J138" i="2" s="1"/>
  <c r="H139" i="2"/>
  <c r="J139" i="2" s="1"/>
  <c r="H140" i="2"/>
  <c r="J140" i="2" s="1"/>
  <c r="H141" i="2"/>
  <c r="J141" i="2" s="1"/>
  <c r="H142" i="2"/>
  <c r="H143" i="2"/>
  <c r="H144" i="2"/>
  <c r="J144" i="2" s="1"/>
  <c r="L144" i="2" s="1"/>
  <c r="H145" i="2"/>
  <c r="J145" i="2" s="1"/>
  <c r="L145" i="2" s="1"/>
  <c r="H146" i="2"/>
  <c r="J146" i="2" s="1"/>
  <c r="M146" i="2" s="1"/>
  <c r="H147" i="2"/>
  <c r="J147" i="2" s="1"/>
  <c r="L147" i="2" s="1"/>
  <c r="H148" i="2"/>
  <c r="J148" i="2" s="1"/>
  <c r="M148" i="2" s="1"/>
  <c r="H149" i="2"/>
  <c r="J149" i="2" s="1"/>
  <c r="H150" i="2"/>
  <c r="J150" i="2" s="1"/>
  <c r="M150" i="2" s="1"/>
  <c r="H151" i="2"/>
  <c r="J151" i="2" s="1"/>
  <c r="M151" i="2" s="1"/>
  <c r="H152" i="2"/>
  <c r="J152" i="2" s="1"/>
  <c r="M152" i="2" s="1"/>
  <c r="H153" i="2"/>
  <c r="J153" i="2" s="1"/>
  <c r="H154" i="2"/>
  <c r="J154" i="2" s="1"/>
  <c r="M154" i="2" s="1"/>
  <c r="H155" i="2"/>
  <c r="H156" i="2"/>
  <c r="J156" i="2" s="1"/>
  <c r="L156" i="2" s="1"/>
  <c r="H157" i="2"/>
  <c r="J157" i="2" s="1"/>
  <c r="L157" i="2" s="1"/>
  <c r="H158" i="2"/>
  <c r="J158" i="2" s="1"/>
  <c r="M158" i="2" s="1"/>
  <c r="H159" i="2"/>
  <c r="J159" i="2" s="1"/>
  <c r="L159" i="2" s="1"/>
  <c r="H160" i="2"/>
  <c r="J160" i="2" s="1"/>
  <c r="L160" i="2" s="1"/>
  <c r="H161" i="2"/>
  <c r="J161" i="2" s="1"/>
  <c r="M161" i="2" s="1"/>
  <c r="H162" i="2"/>
  <c r="J162" i="2" s="1"/>
  <c r="H163" i="2"/>
  <c r="J163" i="2" s="1"/>
  <c r="H164" i="2"/>
  <c r="J164" i="2" s="1"/>
  <c r="L164" i="2" s="1"/>
  <c r="H165" i="2"/>
  <c r="J165" i="2" s="1"/>
  <c r="L165" i="2" s="1"/>
  <c r="H166" i="2"/>
  <c r="J166" i="2" s="1"/>
  <c r="L166" i="2" s="1"/>
  <c r="H167" i="2"/>
  <c r="J167" i="2" s="1"/>
  <c r="H168" i="2"/>
  <c r="J168" i="2" s="1"/>
  <c r="M168" i="2" s="1"/>
  <c r="H169" i="2"/>
  <c r="J169" i="2" s="1"/>
  <c r="L169" i="2" s="1"/>
  <c r="H170" i="2"/>
  <c r="J170" i="2" s="1"/>
  <c r="M170" i="2" s="1"/>
  <c r="H171" i="2"/>
  <c r="J171" i="2" s="1"/>
  <c r="L171" i="2" s="1"/>
  <c r="H172" i="2"/>
  <c r="J172" i="2" s="1"/>
  <c r="L172" i="2" s="1"/>
  <c r="H173" i="2"/>
  <c r="J173" i="2" s="1"/>
  <c r="L173" i="2" s="1"/>
  <c r="H174" i="2"/>
  <c r="J174" i="2" s="1"/>
  <c r="M174" i="2" s="1"/>
  <c r="H175" i="2"/>
  <c r="J175" i="2" s="1"/>
  <c r="M175" i="2" s="1"/>
  <c r="H176" i="2"/>
  <c r="J176" i="2" s="1"/>
  <c r="H177" i="2"/>
  <c r="J177" i="2" s="1"/>
  <c r="L177" i="2" s="1"/>
  <c r="H178" i="2"/>
  <c r="J178" i="2" s="1"/>
  <c r="H179" i="2"/>
  <c r="J179" i="2" s="1"/>
  <c r="H180" i="2"/>
  <c r="J180" i="2" s="1"/>
  <c r="H181" i="2"/>
  <c r="J181" i="2" s="1"/>
  <c r="M181" i="2" s="1"/>
  <c r="H182" i="2"/>
  <c r="J182" i="2" s="1"/>
  <c r="M182" i="2" s="1"/>
  <c r="H183" i="2"/>
  <c r="J183" i="2" s="1"/>
  <c r="M183" i="2" s="1"/>
  <c r="H184" i="2"/>
  <c r="J184" i="2" s="1"/>
  <c r="M184" i="2" s="1"/>
  <c r="H185" i="2"/>
  <c r="J185" i="2" s="1"/>
  <c r="M185" i="2" s="1"/>
  <c r="H186" i="2"/>
  <c r="J186" i="2" s="1"/>
  <c r="H3" i="2"/>
  <c r="J3" i="2" s="1"/>
  <c r="H4" i="2"/>
  <c r="J4" i="2" s="1"/>
  <c r="L4" i="2" s="1"/>
  <c r="H5" i="2"/>
  <c r="J5" i="2" s="1"/>
  <c r="H6" i="2"/>
  <c r="J6" i="2" s="1"/>
  <c r="H7" i="2"/>
  <c r="J7" i="2" s="1"/>
  <c r="H8" i="2"/>
  <c r="J8" i="2" s="1"/>
  <c r="M8" i="2" s="1"/>
  <c r="H9" i="2"/>
  <c r="J9" i="2" s="1"/>
  <c r="H10" i="2"/>
  <c r="H11" i="2"/>
  <c r="J11" i="2" s="1"/>
  <c r="M11" i="2" s="1"/>
  <c r="H12" i="2"/>
  <c r="J12" i="2" s="1"/>
  <c r="H13" i="2"/>
  <c r="J13" i="2" s="1"/>
  <c r="M13" i="2" s="1"/>
  <c r="H14" i="2"/>
  <c r="J14" i="2" s="1"/>
  <c r="M14" i="2" s="1"/>
  <c r="H15" i="2"/>
  <c r="J15" i="2" s="1"/>
  <c r="M15" i="2" s="1"/>
  <c r="H16" i="2"/>
  <c r="J16" i="2" s="1"/>
  <c r="M16" i="2" s="1"/>
  <c r="H17" i="2"/>
  <c r="J17" i="2" s="1"/>
  <c r="H18" i="2"/>
  <c r="J18" i="2" s="1"/>
  <c r="M18" i="2" s="1"/>
  <c r="H19" i="2"/>
  <c r="J19" i="2" s="1"/>
  <c r="H20" i="2"/>
  <c r="J20" i="2" s="1"/>
  <c r="H21" i="2"/>
  <c r="J21" i="2" s="1"/>
  <c r="H22" i="2"/>
  <c r="H23" i="2"/>
  <c r="J23" i="2" s="1"/>
  <c r="L23" i="2" s="1"/>
  <c r="H24" i="2"/>
  <c r="H25" i="2"/>
  <c r="J25" i="2" s="1"/>
  <c r="H26" i="2"/>
  <c r="J26" i="2" s="1"/>
  <c r="M26" i="2" s="1"/>
  <c r="H27" i="2"/>
  <c r="J27" i="2" s="1"/>
  <c r="H28" i="2"/>
  <c r="J28" i="2" s="1"/>
  <c r="H29" i="2"/>
  <c r="J29" i="2" s="1"/>
  <c r="H30" i="2"/>
  <c r="J30" i="2" s="1"/>
  <c r="H31" i="2"/>
  <c r="J31" i="2" s="1"/>
  <c r="H32" i="2"/>
  <c r="J32" i="2" s="1"/>
  <c r="M32" i="2" s="1"/>
  <c r="H33" i="2"/>
  <c r="J33" i="2" s="1"/>
  <c r="H2" i="2"/>
  <c r="J2" i="2" s="1"/>
  <c r="L2" i="2" s="1"/>
  <c r="M2" i="2"/>
  <c r="M6" i="2"/>
  <c r="M7" i="2"/>
  <c r="M12" i="2"/>
  <c r="M19" i="2"/>
  <c r="M20" i="2"/>
  <c r="M21" i="2"/>
  <c r="M30" i="2"/>
  <c r="M31" i="2"/>
  <c r="M33" i="2"/>
  <c r="M34" i="2"/>
  <c r="M35" i="2"/>
  <c r="M46" i="2"/>
  <c r="M47" i="2"/>
  <c r="M48" i="2"/>
  <c r="M49" i="2"/>
  <c r="M59" i="2"/>
  <c r="M66" i="2"/>
  <c r="M70" i="2"/>
  <c r="M83" i="2"/>
  <c r="M94" i="2"/>
  <c r="M107" i="2"/>
  <c r="M108" i="2"/>
  <c r="M109" i="2"/>
  <c r="M112" i="2"/>
  <c r="M120" i="2"/>
  <c r="M121" i="2"/>
  <c r="M130" i="2"/>
  <c r="M132" i="2"/>
  <c r="M133" i="2"/>
  <c r="M135" i="2"/>
  <c r="M144" i="2"/>
  <c r="M145" i="2"/>
  <c r="M147" i="2"/>
  <c r="M160" i="2"/>
  <c r="M164" i="2"/>
  <c r="M165" i="2"/>
  <c r="M172" i="2"/>
  <c r="M178" i="2"/>
  <c r="M180" i="2"/>
  <c r="M195" i="2"/>
  <c r="M200" i="2"/>
  <c r="M207" i="2"/>
  <c r="M208" i="2"/>
  <c r="M209" i="2"/>
  <c r="M210" i="2"/>
  <c r="M211" i="2"/>
  <c r="M219" i="2"/>
  <c r="M220" i="2"/>
  <c r="M221" i="2"/>
  <c r="M226" i="2"/>
  <c r="M231" i="2"/>
  <c r="M232" i="2"/>
  <c r="M233" i="2"/>
  <c r="M234" i="2"/>
  <c r="M243" i="2"/>
  <c r="M244" i="2"/>
  <c r="M245" i="2"/>
  <c r="M246" i="2"/>
  <c r="M262" i="2"/>
  <c r="M263" i="2"/>
  <c r="M267" i="2"/>
  <c r="M270" i="2"/>
  <c r="M279" i="2"/>
  <c r="M280" i="2"/>
  <c r="M285" i="2"/>
  <c r="M286" i="2"/>
  <c r="M287" i="2"/>
  <c r="M291" i="2"/>
  <c r="M292" i="2"/>
  <c r="M293" i="2"/>
  <c r="M303" i="2"/>
  <c r="M304" i="2"/>
  <c r="M305" i="2"/>
  <c r="M315" i="2"/>
  <c r="M316" i="2"/>
  <c r="M317" i="2"/>
  <c r="M318" i="2"/>
  <c r="M319" i="2"/>
  <c r="M320" i="2"/>
  <c r="M327" i="2"/>
  <c r="M328" i="2"/>
  <c r="M329" i="2"/>
  <c r="M335" i="2"/>
  <c r="M339" i="2"/>
  <c r="M351" i="2"/>
  <c r="M363" i="2"/>
  <c r="M366" i="2"/>
  <c r="M375" i="2"/>
  <c r="M376" i="2"/>
  <c r="M377" i="2"/>
  <c r="M387" i="2"/>
  <c r="M388" i="2"/>
  <c r="M389" i="2"/>
  <c r="M400" i="2"/>
  <c r="M401" i="2"/>
  <c r="M402" i="2"/>
  <c r="M403" i="2"/>
  <c r="M404" i="2"/>
  <c r="M405" i="2"/>
  <c r="M411" i="2"/>
  <c r="M413" i="2"/>
  <c r="M414" i="2"/>
  <c r="M415" i="2"/>
  <c r="M416" i="2"/>
  <c r="M418" i="2"/>
  <c r="M419" i="2"/>
  <c r="M423" i="2"/>
  <c r="M429" i="2"/>
  <c r="M430" i="2"/>
  <c r="M435" i="2"/>
  <c r="M447" i="2"/>
  <c r="M450" i="2"/>
  <c r="M459" i="2"/>
  <c r="M460" i="2"/>
  <c r="M461" i="2"/>
  <c r="M471" i="2"/>
  <c r="M472" i="2"/>
  <c r="M473" i="2"/>
  <c r="M474" i="2"/>
  <c r="M475" i="2"/>
  <c r="M483" i="2"/>
  <c r="M484" i="2"/>
  <c r="M485" i="2"/>
  <c r="M495" i="2"/>
  <c r="M496" i="2"/>
  <c r="M497" i="2"/>
  <c r="M499" i="2"/>
  <c r="M500" i="2"/>
  <c r="M501" i="2"/>
  <c r="M508" i="2"/>
  <c r="M520" i="2"/>
  <c r="M526" i="2"/>
  <c r="M532" i="2"/>
  <c r="M535" i="2"/>
  <c r="M536" i="2"/>
  <c r="M538" i="2"/>
  <c r="M544" i="2"/>
  <c r="M546" i="2"/>
  <c r="M547" i="2"/>
  <c r="M556" i="2"/>
  <c r="M562" i="2"/>
  <c r="M568" i="2"/>
  <c r="M570" i="2"/>
  <c r="M571" i="2"/>
  <c r="M574" i="2"/>
  <c r="M580" i="2"/>
  <c r="M583" i="2"/>
  <c r="M592" i="2"/>
  <c r="M595" i="2"/>
  <c r="M596" i="2"/>
  <c r="M598" i="2"/>
  <c r="M604" i="2"/>
  <c r="M606" i="2"/>
  <c r="M610" i="2"/>
  <c r="M616" i="2"/>
  <c r="M628" i="2"/>
  <c r="M630" i="2"/>
  <c r="M631" i="2"/>
  <c r="M632" i="2"/>
  <c r="M634" i="2"/>
  <c r="M640" i="2"/>
  <c r="M646" i="2"/>
  <c r="M652" i="2"/>
  <c r="M664" i="2"/>
  <c r="M666" i="2"/>
  <c r="M670" i="2"/>
  <c r="M676" i="2"/>
  <c r="M679" i="2"/>
  <c r="M680" i="2"/>
  <c r="M688" i="2"/>
  <c r="M694" i="2"/>
  <c r="M700" i="2"/>
  <c r="M703" i="2"/>
  <c r="M706" i="2"/>
  <c r="M712" i="2"/>
  <c r="M714" i="2"/>
  <c r="M715" i="2"/>
  <c r="M724" i="2"/>
  <c r="M736" i="2"/>
  <c r="M738" i="2"/>
  <c r="M742" i="2"/>
  <c r="M748" i="2"/>
  <c r="M750" i="2"/>
  <c r="M751" i="2"/>
  <c r="M760" i="2"/>
  <c r="M772" i="2"/>
  <c r="M774" i="2"/>
  <c r="M778" i="2"/>
  <c r="M784" i="2"/>
  <c r="M788" i="2"/>
  <c r="M796" i="2"/>
  <c r="M802" i="2"/>
  <c r="M808" i="2"/>
  <c r="M811" i="2"/>
  <c r="M814" i="2"/>
  <c r="M820" i="2"/>
  <c r="M826" i="2"/>
  <c r="M832" i="2"/>
  <c r="M844" i="2"/>
  <c r="M849" i="2"/>
  <c r="M850" i="2"/>
  <c r="M856" i="2"/>
  <c r="M858" i="2"/>
  <c r="M859" i="2"/>
  <c r="M868" i="2"/>
  <c r="M874" i="2"/>
  <c r="M880" i="2"/>
  <c r="M884" i="2"/>
  <c r="M885" i="2"/>
  <c r="M886" i="2"/>
  <c r="M892" i="2"/>
  <c r="M904" i="2"/>
  <c r="M906" i="2"/>
  <c r="M907" i="2"/>
  <c r="M908" i="2"/>
  <c r="M909" i="2"/>
  <c r="M910" i="2"/>
  <c r="M916" i="2"/>
  <c r="M928" i="2"/>
  <c r="M934" i="2"/>
  <c r="M940" i="2"/>
  <c r="M942" i="2"/>
  <c r="M943" i="2"/>
  <c r="M946" i="2"/>
  <c r="M950" i="2"/>
  <c r="M952" i="2"/>
  <c r="M954" i="2"/>
  <c r="M964" i="2"/>
  <c r="M970" i="2"/>
  <c r="M971" i="2"/>
  <c r="M976" i="2"/>
  <c r="M988" i="2"/>
  <c r="M990" i="2"/>
  <c r="M991" i="2"/>
  <c r="M1000" i="2"/>
  <c r="M1002" i="2"/>
  <c r="M1004" i="2"/>
  <c r="M1012" i="2"/>
  <c r="M1018" i="2"/>
  <c r="M1024" i="2"/>
  <c r="M1036" i="2"/>
  <c r="M1040" i="2"/>
  <c r="M1042" i="2"/>
  <c r="M1048" i="2"/>
  <c r="M1051" i="2"/>
  <c r="M1060" i="2"/>
  <c r="M1071" i="2"/>
  <c r="M1072" i="2"/>
  <c r="M1077" i="2"/>
  <c r="M1078" i="2"/>
  <c r="M1084" i="2"/>
  <c r="M1087" i="2"/>
  <c r="M1095" i="2"/>
  <c r="M1096" i="2"/>
  <c r="M1099" i="2"/>
  <c r="M1107" i="2"/>
  <c r="M1108" i="2"/>
  <c r="M1110" i="2"/>
  <c r="M1111" i="2"/>
  <c r="M1114" i="2"/>
  <c r="M1119" i="2"/>
  <c r="M1126" i="2"/>
  <c r="M1131" i="2"/>
  <c r="M1132" i="2"/>
  <c r="M1135" i="2"/>
  <c r="M1136" i="2"/>
  <c r="M1143" i="2"/>
  <c r="M1155" i="2"/>
  <c r="M1156" i="2"/>
  <c r="M1158" i="2"/>
  <c r="M1162" i="2"/>
  <c r="M1167" i="2"/>
  <c r="M1173" i="2"/>
  <c r="M1179" i="2"/>
  <c r="M1180" i="2"/>
  <c r="M1183" i="2"/>
  <c r="M1184" i="2"/>
  <c r="M1215" i="2"/>
  <c r="M1230" i="2"/>
  <c r="M1231" i="2"/>
  <c r="M1232" i="2"/>
  <c r="M1233" i="2"/>
  <c r="M1234" i="2"/>
  <c r="M1246" i="2"/>
  <c r="M1251" i="2"/>
  <c r="M1252" i="2"/>
  <c r="M1264" i="2"/>
  <c r="M1270" i="2"/>
  <c r="M1280" i="2"/>
  <c r="M1281" i="2"/>
  <c r="M1282" i="2"/>
  <c r="M1287" i="2"/>
  <c r="M1299" i="2"/>
  <c r="M1303" i="2"/>
  <c r="M1304" i="2"/>
  <c r="M1311" i="2"/>
  <c r="M1328" i="2"/>
  <c r="M1330" i="2"/>
  <c r="M1336" i="2"/>
  <c r="M1339" i="2"/>
  <c r="M1340" i="2"/>
  <c r="M1342" i="2"/>
  <c r="M1348" i="2"/>
  <c r="M1363" i="2"/>
  <c r="M1366" i="2"/>
  <c r="M1367" i="2"/>
  <c r="M1372" i="2"/>
  <c r="M1375" i="2"/>
  <c r="M1383" i="2"/>
  <c r="M1384" i="2"/>
  <c r="M1386" i="2"/>
  <c r="M1387" i="2"/>
  <c r="M1390" i="2"/>
  <c r="M1395" i="2"/>
  <c r="M1396" i="2"/>
  <c r="M1402" i="2"/>
  <c r="M1425" i="2"/>
  <c r="M1426" i="2"/>
  <c r="M1437" i="2"/>
  <c r="M1438" i="2"/>
  <c r="M1461" i="2"/>
  <c r="M1462" i="2"/>
  <c r="M1474" i="2"/>
  <c r="M1498" i="2"/>
  <c r="M1510" i="2"/>
  <c r="M1522" i="2"/>
  <c r="M1525" i="2"/>
  <c r="M1546" i="2"/>
  <c r="M1558" i="2"/>
  <c r="M1570" i="2"/>
  <c r="M1594" i="2"/>
  <c r="M1605" i="2"/>
  <c r="M1606" i="2"/>
  <c r="M1607" i="2"/>
  <c r="M1618" i="2"/>
  <c r="M1641" i="2"/>
  <c r="M1642" i="2"/>
  <c r="M1646" i="2"/>
  <c r="M1647" i="2"/>
  <c r="M1648" i="2"/>
  <c r="M1649" i="2"/>
  <c r="M1658" i="2"/>
  <c r="M1659" i="2"/>
  <c r="M1660" i="2"/>
  <c r="M1661" i="2"/>
  <c r="M1662" i="2"/>
  <c r="M1670" i="2"/>
  <c r="M1671" i="2"/>
  <c r="M1672" i="2"/>
  <c r="M1673" i="2"/>
  <c r="M1682" i="2"/>
  <c r="M1683" i="2"/>
  <c r="M1684" i="2"/>
  <c r="M1685" i="2"/>
  <c r="M1694" i="2"/>
  <c r="M1695" i="2"/>
  <c r="M1696" i="2"/>
  <c r="M1697" i="2"/>
  <c r="M1706" i="2"/>
  <c r="M1707" i="2"/>
  <c r="M1708" i="2"/>
  <c r="M1709" i="2"/>
  <c r="M1710" i="2"/>
  <c r="M1718" i="2"/>
  <c r="M1719" i="2"/>
  <c r="M1720" i="2"/>
  <c r="M1721" i="2"/>
  <c r="M1730" i="2"/>
  <c r="M1731" i="2"/>
  <c r="M1732" i="2"/>
  <c r="M1733" i="2"/>
  <c r="M1734" i="2"/>
  <c r="M1742" i="2"/>
  <c r="M1743" i="2"/>
  <c r="M1744" i="2"/>
  <c r="M1745" i="2"/>
  <c r="M1754" i="2"/>
  <c r="M1755" i="2"/>
  <c r="M1756" i="2"/>
  <c r="M1757" i="2"/>
  <c r="M1758" i="2"/>
  <c r="M1765" i="2"/>
  <c r="M1766" i="2"/>
  <c r="M1767" i="2"/>
  <c r="M1768" i="2"/>
  <c r="M1769" i="2"/>
  <c r="M1778" i="2"/>
  <c r="M1779" i="2"/>
  <c r="M1780" i="2"/>
  <c r="M1781" i="2"/>
  <c r="M1790" i="2"/>
  <c r="M1791" i="2"/>
  <c r="M1792" i="2"/>
  <c r="M1793" i="2"/>
  <c r="M1802" i="2"/>
  <c r="M1803" i="2"/>
  <c r="M1804" i="2"/>
  <c r="M1805" i="2"/>
  <c r="M1814" i="2"/>
  <c r="M1815" i="2"/>
  <c r="M1816" i="2"/>
  <c r="M1817" i="2"/>
  <c r="M1825" i="2"/>
  <c r="M1826" i="2"/>
  <c r="M1827" i="2"/>
  <c r="M1828" i="2"/>
  <c r="M1829" i="2"/>
  <c r="M1838" i="2"/>
  <c r="M1839" i="2"/>
  <c r="M1840" i="2"/>
  <c r="M1841" i="2"/>
  <c r="M1842" i="2"/>
  <c r="M1850" i="2"/>
  <c r="M1851" i="2"/>
  <c r="M1852" i="2"/>
  <c r="M1853" i="2"/>
  <c r="M1854" i="2"/>
  <c r="M1862" i="2"/>
  <c r="M1863" i="2"/>
  <c r="M1864" i="2"/>
  <c r="M1865" i="2"/>
  <c r="M1866" i="2"/>
  <c r="M1874" i="2"/>
  <c r="M1875" i="2"/>
  <c r="M1876" i="2"/>
  <c r="M1877" i="2"/>
  <c r="M1878" i="2"/>
  <c r="M1886" i="2"/>
  <c r="M1887" i="2"/>
  <c r="M1888" i="2"/>
  <c r="M1889" i="2"/>
  <c r="M1890" i="2"/>
  <c r="M1898" i="2"/>
  <c r="M1899" i="2"/>
  <c r="M1900" i="2"/>
  <c r="M1902" i="2"/>
  <c r="M1909" i="2"/>
  <c r="M1910" i="2"/>
  <c r="M1911" i="2"/>
  <c r="M1912" i="2"/>
  <c r="M1913" i="2"/>
  <c r="M1914" i="2"/>
  <c r="M1922" i="2"/>
  <c r="M1923" i="2"/>
  <c r="M1924" i="2"/>
  <c r="M1926" i="2"/>
  <c r="M1934" i="2"/>
  <c r="M1935" i="2"/>
  <c r="M1936" i="2"/>
  <c r="M1937" i="2"/>
  <c r="M1938" i="2"/>
  <c r="M1946" i="2"/>
  <c r="M1947" i="2"/>
  <c r="M1959" i="2"/>
  <c r="M1960" i="2"/>
  <c r="M1961" i="2"/>
  <c r="M1962" i="2"/>
  <c r="M1970" i="2"/>
  <c r="M1971" i="2"/>
  <c r="M1973" i="2"/>
  <c r="M1974" i="2"/>
  <c r="L6" i="2"/>
  <c r="L7" i="2"/>
  <c r="L11" i="2"/>
  <c r="L12" i="2"/>
  <c r="L18" i="2"/>
  <c r="L19" i="2"/>
  <c r="L20" i="2"/>
  <c r="L21" i="2"/>
  <c r="L30" i="2"/>
  <c r="L31" i="2"/>
  <c r="L32" i="2"/>
  <c r="L33" i="2"/>
  <c r="L34" i="2"/>
  <c r="L37" i="2"/>
  <c r="L39" i="2"/>
  <c r="L40" i="2"/>
  <c r="L42" i="2"/>
  <c r="L46" i="2"/>
  <c r="L47" i="2"/>
  <c r="L48" i="2"/>
  <c r="L51" i="2"/>
  <c r="L52" i="2"/>
  <c r="L54" i="2"/>
  <c r="L55" i="2"/>
  <c r="L58" i="2"/>
  <c r="L59" i="2"/>
  <c r="L60" i="2"/>
  <c r="L66" i="2"/>
  <c r="L70" i="2"/>
  <c r="L71" i="2"/>
  <c r="L82" i="2"/>
  <c r="L83" i="2"/>
  <c r="L84" i="2"/>
  <c r="L94" i="2"/>
  <c r="L95" i="2"/>
  <c r="L96" i="2"/>
  <c r="L97" i="2"/>
  <c r="L107" i="2"/>
  <c r="L108" i="2"/>
  <c r="L109" i="2"/>
  <c r="L111" i="2"/>
  <c r="L112" i="2"/>
  <c r="L120" i="2"/>
  <c r="L121" i="2"/>
  <c r="L126" i="2"/>
  <c r="L130" i="2"/>
  <c r="L132" i="2"/>
  <c r="L133" i="2"/>
  <c r="L136" i="2"/>
  <c r="L142" i="2"/>
  <c r="L148" i="2"/>
  <c r="L154" i="2"/>
  <c r="L168" i="2"/>
  <c r="L178" i="2"/>
  <c r="L180" i="2"/>
  <c r="L184" i="2"/>
  <c r="L187" i="2"/>
  <c r="L188" i="2"/>
  <c r="L189" i="2"/>
  <c r="L190" i="2"/>
  <c r="L191" i="2"/>
  <c r="L195" i="2"/>
  <c r="L200" i="2"/>
  <c r="L207" i="2"/>
  <c r="L208" i="2"/>
  <c r="L211" i="2"/>
  <c r="L214" i="2"/>
  <c r="L217" i="2"/>
  <c r="L219" i="2"/>
  <c r="L220" i="2"/>
  <c r="L226" i="2"/>
  <c r="L231" i="2"/>
  <c r="L232" i="2"/>
  <c r="L233" i="2"/>
  <c r="L235" i="2"/>
  <c r="L236" i="2"/>
  <c r="L237" i="2"/>
  <c r="L238" i="2"/>
  <c r="L239" i="2"/>
  <c r="L243" i="2"/>
  <c r="L244" i="2"/>
  <c r="L245" i="2"/>
  <c r="L246" i="2"/>
  <c r="L247" i="2"/>
  <c r="L248" i="2"/>
  <c r="L250" i="2"/>
  <c r="L252" i="2"/>
  <c r="L255" i="2"/>
  <c r="L256" i="2"/>
  <c r="L257" i="2"/>
  <c r="L261" i="2"/>
  <c r="L262" i="2"/>
  <c r="L267" i="2"/>
  <c r="L268" i="2"/>
  <c r="L269" i="2"/>
  <c r="L270" i="2"/>
  <c r="L271" i="2"/>
  <c r="L272" i="2"/>
  <c r="L279" i="2"/>
  <c r="L280" i="2"/>
  <c r="L281" i="2"/>
  <c r="L286" i="2"/>
  <c r="L287" i="2"/>
  <c r="L291" i="2"/>
  <c r="L292" i="2"/>
  <c r="L293" i="2"/>
  <c r="L294" i="2"/>
  <c r="L295" i="2"/>
  <c r="L303" i="2"/>
  <c r="L304" i="2"/>
  <c r="L305" i="2"/>
  <c r="L310" i="2"/>
  <c r="L311" i="2"/>
  <c r="L315" i="2"/>
  <c r="L318" i="2"/>
  <c r="L319" i="2"/>
  <c r="L320" i="2"/>
  <c r="L327" i="2"/>
  <c r="L335" i="2"/>
  <c r="L339" i="2"/>
  <c r="L342" i="2"/>
  <c r="L346" i="2"/>
  <c r="L349" i="2"/>
  <c r="L351" i="2"/>
  <c r="L352" i="2"/>
  <c r="L359" i="2"/>
  <c r="L363" i="2"/>
  <c r="L364" i="2"/>
  <c r="L370" i="2"/>
  <c r="L371" i="2"/>
  <c r="L372" i="2"/>
  <c r="L373" i="2"/>
  <c r="L375" i="2"/>
  <c r="L376" i="2"/>
  <c r="L377" i="2"/>
  <c r="L387" i="2"/>
  <c r="L388" i="2"/>
  <c r="L389" i="2"/>
  <c r="L392" i="2"/>
  <c r="L394" i="2"/>
  <c r="L395" i="2"/>
  <c r="L396" i="2"/>
  <c r="L397" i="2"/>
  <c r="L399" i="2"/>
  <c r="L400" i="2"/>
  <c r="L401" i="2"/>
  <c r="L402" i="2"/>
  <c r="L411" i="2"/>
  <c r="L412" i="2"/>
  <c r="L413" i="2"/>
  <c r="L414" i="2"/>
  <c r="L415" i="2"/>
  <c r="L416" i="2"/>
  <c r="L418" i="2"/>
  <c r="L419" i="2"/>
  <c r="L423" i="2"/>
  <c r="L424" i="2"/>
  <c r="L425" i="2"/>
  <c r="L426" i="2"/>
  <c r="L427" i="2"/>
  <c r="L435" i="2"/>
  <c r="L436" i="2"/>
  <c r="L437" i="2"/>
  <c r="L439" i="2"/>
  <c r="L440" i="2"/>
  <c r="L443" i="2"/>
  <c r="L447" i="2"/>
  <c r="L448" i="2"/>
  <c r="L449" i="2"/>
  <c r="L452" i="2"/>
  <c r="L453" i="2"/>
  <c r="L454" i="2"/>
  <c r="L455" i="2"/>
  <c r="L459" i="2"/>
  <c r="L462" i="2"/>
  <c r="L463" i="2"/>
  <c r="L464" i="2"/>
  <c r="L471" i="2"/>
  <c r="L474" i="2"/>
  <c r="L475" i="2"/>
  <c r="L476" i="2"/>
  <c r="L483" i="2"/>
  <c r="L486" i="2"/>
  <c r="L487" i="2"/>
  <c r="L488" i="2"/>
  <c r="L490" i="2"/>
  <c r="L491" i="2"/>
  <c r="L495" i="2"/>
  <c r="L496" i="2"/>
  <c r="L502" i="2"/>
  <c r="L503" i="2"/>
  <c r="L504" i="2"/>
  <c r="L505" i="2"/>
  <c r="L508" i="2"/>
  <c r="L509" i="2"/>
  <c r="L510" i="2"/>
  <c r="L511" i="2"/>
  <c r="L514" i="2"/>
  <c r="L519" i="2"/>
  <c r="L520" i="2"/>
  <c r="L522" i="2"/>
  <c r="L523" i="2"/>
  <c r="L524" i="2"/>
  <c r="L526" i="2"/>
  <c r="L531" i="2"/>
  <c r="L532" i="2"/>
  <c r="L535" i="2"/>
  <c r="L536" i="2"/>
  <c r="L538" i="2"/>
  <c r="L543" i="2"/>
  <c r="L544" i="2"/>
  <c r="L545" i="2"/>
  <c r="L546" i="2"/>
  <c r="L547" i="2"/>
  <c r="L548" i="2"/>
  <c r="L550" i="2"/>
  <c r="L555" i="2"/>
  <c r="L556" i="2"/>
  <c r="L557" i="2"/>
  <c r="L558" i="2"/>
  <c r="L562" i="2"/>
  <c r="L567" i="2"/>
  <c r="L568" i="2"/>
  <c r="L569" i="2"/>
  <c r="L570" i="2"/>
  <c r="L571" i="2"/>
  <c r="L574" i="2"/>
  <c r="L579" i="2"/>
  <c r="L580" i="2"/>
  <c r="L583" i="2"/>
  <c r="L584" i="2"/>
  <c r="L586" i="2"/>
  <c r="L591" i="2"/>
  <c r="L592" i="2"/>
  <c r="L593" i="2"/>
  <c r="L594" i="2"/>
  <c r="L595" i="2"/>
  <c r="L596" i="2"/>
  <c r="L598" i="2"/>
  <c r="L603" i="2"/>
  <c r="L604" i="2"/>
  <c r="L605" i="2"/>
  <c r="L606" i="2"/>
  <c r="L610" i="2"/>
  <c r="L615" i="2"/>
  <c r="L616" i="2"/>
  <c r="L617" i="2"/>
  <c r="L618" i="2"/>
  <c r="L620" i="2"/>
  <c r="L621" i="2"/>
  <c r="L622" i="2"/>
  <c r="L627" i="2"/>
  <c r="L628" i="2"/>
  <c r="L629" i="2"/>
  <c r="L634" i="2"/>
  <c r="L639" i="2"/>
  <c r="L640" i="2"/>
  <c r="L643" i="2"/>
  <c r="L644" i="2"/>
  <c r="L646" i="2"/>
  <c r="L651" i="2"/>
  <c r="L652" i="2"/>
  <c r="L653" i="2"/>
  <c r="L656" i="2"/>
  <c r="L658" i="2"/>
  <c r="L663" i="2"/>
  <c r="L664" i="2"/>
  <c r="L665" i="2"/>
  <c r="L666" i="2"/>
  <c r="L667" i="2"/>
  <c r="L668" i="2"/>
  <c r="L670" i="2"/>
  <c r="L675" i="2"/>
  <c r="L676" i="2"/>
  <c r="L679" i="2"/>
  <c r="L680" i="2"/>
  <c r="L682" i="2"/>
  <c r="L687" i="2"/>
  <c r="L688" i="2"/>
  <c r="L689" i="2"/>
  <c r="L690" i="2"/>
  <c r="L691" i="2"/>
  <c r="L692" i="2"/>
  <c r="L694" i="2"/>
  <c r="L699" i="2"/>
  <c r="L700" i="2"/>
  <c r="L703" i="2"/>
  <c r="L704" i="2"/>
  <c r="L706" i="2"/>
  <c r="L711" i="2"/>
  <c r="L712" i="2"/>
  <c r="L713" i="2"/>
  <c r="L714" i="2"/>
  <c r="L718" i="2"/>
  <c r="L723" i="2"/>
  <c r="L724" i="2"/>
  <c r="L726" i="2"/>
  <c r="L727" i="2"/>
  <c r="L730" i="2"/>
  <c r="L735" i="2"/>
  <c r="L736" i="2"/>
  <c r="L739" i="2"/>
  <c r="L740" i="2"/>
  <c r="L742" i="2"/>
  <c r="L747" i="2"/>
  <c r="L748" i="2"/>
  <c r="L749" i="2"/>
  <c r="L750" i="2"/>
  <c r="L751" i="2"/>
  <c r="L754" i="2"/>
  <c r="L759" i="2"/>
  <c r="L760" i="2"/>
  <c r="L763" i="2"/>
  <c r="L764" i="2"/>
  <c r="L766" i="2"/>
  <c r="L771" i="2"/>
  <c r="L772" i="2"/>
  <c r="L773" i="2"/>
  <c r="L774" i="2"/>
  <c r="L775" i="2"/>
  <c r="L778" i="2"/>
  <c r="L783" i="2"/>
  <c r="L784" i="2"/>
  <c r="L785" i="2"/>
  <c r="L786" i="2"/>
  <c r="L788" i="2"/>
  <c r="L790" i="2"/>
  <c r="L795" i="2"/>
  <c r="L796" i="2"/>
  <c r="L797" i="2"/>
  <c r="L798" i="2"/>
  <c r="L802" i="2"/>
  <c r="L803" i="2"/>
  <c r="L804" i="2"/>
  <c r="L807" i="2"/>
  <c r="L808" i="2"/>
  <c r="L809" i="2"/>
  <c r="L810" i="2"/>
  <c r="L811" i="2"/>
  <c r="L812" i="2"/>
  <c r="L814" i="2"/>
  <c r="L819" i="2"/>
  <c r="L820" i="2"/>
  <c r="L826" i="2"/>
  <c r="L831" i="2"/>
  <c r="L832" i="2"/>
  <c r="L833" i="2"/>
  <c r="L834" i="2"/>
  <c r="L835" i="2"/>
  <c r="L838" i="2"/>
  <c r="L843" i="2"/>
  <c r="L844" i="2"/>
  <c r="L850" i="2"/>
  <c r="L855" i="2"/>
  <c r="L856" i="2"/>
  <c r="L857" i="2"/>
  <c r="L858" i="2"/>
  <c r="L859" i="2"/>
  <c r="L860" i="2"/>
  <c r="L862" i="2"/>
  <c r="L867" i="2"/>
  <c r="L868" i="2"/>
  <c r="L869" i="2"/>
  <c r="L870" i="2"/>
  <c r="L871" i="2"/>
  <c r="L872" i="2"/>
  <c r="L874" i="2"/>
  <c r="L879" i="2"/>
  <c r="L880" i="2"/>
  <c r="L882" i="2"/>
  <c r="L883" i="2"/>
  <c r="L884" i="2"/>
  <c r="L886" i="2"/>
  <c r="L891" i="2"/>
  <c r="L892" i="2"/>
  <c r="L893" i="2"/>
  <c r="L898" i="2"/>
  <c r="L903" i="2"/>
  <c r="L904" i="2"/>
  <c r="L905" i="2"/>
  <c r="L906" i="2"/>
  <c r="L907" i="2"/>
  <c r="L910" i="2"/>
  <c r="L915" i="2"/>
  <c r="L916" i="2"/>
  <c r="L922" i="2"/>
  <c r="L928" i="2"/>
  <c r="L930" i="2"/>
  <c r="L934" i="2"/>
  <c r="L935" i="2"/>
  <c r="L939" i="2"/>
  <c r="L940" i="2"/>
  <c r="L941" i="2"/>
  <c r="L942" i="2"/>
  <c r="L943" i="2"/>
  <c r="L944" i="2"/>
  <c r="L946" i="2"/>
  <c r="L951" i="2"/>
  <c r="L952" i="2"/>
  <c r="L956" i="2"/>
  <c r="L963" i="2"/>
  <c r="L964" i="2"/>
  <c r="L965" i="2"/>
  <c r="L966" i="2"/>
  <c r="L970" i="2"/>
  <c r="L975" i="2"/>
  <c r="L976" i="2"/>
  <c r="L987" i="2"/>
  <c r="L988" i="2"/>
  <c r="L989" i="2"/>
  <c r="L990" i="2"/>
  <c r="L991" i="2"/>
  <c r="L992" i="2"/>
  <c r="L993" i="2"/>
  <c r="L994" i="2"/>
  <c r="L999" i="2"/>
  <c r="L1000" i="2"/>
  <c r="L1001" i="2"/>
  <c r="L1004" i="2"/>
  <c r="L1005" i="2"/>
  <c r="L1007" i="2"/>
  <c r="L1011" i="2"/>
  <c r="L1012" i="2"/>
  <c r="L1015" i="2"/>
  <c r="L1016" i="2"/>
  <c r="L1018" i="2"/>
  <c r="L1023" i="2"/>
  <c r="L1024" i="2"/>
  <c r="L1035" i="2"/>
  <c r="L1036" i="2"/>
  <c r="L1037" i="2"/>
  <c r="L1038" i="2"/>
  <c r="L1039" i="2"/>
  <c r="L1040" i="2"/>
  <c r="L1042" i="2"/>
  <c r="L1047" i="2"/>
  <c r="L1048" i="2"/>
  <c r="L1059" i="2"/>
  <c r="L1060" i="2"/>
  <c r="L1061" i="2"/>
  <c r="L1062" i="2"/>
  <c r="L1063" i="2"/>
  <c r="L1064" i="2"/>
  <c r="L1066" i="2"/>
  <c r="L1071" i="2"/>
  <c r="L1072" i="2"/>
  <c r="L1083" i="2"/>
  <c r="L1084" i="2"/>
  <c r="L1085" i="2"/>
  <c r="L1086" i="2"/>
  <c r="L1087" i="2"/>
  <c r="L1088" i="2"/>
  <c r="L1090" i="2"/>
  <c r="L1095" i="2"/>
  <c r="L1096" i="2"/>
  <c r="L1097" i="2"/>
  <c r="L1098" i="2"/>
  <c r="L1099" i="2"/>
  <c r="L1100" i="2"/>
  <c r="L1107" i="2"/>
  <c r="L1108" i="2"/>
  <c r="L1111" i="2"/>
  <c r="L1112" i="2"/>
  <c r="L1114" i="2"/>
  <c r="L1119" i="2"/>
  <c r="L1121" i="2"/>
  <c r="L1126" i="2"/>
  <c r="L1131" i="2"/>
  <c r="L1132" i="2"/>
  <c r="L1135" i="2"/>
  <c r="L1136" i="2"/>
  <c r="L1143" i="2"/>
  <c r="L1146" i="2"/>
  <c r="L1148" i="2"/>
  <c r="L1149" i="2"/>
  <c r="L1150" i="2"/>
  <c r="L1155" i="2"/>
  <c r="L1156" i="2"/>
  <c r="L1157" i="2"/>
  <c r="L1158" i="2"/>
  <c r="L1167" i="2"/>
  <c r="L1168" i="2"/>
  <c r="L1171" i="2"/>
  <c r="L1172" i="2"/>
  <c r="L1174" i="2"/>
  <c r="L1179" i="2"/>
  <c r="L1180" i="2"/>
  <c r="L1184" i="2"/>
  <c r="L1191" i="2"/>
  <c r="L1192" i="2"/>
  <c r="L1193" i="2"/>
  <c r="L1194" i="2"/>
  <c r="L1195" i="2"/>
  <c r="L1196" i="2"/>
  <c r="L1197" i="2"/>
  <c r="L1198" i="2"/>
  <c r="L1203" i="2"/>
  <c r="L1208" i="2"/>
  <c r="L1210" i="2"/>
  <c r="L1215" i="2"/>
  <c r="L1216" i="2"/>
  <c r="L1217" i="2"/>
  <c r="L1218" i="2"/>
  <c r="L1219" i="2"/>
  <c r="L1231" i="2"/>
  <c r="L1232" i="2"/>
  <c r="L1233" i="2"/>
  <c r="L1234" i="2"/>
  <c r="L1239" i="2"/>
  <c r="L1240" i="2"/>
  <c r="L1241" i="2"/>
  <c r="L1246" i="2"/>
  <c r="L1251" i="2"/>
  <c r="L1252" i="2"/>
  <c r="L1253" i="2"/>
  <c r="L1254" i="2"/>
  <c r="L1255" i="2"/>
  <c r="L1256" i="2"/>
  <c r="L1264" i="2"/>
  <c r="L1267" i="2"/>
  <c r="L1268" i="2"/>
  <c r="L1270" i="2"/>
  <c r="L1275" i="2"/>
  <c r="L1276" i="2"/>
  <c r="L1277" i="2"/>
  <c r="L1278" i="2"/>
  <c r="L1282" i="2"/>
  <c r="L1287" i="2"/>
  <c r="L1288" i="2"/>
  <c r="L1289" i="2"/>
  <c r="L1290" i="2"/>
  <c r="L1291" i="2"/>
  <c r="L1293" i="2"/>
  <c r="L1299" i="2"/>
  <c r="L1300" i="2"/>
  <c r="L1303" i="2"/>
  <c r="L1311" i="2"/>
  <c r="L1312" i="2"/>
  <c r="L1313" i="2"/>
  <c r="L1314" i="2"/>
  <c r="L1315" i="2"/>
  <c r="L1316" i="2"/>
  <c r="L1318" i="2"/>
  <c r="L1323" i="2"/>
  <c r="L1325" i="2"/>
  <c r="L1328" i="2"/>
  <c r="L1330" i="2"/>
  <c r="L1335" i="2"/>
  <c r="L1336" i="2"/>
  <c r="L1337" i="2"/>
  <c r="L1338" i="2"/>
  <c r="L1339" i="2"/>
  <c r="L1340" i="2"/>
  <c r="L1347" i="2"/>
  <c r="L1348" i="2"/>
  <c r="L1349" i="2"/>
  <c r="L1351" i="2"/>
  <c r="L1352" i="2"/>
  <c r="L1354" i="2"/>
  <c r="L1359" i="2"/>
  <c r="L1363" i="2"/>
  <c r="L1364" i="2"/>
  <c r="L1366" i="2"/>
  <c r="L1372" i="2"/>
  <c r="L1374" i="2"/>
  <c r="L1375" i="2"/>
  <c r="L1378" i="2"/>
  <c r="L1383" i="2"/>
  <c r="L1384" i="2"/>
  <c r="L1385" i="2"/>
  <c r="L1386" i="2"/>
  <c r="L1387" i="2"/>
  <c r="L1388" i="2"/>
  <c r="L1390" i="2"/>
  <c r="L1395" i="2"/>
  <c r="L1396" i="2"/>
  <c r="L1399" i="2"/>
  <c r="L1402" i="2"/>
  <c r="L1406" i="2"/>
  <c r="L1407" i="2"/>
  <c r="L1408" i="2"/>
  <c r="L1413" i="2"/>
  <c r="L1414" i="2"/>
  <c r="L1418" i="2"/>
  <c r="L1419" i="2"/>
  <c r="L1420" i="2"/>
  <c r="L1421" i="2"/>
  <c r="L1426" i="2"/>
  <c r="L1430" i="2"/>
  <c r="L1431" i="2"/>
  <c r="L1432" i="2"/>
  <c r="L1433" i="2"/>
  <c r="L1437" i="2"/>
  <c r="L1438" i="2"/>
  <c r="L1442" i="2"/>
  <c r="L1443" i="2"/>
  <c r="L1444" i="2"/>
  <c r="L1445" i="2"/>
  <c r="L1449" i="2"/>
  <c r="L1450" i="2"/>
  <c r="L1454" i="2"/>
  <c r="L1455" i="2"/>
  <c r="L1456" i="2"/>
  <c r="L1462" i="2"/>
  <c r="L1466" i="2"/>
  <c r="L1467" i="2"/>
  <c r="L1469" i="2"/>
  <c r="L1473" i="2"/>
  <c r="L1474" i="2"/>
  <c r="L1478" i="2"/>
  <c r="L1479" i="2"/>
  <c r="L1480" i="2"/>
  <c r="L1481" i="2"/>
  <c r="L1485" i="2"/>
  <c r="L1486" i="2"/>
  <c r="L1488" i="2"/>
  <c r="L1489" i="2"/>
  <c r="L1490" i="2"/>
  <c r="L1491" i="2"/>
  <c r="L1492" i="2"/>
  <c r="L1498" i="2"/>
  <c r="L1502" i="2"/>
  <c r="L1503" i="2"/>
  <c r="L1504" i="2"/>
  <c r="L1505" i="2"/>
  <c r="L1510" i="2"/>
  <c r="L1512" i="2"/>
  <c r="L1513" i="2"/>
  <c r="L1514" i="2"/>
  <c r="L1515" i="2"/>
  <c r="L1516" i="2"/>
  <c r="L1517" i="2"/>
  <c r="L1522" i="2"/>
  <c r="L1526" i="2"/>
  <c r="L1529" i="2"/>
  <c r="L1534" i="2"/>
  <c r="L1536" i="2"/>
  <c r="L1538" i="2"/>
  <c r="L1539" i="2"/>
  <c r="L1540" i="2"/>
  <c r="L1541" i="2"/>
  <c r="L1546" i="2"/>
  <c r="L1550" i="2"/>
  <c r="L1551" i="2"/>
  <c r="L1552" i="2"/>
  <c r="L1558" i="2"/>
  <c r="L1560" i="2"/>
  <c r="L1561" i="2"/>
  <c r="L1562" i="2"/>
  <c r="L1563" i="2"/>
  <c r="L1564" i="2"/>
  <c r="L1565" i="2"/>
  <c r="L1569" i="2"/>
  <c r="L1570" i="2"/>
  <c r="L1574" i="2"/>
  <c r="L1575" i="2"/>
  <c r="L1576" i="2"/>
  <c r="L1577" i="2"/>
  <c r="L1582" i="2"/>
  <c r="L1586" i="2"/>
  <c r="L1587" i="2"/>
  <c r="L1588" i="2"/>
  <c r="L1589" i="2"/>
  <c r="L1594" i="2"/>
  <c r="L1598" i="2"/>
  <c r="L1599" i="2"/>
  <c r="L1600" i="2"/>
  <c r="L1606" i="2"/>
  <c r="L1610" i="2"/>
  <c r="L1611" i="2"/>
  <c r="L1612" i="2"/>
  <c r="L1613" i="2"/>
  <c r="L1617" i="2"/>
  <c r="L1618" i="2"/>
  <c r="L1622" i="2"/>
  <c r="L1623" i="2"/>
  <c r="L1624" i="2"/>
  <c r="L1625" i="2"/>
  <c r="L1630" i="2"/>
  <c r="L1634" i="2"/>
  <c r="L1635" i="2"/>
  <c r="L1642" i="2"/>
  <c r="L1646" i="2"/>
  <c r="L1647" i="2"/>
  <c r="L1648" i="2"/>
  <c r="L1649" i="2"/>
  <c r="L1650" i="2"/>
  <c r="L1651" i="2"/>
  <c r="L1652" i="2"/>
  <c r="L1654" i="2"/>
  <c r="L1658" i="2"/>
  <c r="L1659" i="2"/>
  <c r="L1660" i="2"/>
  <c r="L1661" i="2"/>
  <c r="L1662" i="2"/>
  <c r="L1663" i="2"/>
  <c r="L1664" i="2"/>
  <c r="L1666" i="2"/>
  <c r="L1670" i="2"/>
  <c r="L1671" i="2"/>
  <c r="L1672" i="2"/>
  <c r="L1673" i="2"/>
  <c r="L1674" i="2"/>
  <c r="L1678" i="2"/>
  <c r="L1680" i="2"/>
  <c r="L1681" i="2"/>
  <c r="L1682" i="2"/>
  <c r="L1683" i="2"/>
  <c r="L1684" i="2"/>
  <c r="L1685" i="2"/>
  <c r="L1686" i="2"/>
  <c r="L1687" i="2"/>
  <c r="L1690" i="2"/>
  <c r="L1694" i="2"/>
  <c r="L1695" i="2"/>
  <c r="L1696" i="2"/>
  <c r="L1697" i="2"/>
  <c r="L1699" i="2"/>
  <c r="L1704" i="2"/>
  <c r="L1706" i="2"/>
  <c r="L1707" i="2"/>
  <c r="L1708" i="2"/>
  <c r="L1709" i="2"/>
  <c r="L1710" i="2"/>
  <c r="L1711" i="2"/>
  <c r="L1712" i="2"/>
  <c r="L1714" i="2"/>
  <c r="L1716" i="2"/>
  <c r="L1717" i="2"/>
  <c r="L1718" i="2"/>
  <c r="L1719" i="2"/>
  <c r="L1720" i="2"/>
  <c r="L1721" i="2"/>
  <c r="L1722" i="2"/>
  <c r="L1723" i="2"/>
  <c r="L1724" i="2"/>
  <c r="L1726" i="2"/>
  <c r="L1730" i="2"/>
  <c r="L1731" i="2"/>
  <c r="L1732" i="2"/>
  <c r="L1733" i="2"/>
  <c r="L1734" i="2"/>
  <c r="L1738" i="2"/>
  <c r="L1742" i="2"/>
  <c r="L1743" i="2"/>
  <c r="L1744" i="2"/>
  <c r="L1745" i="2"/>
  <c r="L1746" i="2"/>
  <c r="L1747" i="2"/>
  <c r="L1748" i="2"/>
  <c r="L1750" i="2"/>
  <c r="L1754" i="2"/>
  <c r="L1755" i="2"/>
  <c r="L1756" i="2"/>
  <c r="L1757" i="2"/>
  <c r="L1758" i="2"/>
  <c r="L1759" i="2"/>
  <c r="L1760" i="2"/>
  <c r="L1766" i="2"/>
  <c r="L1767" i="2"/>
  <c r="L1768" i="2"/>
  <c r="L1769" i="2"/>
  <c r="L1770" i="2"/>
  <c r="L1771" i="2"/>
  <c r="L1772" i="2"/>
  <c r="L1774" i="2"/>
  <c r="L1778" i="2"/>
  <c r="L1779" i="2"/>
  <c r="L1780" i="2"/>
  <c r="L1781" i="2"/>
  <c r="L1782" i="2"/>
  <c r="L1783" i="2"/>
  <c r="L1784" i="2"/>
  <c r="L1786" i="2"/>
  <c r="L1790" i="2"/>
  <c r="L1791" i="2"/>
  <c r="L1792" i="2"/>
  <c r="L1793" i="2"/>
  <c r="L1794" i="2"/>
  <c r="L1798" i="2"/>
  <c r="L1800" i="2"/>
  <c r="L1802" i="2"/>
  <c r="L1803" i="2"/>
  <c r="L1804" i="2"/>
  <c r="L1805" i="2"/>
  <c r="L1806" i="2"/>
  <c r="L1807" i="2"/>
  <c r="L1814" i="2"/>
  <c r="L1815" i="2"/>
  <c r="L1816" i="2"/>
  <c r="L1817" i="2"/>
  <c r="L1818" i="2"/>
  <c r="L1819" i="2"/>
  <c r="L1820" i="2"/>
  <c r="L1822" i="2"/>
  <c r="L1826" i="2"/>
  <c r="L1827" i="2"/>
  <c r="L1828" i="2"/>
  <c r="L1829" i="2"/>
  <c r="L1830" i="2"/>
  <c r="L1831" i="2"/>
  <c r="L1832" i="2"/>
  <c r="L1834" i="2"/>
  <c r="L1838" i="2"/>
  <c r="L1839" i="2"/>
  <c r="L1840" i="2"/>
  <c r="L1841" i="2"/>
  <c r="L1842" i="2"/>
  <c r="L1843" i="2"/>
  <c r="L1844" i="2"/>
  <c r="L1846" i="2"/>
  <c r="L1848" i="2"/>
  <c r="L1849" i="2"/>
  <c r="L1850" i="2"/>
  <c r="L1851" i="2"/>
  <c r="L1852" i="2"/>
  <c r="L1853" i="2"/>
  <c r="L1854" i="2"/>
  <c r="L1855" i="2"/>
  <c r="L1856" i="2"/>
  <c r="L1858" i="2"/>
  <c r="L1862" i="2"/>
  <c r="L1863" i="2"/>
  <c r="L1864" i="2"/>
  <c r="L1865" i="2"/>
  <c r="L1866" i="2"/>
  <c r="L1874" i="2"/>
  <c r="L1875" i="2"/>
  <c r="L1876" i="2"/>
  <c r="L1877" i="2"/>
  <c r="L1878" i="2"/>
  <c r="L1879" i="2"/>
  <c r="L1880" i="2"/>
  <c r="L1882" i="2"/>
  <c r="L1884" i="2"/>
  <c r="L1886" i="2"/>
  <c r="L1887" i="2"/>
  <c r="L1888" i="2"/>
  <c r="L1889" i="2"/>
  <c r="L1890" i="2"/>
  <c r="L1891" i="2"/>
  <c r="L1892" i="2"/>
  <c r="L1894" i="2"/>
  <c r="L1898" i="2"/>
  <c r="L1899" i="2"/>
  <c r="L1900" i="2"/>
  <c r="L1901" i="2"/>
  <c r="L1902" i="2"/>
  <c r="L1903" i="2"/>
  <c r="L1904" i="2"/>
  <c r="L1906" i="2"/>
  <c r="L1910" i="2"/>
  <c r="L1911" i="2"/>
  <c r="L1912" i="2"/>
  <c r="L1913" i="2"/>
  <c r="L1914" i="2"/>
  <c r="L1915" i="2"/>
  <c r="L1916" i="2"/>
  <c r="L1918" i="2"/>
  <c r="L1922" i="2"/>
  <c r="L1923" i="2"/>
  <c r="L1924" i="2"/>
  <c r="L1925" i="2"/>
  <c r="L1926" i="2"/>
  <c r="L1934" i="2"/>
  <c r="L1935" i="2"/>
  <c r="L1936" i="2"/>
  <c r="L1937" i="2"/>
  <c r="L1938" i="2"/>
  <c r="L1939" i="2"/>
  <c r="L1940" i="2"/>
  <c r="L1942" i="2"/>
  <c r="L1946" i="2"/>
  <c r="L1947" i="2"/>
  <c r="L1948" i="2"/>
  <c r="L1949" i="2"/>
  <c r="L1950" i="2"/>
  <c r="L1951" i="2"/>
  <c r="L1952" i="2"/>
  <c r="L1954" i="2"/>
  <c r="L1958" i="2"/>
  <c r="L1959" i="2"/>
  <c r="L1960" i="2"/>
  <c r="L1961" i="2"/>
  <c r="L1962" i="2"/>
  <c r="L1963" i="2"/>
  <c r="L1964" i="2"/>
  <c r="L1966" i="2"/>
  <c r="L1970" i="2"/>
  <c r="L1971" i="2"/>
  <c r="L1972" i="2"/>
  <c r="L1973" i="2"/>
  <c r="L1974" i="2"/>
  <c r="L1975" i="2"/>
  <c r="L1976" i="2"/>
  <c r="L1978" i="2"/>
  <c r="L80" i="2" l="1"/>
  <c r="M80" i="2"/>
  <c r="L431" i="2"/>
  <c r="M431" i="2"/>
  <c r="M215" i="2"/>
  <c r="L215" i="2"/>
  <c r="M29" i="2"/>
  <c r="L29" i="2"/>
  <c r="L17" i="2"/>
  <c r="M17" i="2"/>
  <c r="L5" i="2"/>
  <c r="M5" i="2"/>
  <c r="M45" i="2"/>
  <c r="L45" i="2"/>
  <c r="L1945" i="2"/>
  <c r="M1945" i="2"/>
  <c r="M1885" i="2"/>
  <c r="L1885" i="2"/>
  <c r="M1753" i="2"/>
  <c r="L1753" i="2"/>
  <c r="M1537" i="2"/>
  <c r="L1537" i="2"/>
  <c r="M1441" i="2"/>
  <c r="L1441" i="2"/>
  <c r="M481" i="2"/>
  <c r="L481" i="2"/>
  <c r="M409" i="2"/>
  <c r="L409" i="2"/>
  <c r="M325" i="2"/>
  <c r="L325" i="2"/>
  <c r="L229" i="2"/>
  <c r="M229" i="2"/>
  <c r="M193" i="2"/>
  <c r="L193" i="2"/>
  <c r="L10" i="2"/>
  <c r="M10" i="2"/>
  <c r="M932" i="2"/>
  <c r="L932" i="2"/>
  <c r="L1897" i="2"/>
  <c r="L1861" i="2"/>
  <c r="L1465" i="2"/>
  <c r="L105" i="2"/>
  <c r="L69" i="2"/>
  <c r="M1429" i="2"/>
  <c r="M176" i="2"/>
  <c r="L176" i="2"/>
  <c r="M1812" i="2"/>
  <c r="L1812" i="2"/>
  <c r="M1752" i="2"/>
  <c r="L1752" i="2"/>
  <c r="M1692" i="2"/>
  <c r="L1692" i="2"/>
  <c r="M1584" i="2"/>
  <c r="L1584" i="2"/>
  <c r="L1476" i="2"/>
  <c r="M1476" i="2"/>
  <c r="M1440" i="2"/>
  <c r="L1440" i="2"/>
  <c r="M1404" i="2"/>
  <c r="L1404" i="2"/>
  <c r="M1212" i="2"/>
  <c r="L1212" i="2"/>
  <c r="M480" i="2"/>
  <c r="L480" i="2"/>
  <c r="M408" i="2"/>
  <c r="L408" i="2"/>
  <c r="M324" i="2"/>
  <c r="L324" i="2"/>
  <c r="L300" i="2"/>
  <c r="M300" i="2"/>
  <c r="M276" i="2"/>
  <c r="L276" i="2"/>
  <c r="M216" i="2"/>
  <c r="L216" i="2"/>
  <c r="M192" i="2"/>
  <c r="L192" i="2"/>
  <c r="L467" i="2"/>
  <c r="M467" i="2"/>
  <c r="L1896" i="2"/>
  <c r="L1464" i="2"/>
  <c r="L68" i="2"/>
  <c r="M1789" i="2"/>
  <c r="M1428" i="2"/>
  <c r="M259" i="2"/>
  <c r="L259" i="2"/>
  <c r="M1049" i="2"/>
  <c r="L1049" i="2"/>
  <c r="L725" i="2"/>
  <c r="L337" i="2"/>
  <c r="L289" i="2"/>
  <c r="M203" i="2"/>
  <c r="L198" i="2"/>
  <c r="M198" i="2"/>
  <c r="L1645" i="2"/>
  <c r="L1573" i="2"/>
  <c r="L1220" i="2"/>
  <c r="L336" i="2"/>
  <c r="M1597" i="2"/>
  <c r="M360" i="2"/>
  <c r="M264" i="2"/>
  <c r="L1921" i="2"/>
  <c r="L1776" i="2"/>
  <c r="L1644" i="2"/>
  <c r="L1596" i="2"/>
  <c r="M1957" i="2"/>
  <c r="M1160" i="2"/>
  <c r="M848" i="2"/>
  <c r="L848" i="2"/>
  <c r="L308" i="2"/>
  <c r="M308" i="2"/>
  <c r="M260" i="2"/>
  <c r="L260" i="2"/>
  <c r="M1207" i="2"/>
  <c r="L1207" i="2"/>
  <c r="L1920" i="2"/>
  <c r="L1657" i="2"/>
  <c r="L1524" i="2"/>
  <c r="L493" i="2"/>
  <c r="L1969" i="2"/>
  <c r="L1248" i="2"/>
  <c r="L492" i="2"/>
  <c r="L204" i="2"/>
  <c r="L57" i="2"/>
  <c r="L1968" i="2"/>
  <c r="L240" i="2"/>
  <c r="L298" i="2"/>
  <c r="M298" i="2"/>
  <c r="M737" i="2"/>
  <c r="L737" i="2"/>
  <c r="M1457" i="2"/>
  <c r="L1457" i="2"/>
  <c r="L1729" i="2"/>
  <c r="L678" i="2"/>
  <c r="L433" i="2"/>
  <c r="L104" i="2"/>
  <c r="M466" i="2"/>
  <c r="L466" i="2"/>
  <c r="L1944" i="2"/>
  <c r="L1764" i="2"/>
  <c r="L1728" i="2"/>
  <c r="L312" i="2"/>
  <c r="M1873" i="2"/>
  <c r="M265" i="2"/>
  <c r="M896" i="2"/>
  <c r="L896" i="2"/>
  <c r="L1908" i="2"/>
  <c r="L1621" i="2"/>
  <c r="L1417" i="2"/>
  <c r="L1102" i="2"/>
  <c r="L288" i="2"/>
  <c r="L16" i="2"/>
  <c r="M420" i="2"/>
  <c r="L1620" i="2"/>
  <c r="L1572" i="2"/>
  <c r="L1416" i="2"/>
  <c r="L931" i="2"/>
  <c r="L228" i="2"/>
  <c r="M1500" i="2"/>
  <c r="M81" i="2"/>
  <c r="M1124" i="2"/>
  <c r="L1124" i="2"/>
  <c r="L334" i="2"/>
  <c r="L1824" i="2"/>
  <c r="L1788" i="2"/>
  <c r="L1741" i="2"/>
  <c r="L1656" i="2"/>
  <c r="L1548" i="2"/>
  <c r="L468" i="2"/>
  <c r="L224" i="2"/>
  <c r="L90" i="2"/>
  <c r="L1452" i="2"/>
  <c r="L1294" i="2"/>
  <c r="L223" i="2"/>
  <c r="L1668" i="2"/>
  <c r="L1633" i="2"/>
  <c r="L837" i="2"/>
  <c r="L322" i="2"/>
  <c r="L301" i="2"/>
  <c r="L222" i="2"/>
  <c r="L202" i="2"/>
  <c r="M1801" i="2"/>
  <c r="M846" i="2"/>
  <c r="M306" i="2"/>
  <c r="M1324" i="2"/>
  <c r="L1324" i="2"/>
  <c r="L1144" i="2"/>
  <c r="M1144" i="2"/>
  <c r="M442" i="2"/>
  <c r="L442" i="2"/>
  <c r="M391" i="2"/>
  <c r="L391" i="2"/>
  <c r="L347" i="2"/>
  <c r="M347" i="2"/>
  <c r="L296" i="2"/>
  <c r="M296" i="2"/>
  <c r="M106" i="2"/>
  <c r="L106" i="2"/>
  <c r="M1054" i="2"/>
  <c r="L1054" i="2"/>
  <c r="M953" i="2"/>
  <c r="L953" i="2"/>
  <c r="M153" i="2"/>
  <c r="L153" i="2"/>
  <c r="M129" i="2"/>
  <c r="L129" i="2"/>
  <c r="M1813" i="2"/>
  <c r="L1813" i="2"/>
  <c r="L1693" i="2"/>
  <c r="M1693" i="2"/>
  <c r="M1609" i="2"/>
  <c r="L1609" i="2"/>
  <c r="M1585" i="2"/>
  <c r="L1585" i="2"/>
  <c r="M1405" i="2"/>
  <c r="L1405" i="2"/>
  <c r="M1933" i="2"/>
  <c r="M28" i="2"/>
  <c r="L28" i="2"/>
  <c r="M56" i="2"/>
  <c r="L56" i="2"/>
  <c r="M1932" i="2"/>
  <c r="L1932" i="2"/>
  <c r="M1740" i="2"/>
  <c r="L1740" i="2"/>
  <c r="M1608" i="2"/>
  <c r="L1608" i="2"/>
  <c r="M444" i="2"/>
  <c r="L444" i="2"/>
  <c r="L348" i="2"/>
  <c r="M348" i="2"/>
  <c r="L1860" i="2"/>
  <c r="L313" i="2"/>
  <c r="M479" i="2"/>
  <c r="L479" i="2"/>
  <c r="M428" i="2"/>
  <c r="L428" i="2"/>
  <c r="L199" i="2"/>
  <c r="M199" i="2"/>
  <c r="M1227" i="2"/>
  <c r="L1227" i="2"/>
  <c r="L432" i="2"/>
  <c r="M421" i="2"/>
  <c r="L1306" i="2"/>
  <c r="M1306" i="2"/>
  <c r="M478" i="2"/>
  <c r="L478" i="2"/>
  <c r="M1026" i="2"/>
  <c r="L1026" i="2"/>
  <c r="L1777" i="2"/>
  <c r="M1501" i="2"/>
  <c r="M44" i="2"/>
  <c r="M309" i="2"/>
  <c r="L309" i="2"/>
  <c r="M1025" i="2"/>
  <c r="L1025" i="2"/>
  <c r="M607" i="2"/>
  <c r="L607" i="2"/>
  <c r="L1161" i="2"/>
  <c r="M64" i="2"/>
  <c r="L64" i="2"/>
  <c r="M1076" i="2"/>
  <c r="L1076" i="2"/>
  <c r="M608" i="2"/>
  <c r="L608" i="2"/>
  <c r="L1956" i="2"/>
  <c r="L1549" i="2"/>
  <c r="L469" i="2"/>
  <c r="L361" i="2"/>
  <c r="L205" i="2"/>
  <c r="M457" i="2"/>
  <c r="L1327" i="2"/>
  <c r="M1327" i="2"/>
  <c r="L1075" i="2"/>
  <c r="M1075" i="2"/>
  <c r="M1206" i="2"/>
  <c r="L1206" i="2"/>
  <c r="M1123" i="2"/>
  <c r="L1123" i="2"/>
  <c r="L1453" i="2"/>
  <c r="L445" i="2"/>
  <c r="L385" i="2"/>
  <c r="L241" i="2"/>
  <c r="M1477" i="2"/>
  <c r="M1228" i="2"/>
  <c r="M456" i="2"/>
  <c r="M1326" i="2"/>
  <c r="L1326" i="2"/>
  <c r="L1074" i="2"/>
  <c r="M1074" i="2"/>
  <c r="M498" i="2"/>
  <c r="L498" i="2"/>
  <c r="M1122" i="2"/>
  <c r="L1122" i="2"/>
  <c r="L1669" i="2"/>
  <c r="L1006" i="2"/>
  <c r="L384" i="2"/>
  <c r="L323" i="2"/>
  <c r="M1052" i="2"/>
  <c r="M847" i="2"/>
  <c r="M251" i="2"/>
  <c r="M177" i="2"/>
  <c r="L1837" i="2"/>
  <c r="L1981" i="2"/>
  <c r="L1836" i="2"/>
  <c r="L1705" i="2"/>
  <c r="L1632" i="2"/>
  <c r="L1468" i="2"/>
  <c r="L1292" i="2"/>
  <c r="L277" i="2"/>
  <c r="L253" i="2"/>
  <c r="L152" i="2"/>
  <c r="M1050" i="2"/>
  <c r="M284" i="2"/>
  <c r="M166" i="2"/>
  <c r="M22" i="2"/>
  <c r="M390" i="2"/>
  <c r="L390" i="2"/>
  <c r="M24" i="2"/>
  <c r="L24" i="2"/>
  <c r="M1073" i="2"/>
  <c r="L1073" i="2"/>
  <c r="M1377" i="2"/>
  <c r="L1377" i="2"/>
  <c r="L1209" i="2"/>
  <c r="M1209" i="2"/>
  <c r="M693" i="2"/>
  <c r="L693" i="2"/>
  <c r="L417" i="2"/>
  <c r="M417" i="2"/>
  <c r="L1545" i="2"/>
  <c r="M1545" i="2"/>
  <c r="L321" i="2"/>
  <c r="M321" i="2"/>
  <c r="L1676" i="2"/>
  <c r="L894" i="2"/>
  <c r="L124" i="2"/>
  <c r="M776" i="2"/>
  <c r="M53" i="2"/>
  <c r="L1027" i="2"/>
  <c r="M1027" i="2"/>
  <c r="M1003" i="2"/>
  <c r="L1003" i="2"/>
  <c r="L619" i="2"/>
  <c r="M619" i="2"/>
  <c r="M451" i="2"/>
  <c r="L451" i="2"/>
  <c r="M1263" i="2"/>
  <c r="L1263" i="2"/>
  <c r="M982" i="2"/>
  <c r="L982" i="2"/>
  <c r="L968" i="2"/>
  <c r="L800" i="2"/>
  <c r="L343" i="2"/>
  <c r="L297" i="2"/>
  <c r="L123" i="2"/>
  <c r="L1698" i="2"/>
  <c r="M1698" i="2"/>
  <c r="L1362" i="2"/>
  <c r="M1362" i="2"/>
  <c r="M1350" i="2"/>
  <c r="L1350" i="2"/>
  <c r="L1134" i="2"/>
  <c r="M1134" i="2"/>
  <c r="M654" i="2"/>
  <c r="L654" i="2"/>
  <c r="M438" i="2"/>
  <c r="L438" i="2"/>
  <c r="L149" i="2"/>
  <c r="M149" i="2"/>
  <c r="L65" i="2"/>
  <c r="M65" i="2"/>
  <c r="M41" i="2"/>
  <c r="L41" i="2"/>
  <c r="L1365" i="2"/>
  <c r="M1365" i="2"/>
  <c r="M213" i="2"/>
  <c r="L213" i="2"/>
  <c r="M677" i="2"/>
  <c r="L677" i="2"/>
  <c r="L1521" i="2"/>
  <c r="L1182" i="2"/>
  <c r="L921" i="2"/>
  <c r="L125" i="2"/>
  <c r="M249" i="2"/>
  <c r="L1028" i="2"/>
  <c r="M1028" i="2"/>
  <c r="M716" i="2"/>
  <c r="L716" i="2"/>
  <c r="M368" i="2"/>
  <c r="L368" i="2"/>
  <c r="M274" i="2"/>
  <c r="L274" i="2"/>
  <c r="M1120" i="2"/>
  <c r="L1120" i="2"/>
  <c r="L1796" i="2"/>
  <c r="L1181" i="2"/>
  <c r="L920" i="2"/>
  <c r="L344" i="2"/>
  <c r="M655" i="2"/>
  <c r="L655" i="2"/>
  <c r="L1870" i="2"/>
  <c r="L1795" i="2"/>
  <c r="L1736" i="2"/>
  <c r="L1675" i="2"/>
  <c r="L919" i="2"/>
  <c r="L367" i="2"/>
  <c r="M1401" i="2"/>
  <c r="M969" i="2"/>
  <c r="M824" i="2"/>
  <c r="L1927" i="2"/>
  <c r="L1867" i="2"/>
  <c r="L1808" i="2"/>
  <c r="L1735" i="2"/>
  <c r="L1688" i="2"/>
  <c r="L1376" i="2"/>
  <c r="L967" i="2"/>
  <c r="L799" i="2"/>
  <c r="L752" i="2"/>
  <c r="L728" i="2"/>
  <c r="L705" i="2"/>
  <c r="L559" i="2"/>
  <c r="L512" i="2"/>
  <c r="L477" i="2"/>
  <c r="L441" i="2"/>
  <c r="L212" i="2"/>
  <c r="M823" i="2"/>
  <c r="M23" i="2"/>
  <c r="M1145" i="2"/>
  <c r="L1145" i="2"/>
  <c r="M845" i="2"/>
  <c r="L845" i="2"/>
  <c r="M27" i="2"/>
  <c r="L27" i="2"/>
  <c r="L995" i="2"/>
  <c r="M995" i="2"/>
  <c r="L36" i="2"/>
  <c r="M36" i="2"/>
  <c r="M93" i="2"/>
  <c r="L93" i="2"/>
  <c r="M1871" i="2"/>
  <c r="L1871" i="2"/>
  <c r="L63" i="2"/>
  <c r="M63" i="2"/>
  <c r="M140" i="2"/>
  <c r="L140" i="2"/>
  <c r="M3" i="2"/>
  <c r="L3" i="2"/>
  <c r="L115" i="2"/>
  <c r="M115" i="2"/>
  <c r="M1821" i="2"/>
  <c r="L1821" i="2"/>
  <c r="L141" i="2"/>
  <c r="M141" i="2"/>
  <c r="L92" i="2"/>
  <c r="M92" i="2"/>
  <c r="M163" i="2"/>
  <c r="L163" i="2"/>
  <c r="M1979" i="2"/>
  <c r="L1979" i="2"/>
  <c r="L186" i="2"/>
  <c r="M186" i="2"/>
  <c r="M9" i="2"/>
  <c r="L9" i="2"/>
  <c r="M61" i="2"/>
  <c r="L61" i="2"/>
  <c r="M91" i="2"/>
  <c r="L91" i="2"/>
  <c r="M1703" i="2"/>
  <c r="L1703" i="2"/>
  <c r="L138" i="2"/>
  <c r="M138" i="2"/>
  <c r="M25" i="2"/>
  <c r="L25" i="2"/>
  <c r="M1761" i="2"/>
  <c r="L1761" i="2"/>
  <c r="M1872" i="2"/>
  <c r="L1872" i="2"/>
  <c r="M139" i="2"/>
  <c r="L139" i="2"/>
  <c r="M1751" i="2"/>
  <c r="L1751" i="2"/>
  <c r="M179" i="2"/>
  <c r="L179" i="2"/>
  <c r="M167" i="2"/>
  <c r="L167" i="2"/>
  <c r="L67" i="2"/>
  <c r="M67" i="2"/>
  <c r="L162" i="2"/>
  <c r="M162" i="2"/>
  <c r="L929" i="2"/>
  <c r="L258" i="2"/>
  <c r="M1511" i="2"/>
  <c r="L1535" i="2"/>
  <c r="M79" i="2"/>
  <c r="L151" i="2"/>
  <c r="L1533" i="2"/>
  <c r="L1137" i="2"/>
  <c r="M77" i="2"/>
  <c r="L1103" i="2"/>
  <c r="L1631" i="2"/>
  <c r="L1159" i="2"/>
  <c r="L465" i="2"/>
  <c r="M1509" i="2"/>
  <c r="M331" i="2"/>
  <c r="L1371" i="2"/>
  <c r="M357" i="2"/>
  <c r="L1679" i="2"/>
  <c r="L1499" i="2"/>
  <c r="L1451" i="2"/>
  <c r="L1403" i="2"/>
  <c r="L980" i="2"/>
  <c r="L345" i="2"/>
  <c r="L227" i="2"/>
  <c r="L201" i="2"/>
  <c r="M1595" i="2"/>
  <c r="M356" i="2"/>
  <c r="M131" i="2"/>
  <c r="M76" i="2"/>
  <c r="L161" i="2"/>
  <c r="L119" i="2"/>
  <c r="M355" i="2"/>
  <c r="M159" i="2"/>
  <c r="M75" i="2"/>
  <c r="L1665" i="2"/>
  <c r="M1559" i="2"/>
  <c r="M1302" i="2"/>
  <c r="M1147" i="2"/>
  <c r="M642" i="2"/>
  <c r="M382" i="2"/>
  <c r="M354" i="2"/>
  <c r="M341" i="2"/>
  <c r="M299" i="2"/>
  <c r="M157" i="2"/>
  <c r="M143" i="2"/>
  <c r="M116" i="2"/>
  <c r="M102" i="2"/>
  <c r="M88" i="2"/>
  <c r="M73" i="2"/>
  <c r="L1583" i="2"/>
  <c r="M1571" i="2"/>
  <c r="L282" i="2"/>
  <c r="L137" i="2"/>
  <c r="L307" i="2"/>
  <c r="M275" i="2"/>
  <c r="L1667" i="2"/>
  <c r="L1547" i="2"/>
  <c r="L358" i="2"/>
  <c r="L175" i="2"/>
  <c r="L78" i="2"/>
  <c r="M1629" i="2"/>
  <c r="L1528" i="2"/>
  <c r="L958" i="2"/>
  <c r="L383" i="2"/>
  <c r="M1222" i="2"/>
  <c r="M89" i="2"/>
  <c r="L1677" i="2"/>
  <c r="L1497" i="2"/>
  <c r="L1283" i="2"/>
  <c r="L1170" i="2"/>
  <c r="L821" i="2"/>
  <c r="L1463" i="2"/>
  <c r="L1415" i="2"/>
  <c r="L1400" i="2"/>
  <c r="L1341" i="2"/>
  <c r="L1265" i="2"/>
  <c r="L1169" i="2"/>
  <c r="L1133" i="2"/>
  <c r="L1013" i="2"/>
  <c r="L977" i="2"/>
  <c r="L955" i="2"/>
  <c r="L918" i="2"/>
  <c r="L407" i="2"/>
  <c r="L381" i="2"/>
  <c r="L185" i="2"/>
  <c r="L117" i="2"/>
  <c r="L103" i="2"/>
  <c r="M1619" i="2"/>
  <c r="M1523" i="2"/>
  <c r="M979" i="2"/>
  <c r="M895" i="2"/>
  <c r="M836" i="2"/>
  <c r="M702" i="2"/>
  <c r="M353" i="2"/>
  <c r="M340" i="2"/>
  <c r="M171" i="2"/>
  <c r="M156" i="2"/>
  <c r="M128" i="2"/>
  <c r="M101" i="2"/>
  <c r="M87" i="2"/>
  <c r="M72" i="2"/>
  <c r="M43" i="2"/>
  <c r="L1439" i="2"/>
  <c r="L283" i="2"/>
  <c r="L927" i="2"/>
  <c r="L1581" i="2"/>
  <c r="L333" i="2"/>
  <c r="L1655" i="2"/>
  <c r="L489" i="2"/>
  <c r="L174" i="2"/>
  <c r="M1279" i="2"/>
  <c r="M582" i="2"/>
  <c r="M173" i="2"/>
  <c r="L1689" i="2"/>
  <c r="L1593" i="2"/>
  <c r="L1527" i="2"/>
  <c r="L1266" i="2"/>
  <c r="L1053" i="2"/>
  <c r="L1014" i="2"/>
  <c r="L369" i="2"/>
  <c r="L330" i="2"/>
  <c r="L1955" i="2"/>
  <c r="L1919" i="2"/>
  <c r="L1895" i="2"/>
  <c r="L1859" i="2"/>
  <c r="L1835" i="2"/>
  <c r="L1799" i="2"/>
  <c r="L1775" i="2"/>
  <c r="L1727" i="2"/>
  <c r="L1930" i="2"/>
  <c r="L1810" i="2"/>
  <c r="L1762" i="2"/>
  <c r="L1701" i="2"/>
  <c r="L1636" i="2"/>
  <c r="L1379" i="2"/>
  <c r="L1361" i="2"/>
  <c r="L1244" i="2"/>
  <c r="L1186" i="2"/>
  <c r="L1030" i="2"/>
  <c r="L917" i="2"/>
  <c r="L762" i="2"/>
  <c r="L406" i="2"/>
  <c r="L393" i="2"/>
  <c r="L380" i="2"/>
  <c r="L197" i="2"/>
  <c r="M1243" i="2"/>
  <c r="M978" i="2"/>
  <c r="M169" i="2"/>
  <c r="M155" i="2"/>
  <c r="M127" i="2"/>
  <c r="M114" i="2"/>
  <c r="M100" i="2"/>
  <c r="M85" i="2"/>
  <c r="L1487" i="2"/>
  <c r="M332" i="2"/>
  <c r="L1138" i="2"/>
  <c r="L789" i="2"/>
  <c r="L8" i="2"/>
  <c r="M1258" i="2"/>
  <c r="M4" i="2"/>
  <c r="L150" i="2"/>
  <c r="M1475" i="2"/>
  <c r="L1691" i="2"/>
  <c r="L1643" i="2"/>
  <c r="L787" i="2"/>
  <c r="M1204" i="2"/>
  <c r="M118" i="2"/>
  <c r="M1360" i="2"/>
  <c r="M273" i="2"/>
  <c r="L1980" i="2"/>
  <c r="L1653" i="2"/>
  <c r="L1247" i="2"/>
  <c r="L881" i="2"/>
  <c r="L225" i="2"/>
  <c r="L1967" i="2"/>
  <c r="L1943" i="2"/>
  <c r="L1931" i="2"/>
  <c r="L1907" i="2"/>
  <c r="L1883" i="2"/>
  <c r="L1847" i="2"/>
  <c r="L1823" i="2"/>
  <c r="L1811" i="2"/>
  <c r="L1787" i="2"/>
  <c r="L1763" i="2"/>
  <c r="L1739" i="2"/>
  <c r="L1715" i="2"/>
  <c r="L1637" i="2"/>
  <c r="L1493" i="2"/>
  <c r="L1977" i="2"/>
  <c r="L1965" i="2"/>
  <c r="L1953" i="2"/>
  <c r="L1941" i="2"/>
  <c r="L1929" i="2"/>
  <c r="L1917" i="2"/>
  <c r="L1905" i="2"/>
  <c r="L1893" i="2"/>
  <c r="L1881" i="2"/>
  <c r="L1869" i="2"/>
  <c r="L1857" i="2"/>
  <c r="L1845" i="2"/>
  <c r="L1833" i="2"/>
  <c r="L1809" i="2"/>
  <c r="L1797" i="2"/>
  <c r="L1785" i="2"/>
  <c r="L1773" i="2"/>
  <c r="L1749" i="2"/>
  <c r="L1737" i="2"/>
  <c r="L1725" i="2"/>
  <c r="L1713" i="2"/>
  <c r="L1557" i="2"/>
  <c r="L1398" i="2"/>
  <c r="L1205" i="2"/>
  <c r="L1109" i="2"/>
  <c r="L761" i="2"/>
  <c r="L701" i="2"/>
  <c r="L641" i="2"/>
  <c r="L581" i="2"/>
  <c r="L379" i="2"/>
  <c r="L196" i="2"/>
  <c r="L183" i="2"/>
  <c r="L15" i="2"/>
  <c r="M1427" i="2"/>
  <c r="M1242" i="2"/>
  <c r="M365" i="2"/>
  <c r="M113" i="2"/>
  <c r="M99" i="2"/>
  <c r="L1189" i="2"/>
  <c r="M1189" i="2"/>
  <c r="L822" i="2"/>
  <c r="L1928" i="2"/>
  <c r="L1868" i="2"/>
  <c r="L1601" i="2"/>
  <c r="L1553" i="2"/>
  <c r="L1409" i="2"/>
  <c r="L1397" i="2"/>
  <c r="L777" i="2"/>
  <c r="L534" i="2"/>
  <c r="L378" i="2"/>
  <c r="L181" i="2"/>
  <c r="L13" i="2"/>
  <c r="M1702" i="2"/>
  <c r="L1700" i="2"/>
  <c r="M1580" i="2"/>
  <c r="M1532" i="2"/>
  <c r="M1484" i="2"/>
  <c r="M1412" i="2"/>
  <c r="M1627" i="2"/>
  <c r="M1579" i="2"/>
  <c r="M1543" i="2"/>
  <c r="M1483" i="2"/>
  <c r="M1411" i="2"/>
  <c r="M1638" i="2"/>
  <c r="M1602" i="2"/>
  <c r="M1530" i="2"/>
  <c r="M1494" i="2"/>
  <c r="M1434" i="2"/>
  <c r="M1566" i="2"/>
  <c r="M1592" i="2"/>
  <c r="M1544" i="2"/>
  <c r="M1496" i="2"/>
  <c r="M1448" i="2"/>
  <c r="M1639" i="2"/>
  <c r="M1591" i="2"/>
  <c r="M1531" i="2"/>
  <c r="M1495" i="2"/>
  <c r="M1435" i="2"/>
  <c r="M1590" i="2"/>
  <c r="M1542" i="2"/>
  <c r="M1482" i="2"/>
  <c r="M1446" i="2"/>
  <c r="L1640" i="2"/>
  <c r="L1628" i="2"/>
  <c r="L1616" i="2"/>
  <c r="L1604" i="2"/>
  <c r="L1568" i="2"/>
  <c r="L1556" i="2"/>
  <c r="L1520" i="2"/>
  <c r="L1508" i="2"/>
  <c r="L1472" i="2"/>
  <c r="L1460" i="2"/>
  <c r="L1436" i="2"/>
  <c r="L1424" i="2"/>
  <c r="M1615" i="2"/>
  <c r="M1567" i="2"/>
  <c r="M1519" i="2"/>
  <c r="M1471" i="2"/>
  <c r="M1447" i="2"/>
  <c r="M1626" i="2"/>
  <c r="M1578" i="2"/>
  <c r="M1518" i="2"/>
  <c r="M1470" i="2"/>
  <c r="M1422" i="2"/>
  <c r="L1603" i="2"/>
  <c r="L1555" i="2"/>
  <c r="L1507" i="2"/>
  <c r="L1459" i="2"/>
  <c r="L1423" i="2"/>
  <c r="M1614" i="2"/>
  <c r="M1554" i="2"/>
  <c r="M1506" i="2"/>
  <c r="M1458" i="2"/>
  <c r="M1410" i="2"/>
  <c r="L674" i="2"/>
  <c r="M674" i="2"/>
  <c r="M529" i="2"/>
  <c r="L529" i="2"/>
  <c r="M528" i="2"/>
  <c r="L528" i="2"/>
  <c r="L1343" i="2"/>
  <c r="M1343" i="2"/>
  <c r="M1271" i="2"/>
  <c r="L1271" i="2"/>
  <c r="M1235" i="2"/>
  <c r="L1235" i="2"/>
  <c r="M1139" i="2"/>
  <c r="L1139" i="2"/>
  <c r="L1115" i="2"/>
  <c r="M1115" i="2"/>
  <c r="L1091" i="2"/>
  <c r="M1091" i="2"/>
  <c r="M1067" i="2"/>
  <c r="L1067" i="2"/>
  <c r="L1043" i="2"/>
  <c r="M1043" i="2"/>
  <c r="L983" i="2"/>
  <c r="M983" i="2"/>
  <c r="M959" i="2"/>
  <c r="L959" i="2"/>
  <c r="M887" i="2"/>
  <c r="L887" i="2"/>
  <c r="M863" i="2"/>
  <c r="L863" i="2"/>
  <c r="L839" i="2"/>
  <c r="M839" i="2"/>
  <c r="L827" i="2"/>
  <c r="M827" i="2"/>
  <c r="M767" i="2"/>
  <c r="L767" i="2"/>
  <c r="L755" i="2"/>
  <c r="M755" i="2"/>
  <c r="L743" i="2"/>
  <c r="M743" i="2"/>
  <c r="M731" i="2"/>
  <c r="L731" i="2"/>
  <c r="L695" i="2"/>
  <c r="M695" i="2"/>
  <c r="L683" i="2"/>
  <c r="M683" i="2"/>
  <c r="M671" i="2"/>
  <c r="L671" i="2"/>
  <c r="L659" i="2"/>
  <c r="M659" i="2"/>
  <c r="M647" i="2"/>
  <c r="L647" i="2"/>
  <c r="L635" i="2"/>
  <c r="M635" i="2"/>
  <c r="L623" i="2"/>
  <c r="M623" i="2"/>
  <c r="L611" i="2"/>
  <c r="M611" i="2"/>
  <c r="L587" i="2"/>
  <c r="M587" i="2"/>
  <c r="L575" i="2"/>
  <c r="M575" i="2"/>
  <c r="L563" i="2"/>
  <c r="M563" i="2"/>
  <c r="L551" i="2"/>
  <c r="M551" i="2"/>
  <c r="L539" i="2"/>
  <c r="M539" i="2"/>
  <c r="L515" i="2"/>
  <c r="M515" i="2"/>
  <c r="L707" i="2"/>
  <c r="L672" i="2"/>
  <c r="L578" i="2"/>
  <c r="M1117" i="2"/>
  <c r="M781" i="2"/>
  <c r="M757" i="2"/>
  <c r="M614" i="2"/>
  <c r="L1394" i="2"/>
  <c r="M1394" i="2"/>
  <c r="L1370" i="2"/>
  <c r="M1370" i="2"/>
  <c r="M1358" i="2"/>
  <c r="L1358" i="2"/>
  <c r="M1334" i="2"/>
  <c r="L1334" i="2"/>
  <c r="L1322" i="2"/>
  <c r="M1322" i="2"/>
  <c r="M1310" i="2"/>
  <c r="L1310" i="2"/>
  <c r="L1298" i="2"/>
  <c r="M1298" i="2"/>
  <c r="L1286" i="2"/>
  <c r="M1286" i="2"/>
  <c r="L1274" i="2"/>
  <c r="M1274" i="2"/>
  <c r="L1262" i="2"/>
  <c r="M1262" i="2"/>
  <c r="L1250" i="2"/>
  <c r="M1250" i="2"/>
  <c r="L1238" i="2"/>
  <c r="M1238" i="2"/>
  <c r="L1226" i="2"/>
  <c r="M1226" i="2"/>
  <c r="M1214" i="2"/>
  <c r="L1214" i="2"/>
  <c r="L1202" i="2"/>
  <c r="M1202" i="2"/>
  <c r="M1190" i="2"/>
  <c r="L1190" i="2"/>
  <c r="L1178" i="2"/>
  <c r="M1178" i="2"/>
  <c r="M1166" i="2"/>
  <c r="L1166" i="2"/>
  <c r="L1142" i="2"/>
  <c r="M1142" i="2"/>
  <c r="L1130" i="2"/>
  <c r="M1130" i="2"/>
  <c r="L1118" i="2"/>
  <c r="M1118" i="2"/>
  <c r="L1106" i="2"/>
  <c r="M1106" i="2"/>
  <c r="L1094" i="2"/>
  <c r="M1094" i="2"/>
  <c r="L1082" i="2"/>
  <c r="M1082" i="2"/>
  <c r="M1070" i="2"/>
  <c r="L1070" i="2"/>
  <c r="M1058" i="2"/>
  <c r="L1058" i="2"/>
  <c r="L1046" i="2"/>
  <c r="M1046" i="2"/>
  <c r="L1034" i="2"/>
  <c r="M1034" i="2"/>
  <c r="L1022" i="2"/>
  <c r="M1022" i="2"/>
  <c r="L1010" i="2"/>
  <c r="M1010" i="2"/>
  <c r="M998" i="2"/>
  <c r="L998" i="2"/>
  <c r="M986" i="2"/>
  <c r="L986" i="2"/>
  <c r="M974" i="2"/>
  <c r="L974" i="2"/>
  <c r="L962" i="2"/>
  <c r="M962" i="2"/>
  <c r="L938" i="2"/>
  <c r="M938" i="2"/>
  <c r="M926" i="2"/>
  <c r="L926" i="2"/>
  <c r="M914" i="2"/>
  <c r="L914" i="2"/>
  <c r="L902" i="2"/>
  <c r="M902" i="2"/>
  <c r="L878" i="2"/>
  <c r="M878" i="2"/>
  <c r="M854" i="2"/>
  <c r="L854" i="2"/>
  <c r="M842" i="2"/>
  <c r="L842" i="2"/>
  <c r="L830" i="2"/>
  <c r="M830" i="2"/>
  <c r="L818" i="2"/>
  <c r="M818" i="2"/>
  <c r="L806" i="2"/>
  <c r="M806" i="2"/>
  <c r="L794" i="2"/>
  <c r="M794" i="2"/>
  <c r="M782" i="2"/>
  <c r="L782" i="2"/>
  <c r="L770" i="2"/>
  <c r="M770" i="2"/>
  <c r="L746" i="2"/>
  <c r="M746" i="2"/>
  <c r="M734" i="2"/>
  <c r="L734" i="2"/>
  <c r="L722" i="2"/>
  <c r="M722" i="2"/>
  <c r="L710" i="2"/>
  <c r="M710" i="2"/>
  <c r="L698" i="2"/>
  <c r="M698" i="2"/>
  <c r="M686" i="2"/>
  <c r="L686" i="2"/>
  <c r="L650" i="2"/>
  <c r="M650" i="2"/>
  <c r="M638" i="2"/>
  <c r="L638" i="2"/>
  <c r="L626" i="2"/>
  <c r="M626" i="2"/>
  <c r="M602" i="2"/>
  <c r="L602" i="2"/>
  <c r="L566" i="2"/>
  <c r="M566" i="2"/>
  <c r="L554" i="2"/>
  <c r="M554" i="2"/>
  <c r="L1393" i="2"/>
  <c r="M1393" i="2"/>
  <c r="L1357" i="2"/>
  <c r="M1357" i="2"/>
  <c r="M1345" i="2"/>
  <c r="L1345" i="2"/>
  <c r="L1333" i="2"/>
  <c r="M1333" i="2"/>
  <c r="M1321" i="2"/>
  <c r="L1321" i="2"/>
  <c r="L1309" i="2"/>
  <c r="M1309" i="2"/>
  <c r="L1297" i="2"/>
  <c r="M1297" i="2"/>
  <c r="L1273" i="2"/>
  <c r="M1273" i="2"/>
  <c r="L1261" i="2"/>
  <c r="M1261" i="2"/>
  <c r="L1237" i="2"/>
  <c r="M1237" i="2"/>
  <c r="L1225" i="2"/>
  <c r="M1225" i="2"/>
  <c r="L1213" i="2"/>
  <c r="M1213" i="2"/>
  <c r="M1201" i="2"/>
  <c r="L1201" i="2"/>
  <c r="M1177" i="2"/>
  <c r="L1177" i="2"/>
  <c r="L1165" i="2"/>
  <c r="M1165" i="2"/>
  <c r="L1153" i="2"/>
  <c r="M1153" i="2"/>
  <c r="L1141" i="2"/>
  <c r="M1141" i="2"/>
  <c r="L1129" i="2"/>
  <c r="M1129" i="2"/>
  <c r="L1105" i="2"/>
  <c r="M1105" i="2"/>
  <c r="L1081" i="2"/>
  <c r="M1081" i="2"/>
  <c r="L1069" i="2"/>
  <c r="M1069" i="2"/>
  <c r="L1045" i="2"/>
  <c r="M1045" i="2"/>
  <c r="L1033" i="2"/>
  <c r="M1033" i="2"/>
  <c r="L1021" i="2"/>
  <c r="M1021" i="2"/>
  <c r="L1009" i="2"/>
  <c r="M1009" i="2"/>
  <c r="L997" i="2"/>
  <c r="M997" i="2"/>
  <c r="L985" i="2"/>
  <c r="M985" i="2"/>
  <c r="L973" i="2"/>
  <c r="M973" i="2"/>
  <c r="L961" i="2"/>
  <c r="M961" i="2"/>
  <c r="L949" i="2"/>
  <c r="M949" i="2"/>
  <c r="L937" i="2"/>
  <c r="M937" i="2"/>
  <c r="L925" i="2"/>
  <c r="M925" i="2"/>
  <c r="L913" i="2"/>
  <c r="M913" i="2"/>
  <c r="L901" i="2"/>
  <c r="M901" i="2"/>
  <c r="L877" i="2"/>
  <c r="M877" i="2"/>
  <c r="L853" i="2"/>
  <c r="M853" i="2"/>
  <c r="L841" i="2"/>
  <c r="M841" i="2"/>
  <c r="L829" i="2"/>
  <c r="M829" i="2"/>
  <c r="L817" i="2"/>
  <c r="M817" i="2"/>
  <c r="L805" i="2"/>
  <c r="M805" i="2"/>
  <c r="L793" i="2"/>
  <c r="M793" i="2"/>
  <c r="L769" i="2"/>
  <c r="M769" i="2"/>
  <c r="L745" i="2"/>
  <c r="M745" i="2"/>
  <c r="L733" i="2"/>
  <c r="M733" i="2"/>
  <c r="L721" i="2"/>
  <c r="M721" i="2"/>
  <c r="L709" i="2"/>
  <c r="M709" i="2"/>
  <c r="L697" i="2"/>
  <c r="M697" i="2"/>
  <c r="L673" i="2"/>
  <c r="M673" i="2"/>
  <c r="L649" i="2"/>
  <c r="M649" i="2"/>
  <c r="L625" i="2"/>
  <c r="M625" i="2"/>
  <c r="L613" i="2"/>
  <c r="M613" i="2"/>
  <c r="M601" i="2"/>
  <c r="L601" i="2"/>
  <c r="M565" i="2"/>
  <c r="L565" i="2"/>
  <c r="L553" i="2"/>
  <c r="M553" i="2"/>
  <c r="L541" i="2"/>
  <c r="M541" i="2"/>
  <c r="M517" i="2"/>
  <c r="L517" i="2"/>
  <c r="L542" i="2"/>
  <c r="M890" i="2"/>
  <c r="M866" i="2"/>
  <c r="M1368" i="2"/>
  <c r="L1368" i="2"/>
  <c r="M1356" i="2"/>
  <c r="L1356" i="2"/>
  <c r="L1344" i="2"/>
  <c r="M1344" i="2"/>
  <c r="M1332" i="2"/>
  <c r="L1332" i="2"/>
  <c r="L1320" i="2"/>
  <c r="M1320" i="2"/>
  <c r="M1272" i="2"/>
  <c r="L1272" i="2"/>
  <c r="M1260" i="2"/>
  <c r="L1260" i="2"/>
  <c r="M1236" i="2"/>
  <c r="L1236" i="2"/>
  <c r="L1200" i="2"/>
  <c r="M1200" i="2"/>
  <c r="M1188" i="2"/>
  <c r="L1188" i="2"/>
  <c r="M1140" i="2"/>
  <c r="L1140" i="2"/>
  <c r="M1128" i="2"/>
  <c r="L1128" i="2"/>
  <c r="L1116" i="2"/>
  <c r="M1116" i="2"/>
  <c r="L1104" i="2"/>
  <c r="M1104" i="2"/>
  <c r="L1092" i="2"/>
  <c r="M1092" i="2"/>
  <c r="M1080" i="2"/>
  <c r="L1080" i="2"/>
  <c r="M1056" i="2"/>
  <c r="L1056" i="2"/>
  <c r="M1044" i="2"/>
  <c r="L1044" i="2"/>
  <c r="M1032" i="2"/>
  <c r="L1032" i="2"/>
  <c r="L1008" i="2"/>
  <c r="M1008" i="2"/>
  <c r="M996" i="2"/>
  <c r="L996" i="2"/>
  <c r="M984" i="2"/>
  <c r="L984" i="2"/>
  <c r="M972" i="2"/>
  <c r="L972" i="2"/>
  <c r="M960" i="2"/>
  <c r="L960" i="2"/>
  <c r="M948" i="2"/>
  <c r="L948" i="2"/>
  <c r="M912" i="2"/>
  <c r="L912" i="2"/>
  <c r="M900" i="2"/>
  <c r="L900" i="2"/>
  <c r="M876" i="2"/>
  <c r="L876" i="2"/>
  <c r="L864" i="2"/>
  <c r="M864" i="2"/>
  <c r="M852" i="2"/>
  <c r="L852" i="2"/>
  <c r="M840" i="2"/>
  <c r="L840" i="2"/>
  <c r="M828" i="2"/>
  <c r="L828" i="2"/>
  <c r="M816" i="2"/>
  <c r="L816" i="2"/>
  <c r="M792" i="2"/>
  <c r="L792" i="2"/>
  <c r="M780" i="2"/>
  <c r="L780" i="2"/>
  <c r="M768" i="2"/>
  <c r="L768" i="2"/>
  <c r="L744" i="2"/>
  <c r="M744" i="2"/>
  <c r="M732" i="2"/>
  <c r="L732" i="2"/>
  <c r="L696" i="2"/>
  <c r="M696" i="2"/>
  <c r="M684" i="2"/>
  <c r="L684" i="2"/>
  <c r="L660" i="2"/>
  <c r="M660" i="2"/>
  <c r="M648" i="2"/>
  <c r="L648" i="2"/>
  <c r="M636" i="2"/>
  <c r="L636" i="2"/>
  <c r="M624" i="2"/>
  <c r="L624" i="2"/>
  <c r="L612" i="2"/>
  <c r="M612" i="2"/>
  <c r="L600" i="2"/>
  <c r="M600" i="2"/>
  <c r="L564" i="2"/>
  <c r="M564" i="2"/>
  <c r="L552" i="2"/>
  <c r="M552" i="2"/>
  <c r="M540" i="2"/>
  <c r="L540" i="2"/>
  <c r="L516" i="2"/>
  <c r="M516" i="2"/>
  <c r="L708" i="2"/>
  <c r="M1346" i="2"/>
  <c r="M1093" i="2"/>
  <c r="M889" i="2"/>
  <c r="M865" i="2"/>
  <c r="M758" i="2"/>
  <c r="M1355" i="2"/>
  <c r="L1355" i="2"/>
  <c r="L1331" i="2"/>
  <c r="M1331" i="2"/>
  <c r="M1319" i="2"/>
  <c r="L1319" i="2"/>
  <c r="M1307" i="2"/>
  <c r="L1307" i="2"/>
  <c r="M1259" i="2"/>
  <c r="L1259" i="2"/>
  <c r="M1223" i="2"/>
  <c r="L1223" i="2"/>
  <c r="M1211" i="2"/>
  <c r="L1211" i="2"/>
  <c r="L1199" i="2"/>
  <c r="M1199" i="2"/>
  <c r="M1175" i="2"/>
  <c r="L1175" i="2"/>
  <c r="M1127" i="2"/>
  <c r="L1127" i="2"/>
  <c r="M1031" i="2"/>
  <c r="L1031" i="2"/>
  <c r="M947" i="2"/>
  <c r="L947" i="2"/>
  <c r="L911" i="2"/>
  <c r="M911" i="2"/>
  <c r="L899" i="2"/>
  <c r="M899" i="2"/>
  <c r="M875" i="2"/>
  <c r="L875" i="2"/>
  <c r="M815" i="2"/>
  <c r="L815" i="2"/>
  <c r="L527" i="2"/>
  <c r="M527" i="2"/>
  <c r="L1392" i="2"/>
  <c r="L1296" i="2"/>
  <c r="L1020" i="2"/>
  <c r="L577" i="2"/>
  <c r="M1249" i="2"/>
  <c r="M779" i="2"/>
  <c r="M756" i="2"/>
  <c r="L1391" i="2"/>
  <c r="L1295" i="2"/>
  <c r="L1151" i="2"/>
  <c r="L1019" i="2"/>
  <c r="L720" i="2"/>
  <c r="L576" i="2"/>
  <c r="M1382" i="2"/>
  <c r="M637" i="2"/>
  <c r="M518" i="2"/>
  <c r="L1164" i="2"/>
  <c r="L719" i="2"/>
  <c r="L590" i="2"/>
  <c r="M1381" i="2"/>
  <c r="M1176" i="2"/>
  <c r="M662" i="2"/>
  <c r="L1163" i="2"/>
  <c r="L924" i="2"/>
  <c r="L589" i="2"/>
  <c r="M1380" i="2"/>
  <c r="M661" i="2"/>
  <c r="M530" i="2"/>
  <c r="L530" i="2"/>
  <c r="M1224" i="2"/>
  <c r="L1224" i="2"/>
  <c r="L923" i="2"/>
  <c r="L888" i="2"/>
  <c r="L791" i="2"/>
  <c r="M1285" i="2"/>
  <c r="M1154" i="2"/>
  <c r="M1079" i="2"/>
  <c r="M851" i="2"/>
  <c r="M685" i="2"/>
  <c r="M599" i="2"/>
  <c r="M588" i="2"/>
  <c r="L588" i="2"/>
  <c r="L1308" i="2"/>
  <c r="M1284" i="2"/>
  <c r="M1057" i="2"/>
  <c r="L1369" i="2"/>
  <c r="M1369" i="2"/>
  <c r="L1187" i="2"/>
  <c r="M1187" i="2"/>
  <c r="L1152" i="2"/>
  <c r="L1068" i="2"/>
  <c r="L936" i="2"/>
  <c r="M1055" i="2"/>
  <c r="M1257" i="2"/>
  <c r="L1257" i="2"/>
  <c r="M1245" i="2"/>
  <c r="L1245" i="2"/>
  <c r="M1113" i="2"/>
  <c r="L1113" i="2"/>
  <c r="M1101" i="2"/>
  <c r="L1101" i="2"/>
  <c r="M1029" i="2"/>
  <c r="L1029" i="2"/>
  <c r="M1017" i="2"/>
  <c r="L1017" i="2"/>
  <c r="M945" i="2"/>
  <c r="L945" i="2"/>
  <c r="L897" i="2"/>
  <c r="M897" i="2"/>
  <c r="M873" i="2"/>
  <c r="L873" i="2"/>
  <c r="L825" i="2"/>
  <c r="M825" i="2"/>
  <c r="M801" i="2"/>
  <c r="L801" i="2"/>
  <c r="M753" i="2"/>
  <c r="L753" i="2"/>
  <c r="M741" i="2"/>
  <c r="L741" i="2"/>
  <c r="M729" i="2"/>
  <c r="L729" i="2"/>
  <c r="M681" i="2"/>
  <c r="L681" i="2"/>
  <c r="M669" i="2"/>
  <c r="L669" i="2"/>
  <c r="M657" i="2"/>
  <c r="L657" i="2"/>
  <c r="M609" i="2"/>
  <c r="L609" i="2"/>
  <c r="M597" i="2"/>
  <c r="L597" i="2"/>
  <c r="M573" i="2"/>
  <c r="L573" i="2"/>
  <c r="M549" i="2"/>
  <c r="L549" i="2"/>
  <c r="L717" i="2"/>
  <c r="L513" i="2"/>
  <c r="M1185" i="2"/>
  <c r="L1305" i="2"/>
  <c r="L1065" i="2"/>
  <c r="M1317" i="2"/>
  <c r="M1089" i="2"/>
  <c r="L933" i="2"/>
  <c r="L981" i="2"/>
  <c r="L765" i="2"/>
  <c r="L633" i="2"/>
  <c r="M585" i="2"/>
  <c r="L585" i="2"/>
  <c r="L1353" i="2"/>
  <c r="L1221" i="2"/>
  <c r="L1125" i="2"/>
  <c r="M537" i="2"/>
  <c r="L537" i="2"/>
  <c r="L1269" i="2"/>
  <c r="L861" i="2"/>
  <c r="L645" i="2"/>
  <c r="M957" i="2"/>
  <c r="M813" i="2"/>
  <c r="L1389" i="2"/>
  <c r="M1389" i="2"/>
  <c r="M525" i="2"/>
  <c r="L525" i="2"/>
  <c r="L561" i="2"/>
  <c r="M1329" i="2"/>
  <c r="M1041" i="2"/>
  <c r="L1373" i="2"/>
  <c r="L1301" i="2"/>
  <c r="L1229" i="2"/>
  <c r="L560" i="2"/>
  <c r="L521" i="2"/>
  <c r="L507" i="2"/>
  <c r="L572" i="2"/>
  <c r="L533" i="2"/>
  <c r="L506" i="2"/>
  <c r="L494" i="2"/>
  <c r="L482" i="2"/>
  <c r="L470" i="2"/>
  <c r="L458" i="2"/>
  <c r="L446" i="2"/>
  <c r="L434" i="2"/>
  <c r="L422" i="2"/>
  <c r="L410" i="2"/>
  <c r="L398" i="2"/>
  <c r="L386" i="2"/>
  <c r="L374" i="2"/>
  <c r="L362" i="2"/>
  <c r="L350" i="2"/>
  <c r="L338" i="2"/>
  <c r="L326" i="2"/>
  <c r="L314" i="2"/>
  <c r="L302" i="2"/>
  <c r="L290" i="2"/>
  <c r="L278" i="2"/>
  <c r="L266" i="2"/>
  <c r="L254" i="2"/>
  <c r="L242" i="2"/>
  <c r="L230" i="2"/>
  <c r="L218" i="2"/>
  <c r="L206" i="2"/>
  <c r="L194" i="2"/>
  <c r="L182" i="2"/>
  <c r="L170" i="2"/>
  <c r="L158" i="2"/>
  <c r="L146" i="2"/>
  <c r="L134" i="2"/>
  <c r="L122" i="2"/>
  <c r="L110" i="2"/>
  <c r="L98" i="2"/>
  <c r="L86" i="2"/>
  <c r="L74" i="2"/>
  <c r="L62" i="2"/>
  <c r="L50" i="2"/>
  <c r="L38" i="2"/>
  <c r="L26" i="2"/>
  <c r="L14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66881F0-37AA-4268-BC72-0A40D800E5A7}" keepAlive="1" name="Query - grocery_chain_data" description="Connection to the 'grocery_chain_data' query in the workbook." type="5" refreshedVersion="8" background="1" saveData="1">
    <dbPr connection="Provider=Microsoft.Mashup.OleDb.1;Data Source=$Workbook$;Location=grocery_chain_data;Extended Properties=&quot;&quot;" command="SELECT * FROM [grocery_chain_data]"/>
  </connection>
</connections>
</file>

<file path=xl/sharedStrings.xml><?xml version="1.0" encoding="utf-8"?>
<sst xmlns="http://schemas.openxmlformats.org/spreadsheetml/2006/main" count="3973" uniqueCount="41">
  <si>
    <t>Greengrocer Plaza</t>
  </si>
  <si>
    <t>Pasta</t>
  </si>
  <si>
    <t>Valueplus Market</t>
  </si>
  <si>
    <t>Cheese</t>
  </si>
  <si>
    <t>Onions</t>
  </si>
  <si>
    <t>Supersave Central</t>
  </si>
  <si>
    <t>Cereal</t>
  </si>
  <si>
    <t>Orange Juice</t>
  </si>
  <si>
    <t>Corner Grocery</t>
  </si>
  <si>
    <t>Ground Beef</t>
  </si>
  <si>
    <t>City Fresh Store</t>
  </si>
  <si>
    <t>Apples</t>
  </si>
  <si>
    <t>Quickstop Market</t>
  </si>
  <si>
    <t>Freshmart Downtown</t>
  </si>
  <si>
    <t>Tomatoes</t>
  </si>
  <si>
    <t>Salmon</t>
  </si>
  <si>
    <t>Megamart Westside</t>
  </si>
  <si>
    <t>Rice</t>
  </si>
  <si>
    <t>Bananas</t>
  </si>
  <si>
    <t>Milk</t>
  </si>
  <si>
    <t>Eggs</t>
  </si>
  <si>
    <t>Familyfood Express</t>
  </si>
  <si>
    <t>Bread</t>
  </si>
  <si>
    <t>Yogurt</t>
  </si>
  <si>
    <t>Carrots</t>
  </si>
  <si>
    <t>Potatoes</t>
  </si>
  <si>
    <t>Chicken Breast</t>
  </si>
  <si>
    <t>Unknown</t>
  </si>
  <si>
    <t>Quantity</t>
  </si>
  <si>
    <t>Clean Final Amount</t>
  </si>
  <si>
    <t>Customer ID</t>
  </si>
  <si>
    <t>Store Name</t>
  </si>
  <si>
    <t>Transaction Date</t>
  </si>
  <si>
    <t>Product Category</t>
  </si>
  <si>
    <t>Product Name</t>
  </si>
  <si>
    <t>Unit Price</t>
  </si>
  <si>
    <t>Total Amount</t>
  </si>
  <si>
    <t>Discount Amount</t>
  </si>
  <si>
    <t>Final Amount</t>
  </si>
  <si>
    <t>Loyalty Points</t>
  </si>
  <si>
    <t>Transaction 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</si>
</sst>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₹&quot;\ #,##0.00"/>
  </numFmts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2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11">
    <dxf>
      <numFmt numFmtId="19" formatCode="dd/mm/yyyy"/>
    </dxf>
    <dxf>
      <numFmt numFmtId="0" formatCode="General"/>
    </dxf>
    <dxf>
      <numFmt numFmtId="0" formatCode="General"/>
    </dxf>
    <dxf>
      <numFmt numFmtId="164" formatCode="&quot;₹&quot;\ #,##0.00"/>
    </dxf>
    <dxf>
      <numFmt numFmtId="164" formatCode="&quot;₹&quot;\ #,##0.00"/>
    </dxf>
    <dxf>
      <numFmt numFmtId="164" formatCode="&quot;₹&quot;\ #,##0.00"/>
    </dxf>
    <dxf>
      <numFmt numFmtId="164" formatCode="&quot;₹&quot;\ #,##0.00"/>
    </dxf>
    <dxf>
      <numFmt numFmtId="2" formatCode="0.00"/>
    </dxf>
    <dxf>
      <numFmt numFmtId="0" formatCode="General"/>
    </dxf>
    <dxf>
      <numFmt numFmtId="19" formatCode="dd/mm/yyyy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connections" Target="connections.xml"/><Relationship Id="rId7" Type="http://schemas.openxmlformats.org/officeDocument/2006/relationships/calcChain" Target="calcChain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3B8E41D8-CC53-4044-9DF6-C8E09AB49305}" autoFormatId="16" applyNumberFormats="0" applyBorderFormats="0" applyFontFormats="0" applyPatternFormats="0" applyAlignmentFormats="0" applyWidthHeightFormats="0">
  <queryTableRefresh nextId="15" unboundColumnsRight="2">
    <queryTableFields count="13">
      <queryTableField id="1" name="customer_id" tableColumnId="1"/>
      <queryTableField id="2" name="store_name" tableColumnId="2"/>
      <queryTableField id="3" name="transaction_date" tableColumnId="3"/>
      <queryTableField id="14" dataBound="0" tableColumnId="14"/>
      <queryTableField id="5" name="product_name" tableColumnId="5"/>
      <queryTableField id="6" name="quantity" tableColumnId="6"/>
      <queryTableField id="7" name="unit_price" tableColumnId="7"/>
      <queryTableField id="8" name="total_amount" tableColumnId="8"/>
      <queryTableField id="9" name="discount_amount" tableColumnId="9"/>
      <queryTableField id="10" name="final_amount" tableColumnId="10"/>
      <queryTableField id="11" name="loyalty_points" tableColumnId="11"/>
      <queryTableField id="12" dataBound="0" tableColumnId="12"/>
      <queryTableField id="13" dataBound="0" tableColumnId="13"/>
    </queryTableFields>
    <queryTableDeletedFields count="1">
      <deletedField name="aisle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BBD284A-A49C-4748-88CA-2D99228CDBC9}" name="grocery_chain_data" displayName="grocery_chain_data" ref="A1:M1981" tableType="queryTable" totalsRowShown="0">
  <autoFilter ref="A1:M1981" xr:uid="{3BBD284A-A49C-4748-88CA-2D99228CDBC9}"/>
  <tableColumns count="13">
    <tableColumn id="1" xr3:uid="{1E4D1DFB-0F8C-479D-B8BC-765C7307DA49}" uniqueName="1" name="Customer ID" queryTableFieldId="1"/>
    <tableColumn id="2" xr3:uid="{F0CEC407-59EB-4D7E-BF19-E04832E1360C}" uniqueName="2" name="Store Name" queryTableFieldId="2" dataDxfId="10"/>
    <tableColumn id="3" xr3:uid="{91A7596D-7C15-486B-A83D-D89F120E9E11}" uniqueName="3" name="Transaction Date" queryTableFieldId="3" dataDxfId="9"/>
    <tableColumn id="14" xr3:uid="{E97A9910-6AF4-41E7-8FD9-BB65AF5E94C7}" uniqueName="14" name="Product Category" queryTableFieldId="14" dataDxfId="0">
      <calculatedColumnFormula>IF(E2="Pasta","Pantry",
IF(E2="Cheese","Dairy",
IF(E2="Onions","Produce",
IF(E2="Cereal","Pantry",
IF(E2="Orange Juice","Beverages",
IF(E2="Ground Beef","Meat &amp; Seafood",
IF(E2="Apples","Produce",
IF(E2="Milk","Dairy",
IF(E2="Bananas","Produce",
IF(E2="Bread","Bakery",
IF(E2="Carrots","Produce",
IF(E2="Chicken Breast","Meat &amp; Seafood",
IF(E2="Eggs","Dairy",
IF(E2="Potatoes","Produce",
IF(E2="Rice","Produce",
IF(E2="Salmon","Meat &amp; Seafood",
IF(E2="Tomatoes","Produce",
IF(E2="Yogurt","Dairy",
"Others"))))))))))))))))))</calculatedColumnFormula>
    </tableColumn>
    <tableColumn id="5" xr3:uid="{927C818B-66AC-413E-8CEC-4E34535EB9D9}" uniqueName="5" name="Product Name" queryTableFieldId="5" dataDxfId="8"/>
    <tableColumn id="6" xr3:uid="{6798BD79-9D13-4168-8D89-00F6D34DB042}" uniqueName="6" name="Quantity" queryTableFieldId="6" dataDxfId="7"/>
    <tableColumn id="7" xr3:uid="{4E4CE1A9-EDDA-4619-8DED-CC6DE1A86D30}" uniqueName="7" name="Unit Price" queryTableFieldId="7" dataDxfId="6"/>
    <tableColumn id="8" xr3:uid="{3D8DFD79-7A74-4DE1-A9F2-12454ECD7F2F}" uniqueName="8" name="Total Amount" queryTableFieldId="8" dataDxfId="5"/>
    <tableColumn id="9" xr3:uid="{7438B816-69B6-4E5F-8F15-06D3D2C9861C}" uniqueName="9" name="Discount Amount" queryTableFieldId="9" dataDxfId="4"/>
    <tableColumn id="10" xr3:uid="{4969E839-EF0A-4633-9173-C56A558E518C}" uniqueName="10" name="Final Amount" queryTableFieldId="10" dataDxfId="3"/>
    <tableColumn id="11" xr3:uid="{E52B5F01-6CA8-43F3-B91B-C0A36862D2AC}" uniqueName="11" name="Loyalty Points" queryTableFieldId="11"/>
    <tableColumn id="12" xr3:uid="{D047AE3D-7711-4C52-8FEC-003184093755}" uniqueName="12" name="Transaction Type" queryTableFieldId="12" dataDxfId="2">
      <calculatedColumnFormula>IF(grocery_chain_data[[#This Row],[Final Amount]]&lt;0,"Return","Sale")</calculatedColumnFormula>
    </tableColumn>
    <tableColumn id="13" xr3:uid="{837D6D02-86EB-40E9-96C8-57498B27C484}" uniqueName="13" name="Clean Final Amount" queryTableFieldId="13" dataDxfId="1">
      <calculatedColumnFormula>IF(grocery_chain_data[[#This Row],[Final Amount]]&lt;0,0,grocery_chain_data[[#This Row],[Final Amount]])</calculatedColumnFormula>
    </tableColumn>
  </tableColumns>
  <tableStyleInfo name="TableStyleMedium1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002CE9-E215-4545-9D3D-4EA7415BFFB2}">
  <dimension ref="A1:M1981"/>
  <sheetViews>
    <sheetView tabSelected="1" zoomScaleNormal="100" workbookViewId="0">
      <selection activeCell="N17" sqref="N17"/>
    </sheetView>
  </sheetViews>
  <sheetFormatPr defaultRowHeight="14.4" x14ac:dyDescent="0.3"/>
  <cols>
    <col min="1" max="1" width="13.5546875" bestFit="1" customWidth="1"/>
    <col min="2" max="2" width="18.33203125" bestFit="1" customWidth="1"/>
    <col min="3" max="3" width="17.33203125" bestFit="1" customWidth="1"/>
    <col min="4" max="4" width="17.33203125" customWidth="1"/>
    <col min="5" max="5" width="15.33203125" bestFit="1" customWidth="1"/>
    <col min="6" max="6" width="10.33203125" style="2" bestFit="1" customWidth="1"/>
    <col min="7" max="7" width="11.5546875" style="3" bestFit="1" customWidth="1"/>
    <col min="8" max="8" width="14.21875" style="3" bestFit="1" customWidth="1"/>
    <col min="9" max="9" width="17.6640625" style="3" bestFit="1" customWidth="1"/>
    <col min="10" max="10" width="14" style="3" bestFit="1" customWidth="1"/>
    <col min="11" max="11" width="14.77734375" bestFit="1" customWidth="1"/>
    <col min="12" max="12" width="17.6640625" bestFit="1" customWidth="1"/>
    <col min="13" max="13" width="19.44140625" bestFit="1" customWidth="1"/>
  </cols>
  <sheetData>
    <row r="1" spans="1:13" x14ac:dyDescent="0.3">
      <c r="A1" t="s">
        <v>30</v>
      </c>
      <c r="B1" t="s">
        <v>31</v>
      </c>
      <c r="C1" t="s">
        <v>32</v>
      </c>
      <c r="D1" t="s">
        <v>33</v>
      </c>
      <c r="E1" t="s">
        <v>34</v>
      </c>
      <c r="F1" s="2" t="s">
        <v>28</v>
      </c>
      <c r="G1" s="3" t="s">
        <v>35</v>
      </c>
      <c r="H1" s="3" t="s">
        <v>36</v>
      </c>
      <c r="I1" s="3" t="s">
        <v>37</v>
      </c>
      <c r="J1" s="3" t="s">
        <v>38</v>
      </c>
      <c r="K1" t="s">
        <v>39</v>
      </c>
      <c r="L1" t="s">
        <v>40</v>
      </c>
      <c r="M1" t="s">
        <v>29</v>
      </c>
    </row>
    <row r="2" spans="1:13" x14ac:dyDescent="0.3">
      <c r="A2">
        <v>2824</v>
      </c>
      <c r="B2" t="s">
        <v>0</v>
      </c>
      <c r="C2" s="1">
        <v>45164</v>
      </c>
      <c r="D2" s="1" t="str">
        <f t="shared" ref="D2:D65" si="0">IF(E2="Pasta","Pantry",
IF(E2="Cheese","Dairy",
IF(E2="Onions","Produce",
IF(E2="Cereal","Pantry",
IF(E2="Orange Juice","Beverages",
IF(E2="Ground Beef","Meat &amp; Seafood",
IF(E2="Apples","Produce",
IF(E2="Milk","Dairy",
IF(E2="Bananas","Produce",
IF(E2="Bread","Bakery",
IF(E2="Carrots","Produce",
IF(E2="Chicken Breast","Meat &amp; Seafood",
IF(E2="Eggs","Dairy",
IF(E2="Potatoes","Produce",
IF(E2="Rice","Produce",
IF(E2="Salmon","Meat &amp; Seafood",
IF(E2="Tomatoes","Produce",
IF(E2="Yogurt","Dairy",
"Others"))))))))))))))))))</f>
        <v>Pantry</v>
      </c>
      <c r="E2" t="s">
        <v>1</v>
      </c>
      <c r="F2" s="2">
        <v>2</v>
      </c>
      <c r="G2" s="3">
        <v>7</v>
      </c>
      <c r="H2" s="3">
        <f>grocery_chain_data[[#This Row],[Quantity]]*grocery_chain_data[[#This Row],[Unit Price]]</f>
        <v>14</v>
      </c>
      <c r="I2" s="3">
        <v>0</v>
      </c>
      <c r="J2" s="3">
        <f>grocery_chain_data[[#This Row],[Total Amount]]-grocery_chain_data[[#This Row],[Discount Amount]]</f>
        <v>14</v>
      </c>
      <c r="K2">
        <v>377</v>
      </c>
      <c r="L2" t="str">
        <f>IF(grocery_chain_data[[#This Row],[Final Amount]]&lt;0,"Return","Sale")</f>
        <v>Sale</v>
      </c>
      <c r="M2">
        <f>IF(grocery_chain_data[[#This Row],[Final Amount]]&lt;0,0,grocery_chain_data[[#This Row],[Final Amount]])</f>
        <v>14</v>
      </c>
    </row>
    <row r="3" spans="1:13" x14ac:dyDescent="0.3">
      <c r="A3">
        <v>5506</v>
      </c>
      <c r="B3" t="s">
        <v>2</v>
      </c>
      <c r="C3" s="1">
        <v>45335</v>
      </c>
      <c r="D3" s="1" t="str">
        <f t="shared" si="0"/>
        <v>Dairy</v>
      </c>
      <c r="E3" t="s">
        <v>3</v>
      </c>
      <c r="F3" s="2">
        <v>1</v>
      </c>
      <c r="G3" s="3">
        <v>2</v>
      </c>
      <c r="H3" s="3">
        <f>grocery_chain_data[[#This Row],[Quantity]]*grocery_chain_data[[#This Row],[Unit Price]]</f>
        <v>2</v>
      </c>
      <c r="I3" s="3">
        <v>3</v>
      </c>
      <c r="J3" s="3">
        <f>grocery_chain_data[[#This Row],[Total Amount]]-grocery_chain_data[[#This Row],[Discount Amount]]</f>
        <v>-1</v>
      </c>
      <c r="K3">
        <v>111</v>
      </c>
      <c r="L3" t="str">
        <f>IF(grocery_chain_data[[#This Row],[Final Amount]]&lt;0,"Return","Sale")</f>
        <v>Return</v>
      </c>
      <c r="M3">
        <f>IF(grocery_chain_data[[#This Row],[Final Amount]]&lt;0,0,grocery_chain_data[[#This Row],[Final Amount]])</f>
        <v>0</v>
      </c>
    </row>
    <row r="4" spans="1:13" x14ac:dyDescent="0.3">
      <c r="A4">
        <v>4657</v>
      </c>
      <c r="B4" t="s">
        <v>2</v>
      </c>
      <c r="C4" s="1">
        <v>45253</v>
      </c>
      <c r="D4" s="1" t="str">
        <f t="shared" si="0"/>
        <v>Produce</v>
      </c>
      <c r="E4" t="s">
        <v>4</v>
      </c>
      <c r="F4" s="2">
        <v>4</v>
      </c>
      <c r="G4" s="3">
        <v>7</v>
      </c>
      <c r="H4" s="3">
        <f>grocery_chain_data[[#This Row],[Quantity]]*grocery_chain_data[[#This Row],[Unit Price]]</f>
        <v>28</v>
      </c>
      <c r="I4" s="3">
        <v>4</v>
      </c>
      <c r="J4" s="3">
        <f>grocery_chain_data[[#This Row],[Total Amount]]-grocery_chain_data[[#This Row],[Discount Amount]]</f>
        <v>24</v>
      </c>
      <c r="K4">
        <v>301</v>
      </c>
      <c r="L4" t="str">
        <f>IF(grocery_chain_data[[#This Row],[Final Amount]]&lt;0,"Return","Sale")</f>
        <v>Sale</v>
      </c>
      <c r="M4">
        <f>IF(grocery_chain_data[[#This Row],[Final Amount]]&lt;0,0,grocery_chain_data[[#This Row],[Final Amount]])</f>
        <v>24</v>
      </c>
    </row>
    <row r="5" spans="1:13" x14ac:dyDescent="0.3">
      <c r="A5">
        <v>2679</v>
      </c>
      <c r="B5" t="s">
        <v>5</v>
      </c>
      <c r="C5" s="1">
        <v>45670</v>
      </c>
      <c r="D5" s="1" t="str">
        <f t="shared" si="0"/>
        <v>Pantry</v>
      </c>
      <c r="E5" t="s">
        <v>6</v>
      </c>
      <c r="F5" s="2">
        <v>3</v>
      </c>
      <c r="G5" s="3">
        <v>6</v>
      </c>
      <c r="H5" s="3">
        <f>grocery_chain_data[[#This Row],[Quantity]]*grocery_chain_data[[#This Row],[Unit Price]]</f>
        <v>18</v>
      </c>
      <c r="I5" s="3">
        <v>1</v>
      </c>
      <c r="J5" s="3">
        <f>grocery_chain_data[[#This Row],[Total Amount]]-grocery_chain_data[[#This Row],[Discount Amount]]</f>
        <v>17</v>
      </c>
      <c r="K5">
        <v>490</v>
      </c>
      <c r="L5" t="str">
        <f>IF(grocery_chain_data[[#This Row],[Final Amount]]&lt;0,"Return","Sale")</f>
        <v>Sale</v>
      </c>
      <c r="M5">
        <f>IF(grocery_chain_data[[#This Row],[Final Amount]]&lt;0,0,grocery_chain_data[[#This Row],[Final Amount]])</f>
        <v>17</v>
      </c>
    </row>
    <row r="6" spans="1:13" x14ac:dyDescent="0.3">
      <c r="A6">
        <v>9935</v>
      </c>
      <c r="B6" t="s">
        <v>0</v>
      </c>
      <c r="C6" s="1">
        <v>45212</v>
      </c>
      <c r="D6" s="1" t="str">
        <f t="shared" si="0"/>
        <v>Beverages</v>
      </c>
      <c r="E6" t="s">
        <v>7</v>
      </c>
      <c r="F6" s="2">
        <v>5</v>
      </c>
      <c r="G6" s="3">
        <v>9</v>
      </c>
      <c r="H6" s="3">
        <f>grocery_chain_data[[#This Row],[Quantity]]*grocery_chain_data[[#This Row],[Unit Price]]</f>
        <v>45</v>
      </c>
      <c r="I6" s="3">
        <v>2</v>
      </c>
      <c r="J6" s="3">
        <f>grocery_chain_data[[#This Row],[Total Amount]]-grocery_chain_data[[#This Row],[Discount Amount]]</f>
        <v>43</v>
      </c>
      <c r="K6">
        <v>22</v>
      </c>
      <c r="L6" t="str">
        <f>IF(grocery_chain_data[[#This Row],[Final Amount]]&lt;0,"Return","Sale")</f>
        <v>Sale</v>
      </c>
      <c r="M6">
        <f>IF(grocery_chain_data[[#This Row],[Final Amount]]&lt;0,0,grocery_chain_data[[#This Row],[Final Amount]])</f>
        <v>43</v>
      </c>
    </row>
    <row r="7" spans="1:13" x14ac:dyDescent="0.3">
      <c r="A7">
        <v>7912</v>
      </c>
      <c r="B7" t="s">
        <v>8</v>
      </c>
      <c r="C7" s="1">
        <v>45169</v>
      </c>
      <c r="D7" s="1" t="str">
        <f t="shared" si="0"/>
        <v>Produce</v>
      </c>
      <c r="E7" t="s">
        <v>4</v>
      </c>
      <c r="F7" s="2">
        <v>3</v>
      </c>
      <c r="G7" s="3">
        <v>25</v>
      </c>
      <c r="H7" s="3">
        <f>grocery_chain_data[[#This Row],[Quantity]]*grocery_chain_data[[#This Row],[Unit Price]]</f>
        <v>75</v>
      </c>
      <c r="I7" s="3">
        <v>2</v>
      </c>
      <c r="J7" s="3">
        <f>grocery_chain_data[[#This Row],[Total Amount]]-grocery_chain_data[[#This Row],[Discount Amount]]</f>
        <v>73</v>
      </c>
      <c r="K7">
        <v>316</v>
      </c>
      <c r="L7" t="str">
        <f>IF(grocery_chain_data[[#This Row],[Final Amount]]&lt;0,"Return","Sale")</f>
        <v>Sale</v>
      </c>
      <c r="M7">
        <f>IF(grocery_chain_data[[#This Row],[Final Amount]]&lt;0,0,grocery_chain_data[[#This Row],[Final Amount]])</f>
        <v>73</v>
      </c>
    </row>
    <row r="8" spans="1:13" x14ac:dyDescent="0.3">
      <c r="A8">
        <v>1488</v>
      </c>
      <c r="B8" t="s">
        <v>0</v>
      </c>
      <c r="C8" s="1">
        <v>45217</v>
      </c>
      <c r="D8" s="1" t="str">
        <f t="shared" si="0"/>
        <v>Meat &amp; Seafood</v>
      </c>
      <c r="E8" t="s">
        <v>9</v>
      </c>
      <c r="F8" s="2">
        <v>3</v>
      </c>
      <c r="G8" s="3">
        <v>30</v>
      </c>
      <c r="H8" s="3">
        <f>grocery_chain_data[[#This Row],[Quantity]]*grocery_chain_data[[#This Row],[Unit Price]]</f>
        <v>90</v>
      </c>
      <c r="I8" s="3">
        <v>3</v>
      </c>
      <c r="J8" s="3">
        <f>grocery_chain_data[[#This Row],[Total Amount]]-grocery_chain_data[[#This Row],[Discount Amount]]</f>
        <v>87</v>
      </c>
      <c r="K8">
        <v>437</v>
      </c>
      <c r="L8" t="str">
        <f>IF(grocery_chain_data[[#This Row],[Final Amount]]&lt;0,"Return","Sale")</f>
        <v>Sale</v>
      </c>
      <c r="M8">
        <f>IF(grocery_chain_data[[#This Row],[Final Amount]]&lt;0,0,grocery_chain_data[[#This Row],[Final Amount]])</f>
        <v>87</v>
      </c>
    </row>
    <row r="9" spans="1:13" x14ac:dyDescent="0.3">
      <c r="A9">
        <v>4582</v>
      </c>
      <c r="B9" t="s">
        <v>10</v>
      </c>
      <c r="C9" s="1">
        <v>45325</v>
      </c>
      <c r="D9" s="1" t="str">
        <f t="shared" si="0"/>
        <v>Beverages</v>
      </c>
      <c r="E9" t="s">
        <v>7</v>
      </c>
      <c r="F9" s="2">
        <v>2</v>
      </c>
      <c r="G9" s="3">
        <v>12</v>
      </c>
      <c r="H9" s="3">
        <f>grocery_chain_data[[#This Row],[Quantity]]*grocery_chain_data[[#This Row],[Unit Price]]</f>
        <v>24</v>
      </c>
      <c r="I9" s="3">
        <v>0</v>
      </c>
      <c r="J9" s="3">
        <f>grocery_chain_data[[#This Row],[Total Amount]]-grocery_chain_data[[#This Row],[Discount Amount]]</f>
        <v>24</v>
      </c>
      <c r="K9">
        <v>107</v>
      </c>
      <c r="L9" t="str">
        <f>IF(grocery_chain_data[[#This Row],[Final Amount]]&lt;0,"Return","Sale")</f>
        <v>Sale</v>
      </c>
      <c r="M9">
        <f>IF(grocery_chain_data[[#This Row],[Final Amount]]&lt;0,0,grocery_chain_data[[#This Row],[Final Amount]])</f>
        <v>24</v>
      </c>
    </row>
    <row r="10" spans="1:13" x14ac:dyDescent="0.3">
      <c r="A10">
        <v>9279</v>
      </c>
      <c r="B10" t="s">
        <v>0</v>
      </c>
      <c r="C10" s="1">
        <v>45612</v>
      </c>
      <c r="D10" s="1" t="str">
        <f t="shared" si="0"/>
        <v>Produce</v>
      </c>
      <c r="E10" t="s">
        <v>11</v>
      </c>
      <c r="F10" s="2">
        <v>5</v>
      </c>
      <c r="G10" s="3">
        <v>22</v>
      </c>
      <c r="H10" s="3">
        <f>grocery_chain_data[[#This Row],[Quantity]]*grocery_chain_data[[#This Row],[Unit Price]]</f>
        <v>110</v>
      </c>
      <c r="I10" s="3">
        <v>11</v>
      </c>
      <c r="J10" s="3">
        <f>grocery_chain_data[[#This Row],[Total Amount]]-grocery_chain_data[[#This Row],[Discount Amount]]</f>
        <v>99</v>
      </c>
      <c r="K10">
        <v>83</v>
      </c>
      <c r="L10" t="str">
        <f>IF(grocery_chain_data[[#This Row],[Final Amount]]&lt;0,"Return","Sale")</f>
        <v>Sale</v>
      </c>
      <c r="M10">
        <f>IF(grocery_chain_data[[#This Row],[Final Amount]]&lt;0,0,grocery_chain_data[[#This Row],[Final Amount]])</f>
        <v>99</v>
      </c>
    </row>
    <row r="11" spans="1:13" x14ac:dyDescent="0.3">
      <c r="A11">
        <v>1434</v>
      </c>
      <c r="B11" t="s">
        <v>12</v>
      </c>
      <c r="C11" s="1">
        <v>45580</v>
      </c>
      <c r="D11" s="1" t="str">
        <f t="shared" si="0"/>
        <v>Produce</v>
      </c>
      <c r="E11" t="s">
        <v>4</v>
      </c>
      <c r="F11" s="2">
        <v>2</v>
      </c>
      <c r="G11" s="3">
        <v>21</v>
      </c>
      <c r="H11" s="3">
        <f>grocery_chain_data[[#This Row],[Quantity]]*grocery_chain_data[[#This Row],[Unit Price]]</f>
        <v>42</v>
      </c>
      <c r="I11" s="3">
        <v>8</v>
      </c>
      <c r="J11" s="3">
        <f>grocery_chain_data[[#This Row],[Total Amount]]-grocery_chain_data[[#This Row],[Discount Amount]]</f>
        <v>34</v>
      </c>
      <c r="K11">
        <v>431</v>
      </c>
      <c r="L11" t="str">
        <f>IF(grocery_chain_data[[#This Row],[Final Amount]]&lt;0,"Return","Sale")</f>
        <v>Sale</v>
      </c>
      <c r="M11">
        <f>IF(grocery_chain_data[[#This Row],[Final Amount]]&lt;0,0,grocery_chain_data[[#This Row],[Final Amount]])</f>
        <v>34</v>
      </c>
    </row>
    <row r="12" spans="1:13" x14ac:dyDescent="0.3">
      <c r="A12">
        <v>4257</v>
      </c>
      <c r="B12" t="s">
        <v>13</v>
      </c>
      <c r="C12" s="1">
        <v>45701</v>
      </c>
      <c r="D12" s="1" t="str">
        <f t="shared" si="0"/>
        <v>Produce</v>
      </c>
      <c r="E12" t="s">
        <v>14</v>
      </c>
      <c r="F12" s="2">
        <v>3</v>
      </c>
      <c r="G12" s="3">
        <v>3</v>
      </c>
      <c r="H12" s="3">
        <f>grocery_chain_data[[#This Row],[Quantity]]*grocery_chain_data[[#This Row],[Unit Price]]</f>
        <v>9</v>
      </c>
      <c r="I12" s="3">
        <v>2</v>
      </c>
      <c r="J12" s="3">
        <f>grocery_chain_data[[#This Row],[Total Amount]]-grocery_chain_data[[#This Row],[Discount Amount]]</f>
        <v>7</v>
      </c>
      <c r="K12">
        <v>467</v>
      </c>
      <c r="L12" t="str">
        <f>IF(grocery_chain_data[[#This Row],[Final Amount]]&lt;0,"Return","Sale")</f>
        <v>Sale</v>
      </c>
      <c r="M12">
        <f>IF(grocery_chain_data[[#This Row],[Final Amount]]&lt;0,0,grocery_chain_data[[#This Row],[Final Amount]])</f>
        <v>7</v>
      </c>
    </row>
    <row r="13" spans="1:13" x14ac:dyDescent="0.3">
      <c r="A13">
        <v>9928</v>
      </c>
      <c r="B13" t="s">
        <v>10</v>
      </c>
      <c r="C13" s="1">
        <v>45470</v>
      </c>
      <c r="D13" s="1" t="str">
        <f t="shared" si="0"/>
        <v>Meat &amp; Seafood</v>
      </c>
      <c r="E13" t="s">
        <v>15</v>
      </c>
      <c r="F13" s="2">
        <v>2</v>
      </c>
      <c r="G13" s="3">
        <v>9</v>
      </c>
      <c r="H13" s="3">
        <f>grocery_chain_data[[#This Row],[Quantity]]*grocery_chain_data[[#This Row],[Unit Price]]</f>
        <v>18</v>
      </c>
      <c r="I13" s="3">
        <v>0</v>
      </c>
      <c r="J13" s="3">
        <f>grocery_chain_data[[#This Row],[Total Amount]]-grocery_chain_data[[#This Row],[Discount Amount]]</f>
        <v>18</v>
      </c>
      <c r="K13">
        <v>126</v>
      </c>
      <c r="L13" t="str">
        <f>IF(grocery_chain_data[[#This Row],[Final Amount]]&lt;0,"Return","Sale")</f>
        <v>Sale</v>
      </c>
      <c r="M13">
        <f>IF(grocery_chain_data[[#This Row],[Final Amount]]&lt;0,0,grocery_chain_data[[#This Row],[Final Amount]])</f>
        <v>18</v>
      </c>
    </row>
    <row r="14" spans="1:13" x14ac:dyDescent="0.3">
      <c r="A14">
        <v>4611</v>
      </c>
      <c r="B14" t="s">
        <v>8</v>
      </c>
      <c r="C14" s="1">
        <v>45493</v>
      </c>
      <c r="D14" s="1" t="str">
        <f t="shared" si="0"/>
        <v>Produce</v>
      </c>
      <c r="E14" t="s">
        <v>14</v>
      </c>
      <c r="F14" s="2">
        <v>3</v>
      </c>
      <c r="G14" s="3">
        <v>7</v>
      </c>
      <c r="H14" s="3">
        <f>grocery_chain_data[[#This Row],[Quantity]]*grocery_chain_data[[#This Row],[Unit Price]]</f>
        <v>21</v>
      </c>
      <c r="I14" s="3">
        <v>4</v>
      </c>
      <c r="J14" s="3">
        <f>grocery_chain_data[[#This Row],[Total Amount]]-grocery_chain_data[[#This Row],[Discount Amount]]</f>
        <v>17</v>
      </c>
      <c r="K14">
        <v>70</v>
      </c>
      <c r="L14" t="str">
        <f>IF(grocery_chain_data[[#This Row],[Final Amount]]&lt;0,"Return","Sale")</f>
        <v>Sale</v>
      </c>
      <c r="M14">
        <f>IF(grocery_chain_data[[#This Row],[Final Amount]]&lt;0,0,grocery_chain_data[[#This Row],[Final Amount]])</f>
        <v>17</v>
      </c>
    </row>
    <row r="15" spans="1:13" x14ac:dyDescent="0.3">
      <c r="A15">
        <v>5557</v>
      </c>
      <c r="B15" t="s">
        <v>0</v>
      </c>
      <c r="C15" s="1">
        <v>45773</v>
      </c>
      <c r="D15" s="1" t="str">
        <f t="shared" si="0"/>
        <v>Produce</v>
      </c>
      <c r="E15" t="s">
        <v>11</v>
      </c>
      <c r="F15" s="2">
        <v>4</v>
      </c>
      <c r="G15" s="3">
        <v>18</v>
      </c>
      <c r="H15" s="3">
        <f>grocery_chain_data[[#This Row],[Quantity]]*grocery_chain_data[[#This Row],[Unit Price]]</f>
        <v>72</v>
      </c>
      <c r="I15" s="3">
        <v>5</v>
      </c>
      <c r="J15" s="3">
        <f>grocery_chain_data[[#This Row],[Total Amount]]-grocery_chain_data[[#This Row],[Discount Amount]]</f>
        <v>67</v>
      </c>
      <c r="K15">
        <v>197</v>
      </c>
      <c r="L15" t="str">
        <f>IF(grocery_chain_data[[#This Row],[Final Amount]]&lt;0,"Return","Sale")</f>
        <v>Sale</v>
      </c>
      <c r="M15">
        <f>IF(grocery_chain_data[[#This Row],[Final Amount]]&lt;0,0,grocery_chain_data[[#This Row],[Final Amount]])</f>
        <v>67</v>
      </c>
    </row>
    <row r="16" spans="1:13" x14ac:dyDescent="0.3">
      <c r="A16">
        <v>1106</v>
      </c>
      <c r="B16" t="s">
        <v>2</v>
      </c>
      <c r="C16" s="1">
        <v>45734</v>
      </c>
      <c r="D16" s="1" t="str">
        <f t="shared" si="0"/>
        <v>Produce</v>
      </c>
      <c r="E16" t="s">
        <v>4</v>
      </c>
      <c r="F16" s="2">
        <v>1</v>
      </c>
      <c r="G16" s="3">
        <v>21</v>
      </c>
      <c r="H16" s="3">
        <f>grocery_chain_data[[#This Row],[Quantity]]*grocery_chain_data[[#This Row],[Unit Price]]</f>
        <v>21</v>
      </c>
      <c r="I16" s="3">
        <v>0</v>
      </c>
      <c r="J16" s="3">
        <f>grocery_chain_data[[#This Row],[Total Amount]]-grocery_chain_data[[#This Row],[Discount Amount]]</f>
        <v>21</v>
      </c>
      <c r="K16">
        <v>58</v>
      </c>
      <c r="L16" t="str">
        <f>IF(grocery_chain_data[[#This Row],[Final Amount]]&lt;0,"Return","Sale")</f>
        <v>Sale</v>
      </c>
      <c r="M16">
        <f>IF(grocery_chain_data[[#This Row],[Final Amount]]&lt;0,0,grocery_chain_data[[#This Row],[Final Amount]])</f>
        <v>21</v>
      </c>
    </row>
    <row r="17" spans="1:13" x14ac:dyDescent="0.3">
      <c r="A17">
        <v>3615</v>
      </c>
      <c r="B17" t="s">
        <v>16</v>
      </c>
      <c r="C17" s="1">
        <v>45687</v>
      </c>
      <c r="D17" s="1" t="str">
        <f t="shared" si="0"/>
        <v>Produce</v>
      </c>
      <c r="E17" t="s">
        <v>17</v>
      </c>
      <c r="F17" s="2">
        <v>4</v>
      </c>
      <c r="G17" s="3">
        <v>6</v>
      </c>
      <c r="H17" s="3">
        <f>grocery_chain_data[[#This Row],[Quantity]]*grocery_chain_data[[#This Row],[Unit Price]]</f>
        <v>24</v>
      </c>
      <c r="I17" s="3">
        <v>4</v>
      </c>
      <c r="J17" s="3">
        <f>grocery_chain_data[[#This Row],[Total Amount]]-grocery_chain_data[[#This Row],[Discount Amount]]</f>
        <v>20</v>
      </c>
      <c r="K17">
        <v>1</v>
      </c>
      <c r="L17" t="str">
        <f>IF(grocery_chain_data[[#This Row],[Final Amount]]&lt;0,"Return","Sale")</f>
        <v>Sale</v>
      </c>
      <c r="M17">
        <f>IF(grocery_chain_data[[#This Row],[Final Amount]]&lt;0,0,grocery_chain_data[[#This Row],[Final Amount]])</f>
        <v>20</v>
      </c>
    </row>
    <row r="18" spans="1:13" x14ac:dyDescent="0.3">
      <c r="A18">
        <v>7924</v>
      </c>
      <c r="B18" t="s">
        <v>2</v>
      </c>
      <c r="C18" s="1">
        <v>45409</v>
      </c>
      <c r="D18" s="1" t="str">
        <f t="shared" si="0"/>
        <v>Produce</v>
      </c>
      <c r="E18" t="s">
        <v>17</v>
      </c>
      <c r="F18" s="2">
        <v>5</v>
      </c>
      <c r="G18" s="3">
        <v>19</v>
      </c>
      <c r="H18" s="3">
        <f>grocery_chain_data[[#This Row],[Quantity]]*grocery_chain_data[[#This Row],[Unit Price]]</f>
        <v>95</v>
      </c>
      <c r="I18" s="3">
        <v>19</v>
      </c>
      <c r="J18" s="3">
        <f>grocery_chain_data[[#This Row],[Total Amount]]-grocery_chain_data[[#This Row],[Discount Amount]]</f>
        <v>76</v>
      </c>
      <c r="K18">
        <v>78</v>
      </c>
      <c r="L18" t="str">
        <f>IF(grocery_chain_data[[#This Row],[Final Amount]]&lt;0,"Return","Sale")</f>
        <v>Sale</v>
      </c>
      <c r="M18">
        <f>IF(grocery_chain_data[[#This Row],[Final Amount]]&lt;0,0,grocery_chain_data[[#This Row],[Final Amount]])</f>
        <v>76</v>
      </c>
    </row>
    <row r="19" spans="1:13" x14ac:dyDescent="0.3">
      <c r="A19">
        <v>5552</v>
      </c>
      <c r="B19" t="s">
        <v>2</v>
      </c>
      <c r="C19" s="1">
        <v>45265</v>
      </c>
      <c r="D19" s="1" t="str">
        <f t="shared" si="0"/>
        <v>Produce</v>
      </c>
      <c r="E19" t="s">
        <v>18</v>
      </c>
      <c r="F19" s="2">
        <v>5</v>
      </c>
      <c r="G19" s="3">
        <v>10</v>
      </c>
      <c r="H19" s="3">
        <f>grocery_chain_data[[#This Row],[Quantity]]*grocery_chain_data[[#This Row],[Unit Price]]</f>
        <v>50</v>
      </c>
      <c r="I19" s="3">
        <v>8</v>
      </c>
      <c r="J19" s="3">
        <f>grocery_chain_data[[#This Row],[Total Amount]]-grocery_chain_data[[#This Row],[Discount Amount]]</f>
        <v>42</v>
      </c>
      <c r="K19">
        <v>9</v>
      </c>
      <c r="L19" t="str">
        <f>IF(grocery_chain_data[[#This Row],[Final Amount]]&lt;0,"Return","Sale")</f>
        <v>Sale</v>
      </c>
      <c r="M19">
        <f>IF(grocery_chain_data[[#This Row],[Final Amount]]&lt;0,0,grocery_chain_data[[#This Row],[Final Amount]])</f>
        <v>42</v>
      </c>
    </row>
    <row r="20" spans="1:13" x14ac:dyDescent="0.3">
      <c r="A20">
        <v>4527</v>
      </c>
      <c r="B20" t="s">
        <v>12</v>
      </c>
      <c r="C20" s="1">
        <v>45738</v>
      </c>
      <c r="D20" s="1" t="str">
        <f t="shared" si="0"/>
        <v>Dairy</v>
      </c>
      <c r="E20" t="s">
        <v>19</v>
      </c>
      <c r="F20" s="2">
        <v>2</v>
      </c>
      <c r="G20" s="3">
        <v>26</v>
      </c>
      <c r="H20" s="3">
        <f>grocery_chain_data[[#This Row],[Quantity]]*grocery_chain_data[[#This Row],[Unit Price]]</f>
        <v>52</v>
      </c>
      <c r="I20" s="3">
        <v>4</v>
      </c>
      <c r="J20" s="3">
        <f>grocery_chain_data[[#This Row],[Total Amount]]-grocery_chain_data[[#This Row],[Discount Amount]]</f>
        <v>48</v>
      </c>
      <c r="K20">
        <v>484</v>
      </c>
      <c r="L20" t="str">
        <f>IF(grocery_chain_data[[#This Row],[Final Amount]]&lt;0,"Return","Sale")</f>
        <v>Sale</v>
      </c>
      <c r="M20">
        <f>IF(grocery_chain_data[[#This Row],[Final Amount]]&lt;0,0,grocery_chain_data[[#This Row],[Final Amount]])</f>
        <v>48</v>
      </c>
    </row>
    <row r="21" spans="1:13" x14ac:dyDescent="0.3">
      <c r="A21">
        <v>6514</v>
      </c>
      <c r="B21" t="s">
        <v>0</v>
      </c>
      <c r="C21" s="1">
        <v>45224</v>
      </c>
      <c r="D21" s="1" t="str">
        <f t="shared" si="0"/>
        <v>Dairy</v>
      </c>
      <c r="E21" t="s">
        <v>20</v>
      </c>
      <c r="F21" s="2">
        <v>2</v>
      </c>
      <c r="G21" s="3">
        <v>20</v>
      </c>
      <c r="H21" s="3">
        <f>grocery_chain_data[[#This Row],[Quantity]]*grocery_chain_data[[#This Row],[Unit Price]]</f>
        <v>40</v>
      </c>
      <c r="I21" s="3">
        <v>6</v>
      </c>
      <c r="J21" s="3">
        <f>grocery_chain_data[[#This Row],[Total Amount]]-grocery_chain_data[[#This Row],[Discount Amount]]</f>
        <v>34</v>
      </c>
      <c r="K21">
        <v>484</v>
      </c>
      <c r="L21" t="str">
        <f>IF(grocery_chain_data[[#This Row],[Final Amount]]&lt;0,"Return","Sale")</f>
        <v>Sale</v>
      </c>
      <c r="M21">
        <f>IF(grocery_chain_data[[#This Row],[Final Amount]]&lt;0,0,grocery_chain_data[[#This Row],[Final Amount]])</f>
        <v>34</v>
      </c>
    </row>
    <row r="22" spans="1:13" x14ac:dyDescent="0.3">
      <c r="A22">
        <v>2519</v>
      </c>
      <c r="B22" t="s">
        <v>2</v>
      </c>
      <c r="C22" s="1">
        <v>45440</v>
      </c>
      <c r="D22" s="1" t="str">
        <f t="shared" si="0"/>
        <v>Dairy</v>
      </c>
      <c r="E22" t="s">
        <v>3</v>
      </c>
      <c r="F22" s="2">
        <v>2</v>
      </c>
      <c r="G22" s="3">
        <v>28</v>
      </c>
      <c r="H22" s="3">
        <f>grocery_chain_data[[#This Row],[Quantity]]*grocery_chain_data[[#This Row],[Unit Price]]</f>
        <v>56</v>
      </c>
      <c r="I22" s="3">
        <v>0</v>
      </c>
      <c r="J22" s="3">
        <f>grocery_chain_data[[#This Row],[Total Amount]]-grocery_chain_data[[#This Row],[Discount Amount]]</f>
        <v>56</v>
      </c>
      <c r="K22">
        <v>386</v>
      </c>
      <c r="L22" t="str">
        <f>IF(grocery_chain_data[[#This Row],[Final Amount]]&lt;0,"Return","Sale")</f>
        <v>Sale</v>
      </c>
      <c r="M22">
        <f>IF(grocery_chain_data[[#This Row],[Final Amount]]&lt;0,0,grocery_chain_data[[#This Row],[Final Amount]])</f>
        <v>56</v>
      </c>
    </row>
    <row r="23" spans="1:13" x14ac:dyDescent="0.3">
      <c r="A23">
        <v>2584</v>
      </c>
      <c r="B23" t="s">
        <v>12</v>
      </c>
      <c r="C23" s="1">
        <v>45423</v>
      </c>
      <c r="D23" s="1" t="str">
        <f t="shared" si="0"/>
        <v>Beverages</v>
      </c>
      <c r="E23" t="s">
        <v>7</v>
      </c>
      <c r="F23" s="2">
        <v>4</v>
      </c>
      <c r="G23" s="3">
        <v>27</v>
      </c>
      <c r="H23" s="3">
        <f>grocery_chain_data[[#This Row],[Quantity]]*grocery_chain_data[[#This Row],[Unit Price]]</f>
        <v>108</v>
      </c>
      <c r="I23" s="3">
        <v>22</v>
      </c>
      <c r="J23" s="3">
        <f>grocery_chain_data[[#This Row],[Total Amount]]-grocery_chain_data[[#This Row],[Discount Amount]]</f>
        <v>86</v>
      </c>
      <c r="K23">
        <v>231</v>
      </c>
      <c r="L23" t="str">
        <f>IF(grocery_chain_data[[#This Row],[Final Amount]]&lt;0,"Return","Sale")</f>
        <v>Sale</v>
      </c>
      <c r="M23">
        <f>IF(grocery_chain_data[[#This Row],[Final Amount]]&lt;0,0,grocery_chain_data[[#This Row],[Final Amount]])</f>
        <v>86</v>
      </c>
    </row>
    <row r="24" spans="1:13" x14ac:dyDescent="0.3">
      <c r="A24">
        <v>6635</v>
      </c>
      <c r="B24" t="s">
        <v>21</v>
      </c>
      <c r="C24" s="1">
        <v>45613</v>
      </c>
      <c r="D24" s="1" t="str">
        <f t="shared" si="0"/>
        <v>Pantry</v>
      </c>
      <c r="E24" t="s">
        <v>6</v>
      </c>
      <c r="F24" s="2">
        <v>1</v>
      </c>
      <c r="G24" s="3">
        <v>18</v>
      </c>
      <c r="H24" s="3">
        <f>grocery_chain_data[[#This Row],[Quantity]]*grocery_chain_data[[#This Row],[Unit Price]]</f>
        <v>18</v>
      </c>
      <c r="I24" s="3">
        <v>1</v>
      </c>
      <c r="J24" s="3">
        <f>grocery_chain_data[[#This Row],[Total Amount]]-grocery_chain_data[[#This Row],[Discount Amount]]</f>
        <v>17</v>
      </c>
      <c r="K24">
        <v>117</v>
      </c>
      <c r="L24" t="str">
        <f>IF(grocery_chain_data[[#This Row],[Final Amount]]&lt;0,"Return","Sale")</f>
        <v>Sale</v>
      </c>
      <c r="M24">
        <f>IF(grocery_chain_data[[#This Row],[Final Amount]]&lt;0,0,grocery_chain_data[[#This Row],[Final Amount]])</f>
        <v>17</v>
      </c>
    </row>
    <row r="25" spans="1:13" x14ac:dyDescent="0.3">
      <c r="A25">
        <v>5333</v>
      </c>
      <c r="B25" t="s">
        <v>13</v>
      </c>
      <c r="C25" s="1">
        <v>45771</v>
      </c>
      <c r="D25" s="1" t="str">
        <f t="shared" si="0"/>
        <v>Bakery</v>
      </c>
      <c r="E25" t="s">
        <v>22</v>
      </c>
      <c r="F25" s="2">
        <v>1</v>
      </c>
      <c r="G25" s="3">
        <v>26</v>
      </c>
      <c r="H25" s="3">
        <f>grocery_chain_data[[#This Row],[Quantity]]*grocery_chain_data[[#This Row],[Unit Price]]</f>
        <v>26</v>
      </c>
      <c r="I25" s="3">
        <v>4</v>
      </c>
      <c r="J25" s="3">
        <f>grocery_chain_data[[#This Row],[Total Amount]]-grocery_chain_data[[#This Row],[Discount Amount]]</f>
        <v>22</v>
      </c>
      <c r="K25">
        <v>36</v>
      </c>
      <c r="L25" t="str">
        <f>IF(grocery_chain_data[[#This Row],[Final Amount]]&lt;0,"Return","Sale")</f>
        <v>Sale</v>
      </c>
      <c r="M25">
        <f>IF(grocery_chain_data[[#This Row],[Final Amount]]&lt;0,0,grocery_chain_data[[#This Row],[Final Amount]])</f>
        <v>22</v>
      </c>
    </row>
    <row r="26" spans="1:13" x14ac:dyDescent="0.3">
      <c r="A26">
        <v>1711</v>
      </c>
      <c r="B26" t="s">
        <v>10</v>
      </c>
      <c r="C26" s="1">
        <v>45711</v>
      </c>
      <c r="D26" s="1" t="str">
        <f t="shared" si="0"/>
        <v>Produce</v>
      </c>
      <c r="E26" t="s">
        <v>4</v>
      </c>
      <c r="F26" s="2">
        <v>2</v>
      </c>
      <c r="G26" s="3">
        <v>22</v>
      </c>
      <c r="H26" s="3">
        <f>grocery_chain_data[[#This Row],[Quantity]]*grocery_chain_data[[#This Row],[Unit Price]]</f>
        <v>44</v>
      </c>
      <c r="I26" s="3">
        <v>9</v>
      </c>
      <c r="J26" s="3">
        <f>grocery_chain_data[[#This Row],[Total Amount]]-grocery_chain_data[[#This Row],[Discount Amount]]</f>
        <v>35</v>
      </c>
      <c r="K26">
        <v>451</v>
      </c>
      <c r="L26" t="str">
        <f>IF(grocery_chain_data[[#This Row],[Final Amount]]&lt;0,"Return","Sale")</f>
        <v>Sale</v>
      </c>
      <c r="M26">
        <f>IF(grocery_chain_data[[#This Row],[Final Amount]]&lt;0,0,grocery_chain_data[[#This Row],[Final Amount]])</f>
        <v>35</v>
      </c>
    </row>
    <row r="27" spans="1:13" x14ac:dyDescent="0.3">
      <c r="A27">
        <v>8527</v>
      </c>
      <c r="B27" t="s">
        <v>10</v>
      </c>
      <c r="C27" s="1">
        <v>45561</v>
      </c>
      <c r="D27" s="1" t="str">
        <f t="shared" si="0"/>
        <v>Dairy</v>
      </c>
      <c r="E27" t="s">
        <v>23</v>
      </c>
      <c r="F27" s="2">
        <v>1</v>
      </c>
      <c r="G27" s="3">
        <v>4</v>
      </c>
      <c r="H27" s="3">
        <f>grocery_chain_data[[#This Row],[Quantity]]*grocery_chain_data[[#This Row],[Unit Price]]</f>
        <v>4</v>
      </c>
      <c r="I27" s="3">
        <v>0</v>
      </c>
      <c r="J27" s="3">
        <f>grocery_chain_data[[#This Row],[Total Amount]]-grocery_chain_data[[#This Row],[Discount Amount]]</f>
        <v>4</v>
      </c>
      <c r="K27">
        <v>220</v>
      </c>
      <c r="L27" t="str">
        <f>IF(grocery_chain_data[[#This Row],[Final Amount]]&lt;0,"Return","Sale")</f>
        <v>Sale</v>
      </c>
      <c r="M27">
        <f>IF(grocery_chain_data[[#This Row],[Final Amount]]&lt;0,0,grocery_chain_data[[#This Row],[Final Amount]])</f>
        <v>4</v>
      </c>
    </row>
    <row r="28" spans="1:13" x14ac:dyDescent="0.3">
      <c r="A28">
        <v>3045</v>
      </c>
      <c r="B28" t="s">
        <v>8</v>
      </c>
      <c r="C28" s="1">
        <v>45861</v>
      </c>
      <c r="D28" s="1" t="str">
        <f t="shared" si="0"/>
        <v>Dairy</v>
      </c>
      <c r="E28" t="s">
        <v>19</v>
      </c>
      <c r="F28" s="2">
        <v>1</v>
      </c>
      <c r="G28" s="3">
        <v>3</v>
      </c>
      <c r="H28" s="3">
        <f>grocery_chain_data[[#This Row],[Quantity]]*grocery_chain_data[[#This Row],[Unit Price]]</f>
        <v>3</v>
      </c>
      <c r="I28" s="3">
        <v>2</v>
      </c>
      <c r="J28" s="3">
        <f>grocery_chain_data[[#This Row],[Total Amount]]-grocery_chain_data[[#This Row],[Discount Amount]]</f>
        <v>1</v>
      </c>
      <c r="K28">
        <v>372</v>
      </c>
      <c r="L28" t="str">
        <f>IF(grocery_chain_data[[#This Row],[Final Amount]]&lt;0,"Return","Sale")</f>
        <v>Sale</v>
      </c>
      <c r="M28">
        <f>IF(grocery_chain_data[[#This Row],[Final Amount]]&lt;0,0,grocery_chain_data[[#This Row],[Final Amount]])</f>
        <v>1</v>
      </c>
    </row>
    <row r="29" spans="1:13" x14ac:dyDescent="0.3">
      <c r="A29">
        <v>7201</v>
      </c>
      <c r="B29" t="s">
        <v>21</v>
      </c>
      <c r="C29" s="1">
        <v>45206</v>
      </c>
      <c r="D29" s="1" t="str">
        <f t="shared" si="0"/>
        <v>Meat &amp; Seafood</v>
      </c>
      <c r="E29" t="s">
        <v>15</v>
      </c>
      <c r="F29" s="2">
        <v>2</v>
      </c>
      <c r="G29" s="3">
        <v>13</v>
      </c>
      <c r="H29" s="3">
        <f>grocery_chain_data[[#This Row],[Quantity]]*grocery_chain_data[[#This Row],[Unit Price]]</f>
        <v>26</v>
      </c>
      <c r="I29" s="3">
        <v>5</v>
      </c>
      <c r="J29" s="3">
        <f>grocery_chain_data[[#This Row],[Total Amount]]-grocery_chain_data[[#This Row],[Discount Amount]]</f>
        <v>21</v>
      </c>
      <c r="K29">
        <v>142</v>
      </c>
      <c r="L29" t="str">
        <f>IF(grocery_chain_data[[#This Row],[Final Amount]]&lt;0,"Return","Sale")</f>
        <v>Sale</v>
      </c>
      <c r="M29">
        <f>IF(grocery_chain_data[[#This Row],[Final Amount]]&lt;0,0,grocery_chain_data[[#This Row],[Final Amount]])</f>
        <v>21</v>
      </c>
    </row>
    <row r="30" spans="1:13" x14ac:dyDescent="0.3">
      <c r="A30">
        <v>5803</v>
      </c>
      <c r="B30" t="s">
        <v>0</v>
      </c>
      <c r="C30" s="1">
        <v>45789</v>
      </c>
      <c r="D30" s="1" t="str">
        <f t="shared" si="0"/>
        <v>Produce</v>
      </c>
      <c r="E30" t="s">
        <v>4</v>
      </c>
      <c r="F30" s="2">
        <v>1</v>
      </c>
      <c r="G30" s="3">
        <v>2</v>
      </c>
      <c r="H30" s="3">
        <f>grocery_chain_data[[#This Row],[Quantity]]*grocery_chain_data[[#This Row],[Unit Price]]</f>
        <v>2</v>
      </c>
      <c r="I30" s="3">
        <v>5</v>
      </c>
      <c r="J30" s="3">
        <f>grocery_chain_data[[#This Row],[Total Amount]]-grocery_chain_data[[#This Row],[Discount Amount]]</f>
        <v>-3</v>
      </c>
      <c r="K30">
        <v>276</v>
      </c>
      <c r="L30" t="str">
        <f>IF(grocery_chain_data[[#This Row],[Final Amount]]&lt;0,"Return","Sale")</f>
        <v>Return</v>
      </c>
      <c r="M30">
        <f>IF(grocery_chain_data[[#This Row],[Final Amount]]&lt;0,0,grocery_chain_data[[#This Row],[Final Amount]])</f>
        <v>0</v>
      </c>
    </row>
    <row r="31" spans="1:13" x14ac:dyDescent="0.3">
      <c r="A31">
        <v>6925</v>
      </c>
      <c r="B31" t="s">
        <v>21</v>
      </c>
      <c r="C31" s="1">
        <v>45593</v>
      </c>
      <c r="D31" s="1" t="str">
        <f t="shared" si="0"/>
        <v>Dairy</v>
      </c>
      <c r="E31" t="s">
        <v>3</v>
      </c>
      <c r="F31" s="2">
        <v>4</v>
      </c>
      <c r="G31" s="3">
        <v>15</v>
      </c>
      <c r="H31" s="3">
        <f>grocery_chain_data[[#This Row],[Quantity]]*grocery_chain_data[[#This Row],[Unit Price]]</f>
        <v>60</v>
      </c>
      <c r="I31" s="3">
        <v>2</v>
      </c>
      <c r="J31" s="3">
        <f>grocery_chain_data[[#This Row],[Total Amount]]-grocery_chain_data[[#This Row],[Discount Amount]]</f>
        <v>58</v>
      </c>
      <c r="K31">
        <v>442</v>
      </c>
      <c r="L31" t="str">
        <f>IF(grocery_chain_data[[#This Row],[Final Amount]]&lt;0,"Return","Sale")</f>
        <v>Sale</v>
      </c>
      <c r="M31">
        <f>IF(grocery_chain_data[[#This Row],[Final Amount]]&lt;0,0,grocery_chain_data[[#This Row],[Final Amount]])</f>
        <v>58</v>
      </c>
    </row>
    <row r="32" spans="1:13" x14ac:dyDescent="0.3">
      <c r="A32">
        <v>4150</v>
      </c>
      <c r="B32" t="s">
        <v>13</v>
      </c>
      <c r="C32" s="1">
        <v>45692</v>
      </c>
      <c r="D32" s="1" t="str">
        <f t="shared" si="0"/>
        <v>Pantry</v>
      </c>
      <c r="E32" t="s">
        <v>1</v>
      </c>
      <c r="F32" s="2">
        <v>4</v>
      </c>
      <c r="G32" s="3">
        <v>9</v>
      </c>
      <c r="H32" s="3">
        <f>grocery_chain_data[[#This Row],[Quantity]]*grocery_chain_data[[#This Row],[Unit Price]]</f>
        <v>36</v>
      </c>
      <c r="I32" s="3">
        <v>7</v>
      </c>
      <c r="J32" s="3">
        <f>grocery_chain_data[[#This Row],[Total Amount]]-grocery_chain_data[[#This Row],[Discount Amount]]</f>
        <v>29</v>
      </c>
      <c r="K32">
        <v>356</v>
      </c>
      <c r="L32" t="str">
        <f>IF(grocery_chain_data[[#This Row],[Final Amount]]&lt;0,"Return","Sale")</f>
        <v>Sale</v>
      </c>
      <c r="M32">
        <f>IF(grocery_chain_data[[#This Row],[Final Amount]]&lt;0,0,grocery_chain_data[[#This Row],[Final Amount]])</f>
        <v>29</v>
      </c>
    </row>
    <row r="33" spans="1:13" x14ac:dyDescent="0.3">
      <c r="A33">
        <v>2139</v>
      </c>
      <c r="B33" t="s">
        <v>21</v>
      </c>
      <c r="C33" s="1">
        <v>45180</v>
      </c>
      <c r="D33" s="1" t="str">
        <f t="shared" si="0"/>
        <v>Dairy</v>
      </c>
      <c r="E33" t="s">
        <v>23</v>
      </c>
      <c r="F33" s="2">
        <v>1</v>
      </c>
      <c r="G33" s="3">
        <v>18</v>
      </c>
      <c r="H33" s="3">
        <f>grocery_chain_data[[#This Row],[Quantity]]*grocery_chain_data[[#This Row],[Unit Price]]</f>
        <v>18</v>
      </c>
      <c r="I33" s="3">
        <v>0</v>
      </c>
      <c r="J33" s="3">
        <f>grocery_chain_data[[#This Row],[Total Amount]]-grocery_chain_data[[#This Row],[Discount Amount]]</f>
        <v>18</v>
      </c>
      <c r="K33">
        <v>277</v>
      </c>
      <c r="L33" t="str">
        <f>IF(grocery_chain_data[[#This Row],[Final Amount]]&lt;0,"Return","Sale")</f>
        <v>Sale</v>
      </c>
      <c r="M33">
        <f>IF(grocery_chain_data[[#This Row],[Final Amount]]&lt;0,0,grocery_chain_data[[#This Row],[Final Amount]])</f>
        <v>18</v>
      </c>
    </row>
    <row r="34" spans="1:13" x14ac:dyDescent="0.3">
      <c r="A34">
        <v>4733</v>
      </c>
      <c r="B34" t="s">
        <v>16</v>
      </c>
      <c r="C34" s="1">
        <v>45745</v>
      </c>
      <c r="D34" s="1" t="str">
        <f t="shared" si="0"/>
        <v>Dairy</v>
      </c>
      <c r="E34" t="s">
        <v>19</v>
      </c>
      <c r="F34" s="2">
        <v>5</v>
      </c>
      <c r="G34" s="3">
        <v>15</v>
      </c>
      <c r="H34" s="3">
        <f>grocery_chain_data[[#This Row],[Quantity]]*grocery_chain_data[[#This Row],[Unit Price]]</f>
        <v>75</v>
      </c>
      <c r="I34" s="3">
        <v>5</v>
      </c>
      <c r="J34" s="3">
        <f>grocery_chain_data[[#This Row],[Total Amount]]-grocery_chain_data[[#This Row],[Discount Amount]]</f>
        <v>70</v>
      </c>
      <c r="K34">
        <v>470</v>
      </c>
      <c r="L34" t="str">
        <f>IF(grocery_chain_data[[#This Row],[Final Amount]]&lt;0,"Return","Sale")</f>
        <v>Sale</v>
      </c>
      <c r="M34">
        <f>IF(grocery_chain_data[[#This Row],[Final Amount]]&lt;0,0,grocery_chain_data[[#This Row],[Final Amount]])</f>
        <v>70</v>
      </c>
    </row>
    <row r="35" spans="1:13" x14ac:dyDescent="0.3">
      <c r="A35">
        <v>5741</v>
      </c>
      <c r="B35" t="s">
        <v>0</v>
      </c>
      <c r="C35" s="1">
        <v>45206</v>
      </c>
      <c r="D35" s="1" t="str">
        <f t="shared" si="0"/>
        <v>Bakery</v>
      </c>
      <c r="E35" t="s">
        <v>22</v>
      </c>
      <c r="F35" s="2">
        <v>5</v>
      </c>
      <c r="G35" s="3">
        <v>3</v>
      </c>
      <c r="H35" s="3">
        <f>grocery_chain_data[[#This Row],[Quantity]]*grocery_chain_data[[#This Row],[Unit Price]]</f>
        <v>15</v>
      </c>
      <c r="I35" s="3">
        <v>1</v>
      </c>
      <c r="J35" s="3">
        <f>grocery_chain_data[[#This Row],[Total Amount]]-grocery_chain_data[[#This Row],[Discount Amount]]</f>
        <v>14</v>
      </c>
      <c r="K35">
        <v>441</v>
      </c>
      <c r="L35" t="str">
        <f>IF(grocery_chain_data[[#This Row],[Final Amount]]&lt;0,"Return","Sale")</f>
        <v>Sale</v>
      </c>
      <c r="M35">
        <f>IF(grocery_chain_data[[#This Row],[Final Amount]]&lt;0,0,grocery_chain_data[[#This Row],[Final Amount]])</f>
        <v>14</v>
      </c>
    </row>
    <row r="36" spans="1:13" x14ac:dyDescent="0.3">
      <c r="A36">
        <v>4814</v>
      </c>
      <c r="B36" t="s">
        <v>0</v>
      </c>
      <c r="C36" s="1">
        <v>45818</v>
      </c>
      <c r="D36" s="1" t="str">
        <f t="shared" si="0"/>
        <v>Meat &amp; Seafood</v>
      </c>
      <c r="E36" t="s">
        <v>9</v>
      </c>
      <c r="F36" s="2">
        <v>5</v>
      </c>
      <c r="G36" s="3">
        <v>18</v>
      </c>
      <c r="H36" s="3">
        <f>grocery_chain_data[[#This Row],[Quantity]]*grocery_chain_data[[#This Row],[Unit Price]]</f>
        <v>90</v>
      </c>
      <c r="I36" s="3">
        <v>9</v>
      </c>
      <c r="J36" s="3">
        <f>grocery_chain_data[[#This Row],[Total Amount]]-grocery_chain_data[[#This Row],[Discount Amount]]</f>
        <v>81</v>
      </c>
      <c r="K36">
        <v>317</v>
      </c>
      <c r="L36" t="str">
        <f>IF(grocery_chain_data[[#This Row],[Final Amount]]&lt;0,"Return","Sale")</f>
        <v>Sale</v>
      </c>
      <c r="M36">
        <f>IF(grocery_chain_data[[#This Row],[Final Amount]]&lt;0,0,grocery_chain_data[[#This Row],[Final Amount]])</f>
        <v>81</v>
      </c>
    </row>
    <row r="37" spans="1:13" x14ac:dyDescent="0.3">
      <c r="A37">
        <v>2654</v>
      </c>
      <c r="B37" t="s">
        <v>2</v>
      </c>
      <c r="C37" s="1">
        <v>45440</v>
      </c>
      <c r="D37" s="1" t="str">
        <f t="shared" si="0"/>
        <v>Pantry</v>
      </c>
      <c r="E37" t="s">
        <v>1</v>
      </c>
      <c r="F37" s="2">
        <v>2</v>
      </c>
      <c r="G37" s="3">
        <v>20</v>
      </c>
      <c r="H37" s="3">
        <f>grocery_chain_data[[#This Row],[Quantity]]*grocery_chain_data[[#This Row],[Unit Price]]</f>
        <v>40</v>
      </c>
      <c r="I37" s="3">
        <v>6</v>
      </c>
      <c r="J37" s="3">
        <f>grocery_chain_data[[#This Row],[Total Amount]]-grocery_chain_data[[#This Row],[Discount Amount]]</f>
        <v>34</v>
      </c>
      <c r="K37">
        <v>160</v>
      </c>
      <c r="L37" t="str">
        <f>IF(grocery_chain_data[[#This Row],[Final Amount]]&lt;0,"Return","Sale")</f>
        <v>Sale</v>
      </c>
      <c r="M37">
        <f>IF(grocery_chain_data[[#This Row],[Final Amount]]&lt;0,0,grocery_chain_data[[#This Row],[Final Amount]])</f>
        <v>34</v>
      </c>
    </row>
    <row r="38" spans="1:13" x14ac:dyDescent="0.3">
      <c r="A38">
        <v>5554</v>
      </c>
      <c r="B38" t="s">
        <v>8</v>
      </c>
      <c r="C38" s="1">
        <v>45497</v>
      </c>
      <c r="D38" s="1" t="str">
        <f t="shared" si="0"/>
        <v>Produce</v>
      </c>
      <c r="E38" t="s">
        <v>17</v>
      </c>
      <c r="F38" s="2">
        <v>4</v>
      </c>
      <c r="G38" s="3">
        <v>10</v>
      </c>
      <c r="H38" s="3">
        <f>grocery_chain_data[[#This Row],[Quantity]]*grocery_chain_data[[#This Row],[Unit Price]]</f>
        <v>40</v>
      </c>
      <c r="I38" s="3">
        <v>3</v>
      </c>
      <c r="J38" s="3">
        <f>grocery_chain_data[[#This Row],[Total Amount]]-grocery_chain_data[[#This Row],[Discount Amount]]</f>
        <v>37</v>
      </c>
      <c r="K38">
        <v>384</v>
      </c>
      <c r="L38" t="str">
        <f>IF(grocery_chain_data[[#This Row],[Final Amount]]&lt;0,"Return","Sale")</f>
        <v>Sale</v>
      </c>
      <c r="M38">
        <f>IF(grocery_chain_data[[#This Row],[Final Amount]]&lt;0,0,grocery_chain_data[[#This Row],[Final Amount]])</f>
        <v>37</v>
      </c>
    </row>
    <row r="39" spans="1:13" x14ac:dyDescent="0.3">
      <c r="A39">
        <v>6977</v>
      </c>
      <c r="B39" t="s">
        <v>0</v>
      </c>
      <c r="C39" s="1">
        <v>45271</v>
      </c>
      <c r="D39" s="1" t="str">
        <f t="shared" si="0"/>
        <v>Produce</v>
      </c>
      <c r="E39" t="s">
        <v>4</v>
      </c>
      <c r="F39" s="2">
        <v>2</v>
      </c>
      <c r="G39" s="3">
        <v>16</v>
      </c>
      <c r="H39" s="3">
        <f>grocery_chain_data[[#This Row],[Quantity]]*grocery_chain_data[[#This Row],[Unit Price]]</f>
        <v>32</v>
      </c>
      <c r="I39" s="3">
        <v>5</v>
      </c>
      <c r="J39" s="3">
        <f>grocery_chain_data[[#This Row],[Total Amount]]-grocery_chain_data[[#This Row],[Discount Amount]]</f>
        <v>27</v>
      </c>
      <c r="K39">
        <v>67</v>
      </c>
      <c r="L39" t="str">
        <f>IF(grocery_chain_data[[#This Row],[Final Amount]]&lt;0,"Return","Sale")</f>
        <v>Sale</v>
      </c>
      <c r="M39">
        <f>IF(grocery_chain_data[[#This Row],[Final Amount]]&lt;0,0,grocery_chain_data[[#This Row],[Final Amount]])</f>
        <v>27</v>
      </c>
    </row>
    <row r="40" spans="1:13" x14ac:dyDescent="0.3">
      <c r="A40">
        <v>7065</v>
      </c>
      <c r="B40" t="s">
        <v>16</v>
      </c>
      <c r="C40" s="1">
        <v>45420</v>
      </c>
      <c r="D40" s="1" t="str">
        <f t="shared" si="0"/>
        <v>Produce</v>
      </c>
      <c r="E40" t="s">
        <v>11</v>
      </c>
      <c r="F40" s="2">
        <v>4</v>
      </c>
      <c r="G40" s="3">
        <v>25</v>
      </c>
      <c r="H40" s="3">
        <f>grocery_chain_data[[#This Row],[Quantity]]*grocery_chain_data[[#This Row],[Unit Price]]</f>
        <v>100</v>
      </c>
      <c r="I40" s="3">
        <v>5</v>
      </c>
      <c r="J40" s="3">
        <f>grocery_chain_data[[#This Row],[Total Amount]]-grocery_chain_data[[#This Row],[Discount Amount]]</f>
        <v>95</v>
      </c>
      <c r="K40">
        <v>360</v>
      </c>
      <c r="L40" t="str">
        <f>IF(grocery_chain_data[[#This Row],[Final Amount]]&lt;0,"Return","Sale")</f>
        <v>Sale</v>
      </c>
      <c r="M40">
        <f>IF(grocery_chain_data[[#This Row],[Final Amount]]&lt;0,0,grocery_chain_data[[#This Row],[Final Amount]])</f>
        <v>95</v>
      </c>
    </row>
    <row r="41" spans="1:13" x14ac:dyDescent="0.3">
      <c r="A41">
        <v>4432</v>
      </c>
      <c r="B41" t="s">
        <v>2</v>
      </c>
      <c r="C41" s="1">
        <v>45665</v>
      </c>
      <c r="D41" s="1" t="str">
        <f t="shared" si="0"/>
        <v>Produce</v>
      </c>
      <c r="E41" t="s">
        <v>4</v>
      </c>
      <c r="F41" s="2">
        <v>3</v>
      </c>
      <c r="G41" s="3">
        <v>28</v>
      </c>
      <c r="H41" s="3">
        <f>grocery_chain_data[[#This Row],[Quantity]]*grocery_chain_data[[#This Row],[Unit Price]]</f>
        <v>84</v>
      </c>
      <c r="I41" s="3">
        <v>13</v>
      </c>
      <c r="J41" s="3">
        <f>grocery_chain_data[[#This Row],[Total Amount]]-grocery_chain_data[[#This Row],[Discount Amount]]</f>
        <v>71</v>
      </c>
      <c r="K41">
        <v>53</v>
      </c>
      <c r="L41" t="str">
        <f>IF(grocery_chain_data[[#This Row],[Final Amount]]&lt;0,"Return","Sale")</f>
        <v>Sale</v>
      </c>
      <c r="M41">
        <f>IF(grocery_chain_data[[#This Row],[Final Amount]]&lt;0,0,grocery_chain_data[[#This Row],[Final Amount]])</f>
        <v>71</v>
      </c>
    </row>
    <row r="42" spans="1:13" x14ac:dyDescent="0.3">
      <c r="A42">
        <v>5374</v>
      </c>
      <c r="B42" t="s">
        <v>0</v>
      </c>
      <c r="C42" s="1">
        <v>45690</v>
      </c>
      <c r="D42" s="1" t="str">
        <f t="shared" si="0"/>
        <v>Produce</v>
      </c>
      <c r="E42" t="s">
        <v>4</v>
      </c>
      <c r="F42" s="2">
        <v>2</v>
      </c>
      <c r="G42" s="3">
        <v>9</v>
      </c>
      <c r="H42" s="3">
        <f>grocery_chain_data[[#This Row],[Quantity]]*grocery_chain_data[[#This Row],[Unit Price]]</f>
        <v>18</v>
      </c>
      <c r="I42" s="3">
        <v>0</v>
      </c>
      <c r="J42" s="3">
        <f>grocery_chain_data[[#This Row],[Total Amount]]-grocery_chain_data[[#This Row],[Discount Amount]]</f>
        <v>18</v>
      </c>
      <c r="K42">
        <v>309</v>
      </c>
      <c r="L42" t="str">
        <f>IF(grocery_chain_data[[#This Row],[Final Amount]]&lt;0,"Return","Sale")</f>
        <v>Sale</v>
      </c>
      <c r="M42">
        <f>IF(grocery_chain_data[[#This Row],[Final Amount]]&lt;0,0,grocery_chain_data[[#This Row],[Final Amount]])</f>
        <v>18</v>
      </c>
    </row>
    <row r="43" spans="1:13" x14ac:dyDescent="0.3">
      <c r="A43">
        <v>2169</v>
      </c>
      <c r="B43" t="s">
        <v>16</v>
      </c>
      <c r="C43" s="1">
        <v>45618</v>
      </c>
      <c r="D43" s="1" t="str">
        <f t="shared" si="0"/>
        <v>Pantry</v>
      </c>
      <c r="E43" t="s">
        <v>1</v>
      </c>
      <c r="F43" s="2">
        <v>5</v>
      </c>
      <c r="G43" s="3">
        <v>15</v>
      </c>
      <c r="H43" s="3">
        <f>grocery_chain_data[[#This Row],[Quantity]]*grocery_chain_data[[#This Row],[Unit Price]]</f>
        <v>75</v>
      </c>
      <c r="I43" s="3">
        <v>4</v>
      </c>
      <c r="J43" s="3">
        <f>grocery_chain_data[[#This Row],[Total Amount]]-grocery_chain_data[[#This Row],[Discount Amount]]</f>
        <v>71</v>
      </c>
      <c r="K43">
        <v>463</v>
      </c>
      <c r="L43" t="str">
        <f>IF(grocery_chain_data[[#This Row],[Final Amount]]&lt;0,"Return","Sale")</f>
        <v>Sale</v>
      </c>
      <c r="M43">
        <f>IF(grocery_chain_data[[#This Row],[Final Amount]]&lt;0,0,grocery_chain_data[[#This Row],[Final Amount]])</f>
        <v>71</v>
      </c>
    </row>
    <row r="44" spans="1:13" x14ac:dyDescent="0.3">
      <c r="A44">
        <v>3803</v>
      </c>
      <c r="B44" t="s">
        <v>12</v>
      </c>
      <c r="C44" s="1">
        <v>45559</v>
      </c>
      <c r="D44" s="1" t="str">
        <f t="shared" si="0"/>
        <v>Produce</v>
      </c>
      <c r="E44" t="s">
        <v>18</v>
      </c>
      <c r="F44" s="2">
        <v>3</v>
      </c>
      <c r="G44" s="3">
        <v>23</v>
      </c>
      <c r="H44" s="3">
        <f>grocery_chain_data[[#This Row],[Quantity]]*grocery_chain_data[[#This Row],[Unit Price]]</f>
        <v>69</v>
      </c>
      <c r="I44" s="3">
        <v>14</v>
      </c>
      <c r="J44" s="3">
        <f>grocery_chain_data[[#This Row],[Total Amount]]-grocery_chain_data[[#This Row],[Discount Amount]]</f>
        <v>55</v>
      </c>
      <c r="K44">
        <v>326</v>
      </c>
      <c r="L44" t="str">
        <f>IF(grocery_chain_data[[#This Row],[Final Amount]]&lt;0,"Return","Sale")</f>
        <v>Sale</v>
      </c>
      <c r="M44">
        <f>IF(grocery_chain_data[[#This Row],[Final Amount]]&lt;0,0,grocery_chain_data[[#This Row],[Final Amount]])</f>
        <v>55</v>
      </c>
    </row>
    <row r="45" spans="1:13" x14ac:dyDescent="0.3">
      <c r="A45">
        <v>5010</v>
      </c>
      <c r="B45" t="s">
        <v>10</v>
      </c>
      <c r="C45" s="1">
        <v>45271</v>
      </c>
      <c r="D45" s="1" t="str">
        <f t="shared" si="0"/>
        <v>Dairy</v>
      </c>
      <c r="E45" t="s">
        <v>3</v>
      </c>
      <c r="F45" s="2">
        <v>5</v>
      </c>
      <c r="G45" s="3">
        <v>1</v>
      </c>
      <c r="H45" s="3">
        <f>grocery_chain_data[[#This Row],[Quantity]]*grocery_chain_data[[#This Row],[Unit Price]]</f>
        <v>5</v>
      </c>
      <c r="I45" s="3">
        <v>1</v>
      </c>
      <c r="J45" s="3">
        <f>grocery_chain_data[[#This Row],[Total Amount]]-grocery_chain_data[[#This Row],[Discount Amount]]</f>
        <v>4</v>
      </c>
      <c r="K45">
        <v>38</v>
      </c>
      <c r="L45" t="str">
        <f>IF(grocery_chain_data[[#This Row],[Final Amount]]&lt;0,"Return","Sale")</f>
        <v>Sale</v>
      </c>
      <c r="M45">
        <f>IF(grocery_chain_data[[#This Row],[Final Amount]]&lt;0,0,grocery_chain_data[[#This Row],[Final Amount]])</f>
        <v>4</v>
      </c>
    </row>
    <row r="46" spans="1:13" x14ac:dyDescent="0.3">
      <c r="A46">
        <v>8573</v>
      </c>
      <c r="B46" t="s">
        <v>16</v>
      </c>
      <c r="C46" s="1">
        <v>45439</v>
      </c>
      <c r="D46" s="1" t="str">
        <f t="shared" si="0"/>
        <v>Produce</v>
      </c>
      <c r="E46" t="s">
        <v>4</v>
      </c>
      <c r="F46" s="2">
        <v>2</v>
      </c>
      <c r="G46" s="3">
        <v>13</v>
      </c>
      <c r="H46" s="3">
        <f>grocery_chain_data[[#This Row],[Quantity]]*grocery_chain_data[[#This Row],[Unit Price]]</f>
        <v>26</v>
      </c>
      <c r="I46" s="3">
        <v>4</v>
      </c>
      <c r="J46" s="3">
        <f>grocery_chain_data[[#This Row],[Total Amount]]-grocery_chain_data[[#This Row],[Discount Amount]]</f>
        <v>22</v>
      </c>
      <c r="K46">
        <v>21</v>
      </c>
      <c r="L46" t="str">
        <f>IF(grocery_chain_data[[#This Row],[Final Amount]]&lt;0,"Return","Sale")</f>
        <v>Sale</v>
      </c>
      <c r="M46">
        <f>IF(grocery_chain_data[[#This Row],[Final Amount]]&lt;0,0,grocery_chain_data[[#This Row],[Final Amount]])</f>
        <v>22</v>
      </c>
    </row>
    <row r="47" spans="1:13" x14ac:dyDescent="0.3">
      <c r="A47">
        <v>5422</v>
      </c>
      <c r="B47" t="s">
        <v>13</v>
      </c>
      <c r="C47" s="1">
        <v>45863</v>
      </c>
      <c r="D47" s="1" t="str">
        <f t="shared" si="0"/>
        <v>Dairy</v>
      </c>
      <c r="E47" t="s">
        <v>23</v>
      </c>
      <c r="F47" s="2">
        <v>2</v>
      </c>
      <c r="G47" s="3">
        <v>20</v>
      </c>
      <c r="H47" s="3">
        <f>grocery_chain_data[[#This Row],[Quantity]]*grocery_chain_data[[#This Row],[Unit Price]]</f>
        <v>40</v>
      </c>
      <c r="I47" s="3">
        <v>4</v>
      </c>
      <c r="J47" s="3">
        <f>grocery_chain_data[[#This Row],[Total Amount]]-grocery_chain_data[[#This Row],[Discount Amount]]</f>
        <v>36</v>
      </c>
      <c r="K47">
        <v>181</v>
      </c>
      <c r="L47" t="str">
        <f>IF(grocery_chain_data[[#This Row],[Final Amount]]&lt;0,"Return","Sale")</f>
        <v>Sale</v>
      </c>
      <c r="M47">
        <f>IF(grocery_chain_data[[#This Row],[Final Amount]]&lt;0,0,grocery_chain_data[[#This Row],[Final Amount]])</f>
        <v>36</v>
      </c>
    </row>
    <row r="48" spans="1:13" x14ac:dyDescent="0.3">
      <c r="A48">
        <v>4598</v>
      </c>
      <c r="B48" t="s">
        <v>21</v>
      </c>
      <c r="C48" s="1">
        <v>45676</v>
      </c>
      <c r="D48" s="1" t="str">
        <f t="shared" si="0"/>
        <v>Produce</v>
      </c>
      <c r="E48" t="s">
        <v>11</v>
      </c>
      <c r="F48" s="2">
        <v>4</v>
      </c>
      <c r="G48" s="3">
        <v>2</v>
      </c>
      <c r="H48" s="3">
        <f>grocery_chain_data[[#This Row],[Quantity]]*grocery_chain_data[[#This Row],[Unit Price]]</f>
        <v>8</v>
      </c>
      <c r="I48" s="3">
        <v>1</v>
      </c>
      <c r="J48" s="3">
        <f>grocery_chain_data[[#This Row],[Total Amount]]-grocery_chain_data[[#This Row],[Discount Amount]]</f>
        <v>7</v>
      </c>
      <c r="K48">
        <v>377</v>
      </c>
      <c r="L48" t="str">
        <f>IF(grocery_chain_data[[#This Row],[Final Amount]]&lt;0,"Return","Sale")</f>
        <v>Sale</v>
      </c>
      <c r="M48">
        <f>IF(grocery_chain_data[[#This Row],[Final Amount]]&lt;0,0,grocery_chain_data[[#This Row],[Final Amount]])</f>
        <v>7</v>
      </c>
    </row>
    <row r="49" spans="1:13" x14ac:dyDescent="0.3">
      <c r="A49">
        <v>6313</v>
      </c>
      <c r="B49" t="s">
        <v>21</v>
      </c>
      <c r="C49" s="1">
        <v>45799</v>
      </c>
      <c r="D49" s="1" t="str">
        <f t="shared" si="0"/>
        <v>Produce</v>
      </c>
      <c r="E49" t="s">
        <v>11</v>
      </c>
      <c r="F49" s="2">
        <v>1</v>
      </c>
      <c r="G49" s="3">
        <v>12</v>
      </c>
      <c r="H49" s="3">
        <f>grocery_chain_data[[#This Row],[Quantity]]*grocery_chain_data[[#This Row],[Unit Price]]</f>
        <v>12</v>
      </c>
      <c r="I49" s="3">
        <v>2</v>
      </c>
      <c r="J49" s="3">
        <f>grocery_chain_data[[#This Row],[Total Amount]]-grocery_chain_data[[#This Row],[Discount Amount]]</f>
        <v>10</v>
      </c>
      <c r="K49">
        <v>19</v>
      </c>
      <c r="L49" t="str">
        <f>IF(grocery_chain_data[[#This Row],[Final Amount]]&lt;0,"Return","Sale")</f>
        <v>Sale</v>
      </c>
      <c r="M49">
        <f>IF(grocery_chain_data[[#This Row],[Final Amount]]&lt;0,0,grocery_chain_data[[#This Row],[Final Amount]])</f>
        <v>10</v>
      </c>
    </row>
    <row r="50" spans="1:13" x14ac:dyDescent="0.3">
      <c r="A50">
        <v>1916</v>
      </c>
      <c r="B50" t="s">
        <v>21</v>
      </c>
      <c r="C50" s="1">
        <v>45322</v>
      </c>
      <c r="D50" s="1" t="str">
        <f t="shared" si="0"/>
        <v>Beverages</v>
      </c>
      <c r="E50" t="s">
        <v>7</v>
      </c>
      <c r="F50" s="2">
        <v>3</v>
      </c>
      <c r="G50" s="3">
        <v>25</v>
      </c>
      <c r="H50" s="3">
        <f>grocery_chain_data[[#This Row],[Quantity]]*grocery_chain_data[[#This Row],[Unit Price]]</f>
        <v>75</v>
      </c>
      <c r="I50" s="3">
        <v>15</v>
      </c>
      <c r="J50" s="3">
        <f>grocery_chain_data[[#This Row],[Total Amount]]-grocery_chain_data[[#This Row],[Discount Amount]]</f>
        <v>60</v>
      </c>
      <c r="K50">
        <v>446</v>
      </c>
      <c r="L50" t="str">
        <f>IF(grocery_chain_data[[#This Row],[Final Amount]]&lt;0,"Return","Sale")</f>
        <v>Sale</v>
      </c>
      <c r="M50">
        <f>IF(grocery_chain_data[[#This Row],[Final Amount]]&lt;0,0,grocery_chain_data[[#This Row],[Final Amount]])</f>
        <v>60</v>
      </c>
    </row>
    <row r="51" spans="1:13" x14ac:dyDescent="0.3">
      <c r="A51">
        <v>1525</v>
      </c>
      <c r="B51" t="s">
        <v>13</v>
      </c>
      <c r="C51" s="1">
        <v>45770</v>
      </c>
      <c r="D51" s="1" t="str">
        <f t="shared" si="0"/>
        <v>Dairy</v>
      </c>
      <c r="E51" t="s">
        <v>23</v>
      </c>
      <c r="F51" s="2">
        <v>4</v>
      </c>
      <c r="G51" s="3">
        <v>11</v>
      </c>
      <c r="H51" s="3">
        <f>grocery_chain_data[[#This Row],[Quantity]]*grocery_chain_data[[#This Row],[Unit Price]]</f>
        <v>44</v>
      </c>
      <c r="I51" s="3">
        <v>6</v>
      </c>
      <c r="J51" s="3">
        <f>grocery_chain_data[[#This Row],[Total Amount]]-grocery_chain_data[[#This Row],[Discount Amount]]</f>
        <v>38</v>
      </c>
      <c r="K51">
        <v>442</v>
      </c>
      <c r="L51" t="str">
        <f>IF(grocery_chain_data[[#This Row],[Final Amount]]&lt;0,"Return","Sale")</f>
        <v>Sale</v>
      </c>
      <c r="M51">
        <f>IF(grocery_chain_data[[#This Row],[Final Amount]]&lt;0,0,grocery_chain_data[[#This Row],[Final Amount]])</f>
        <v>38</v>
      </c>
    </row>
    <row r="52" spans="1:13" x14ac:dyDescent="0.3">
      <c r="A52">
        <v>6168</v>
      </c>
      <c r="B52" t="s">
        <v>16</v>
      </c>
      <c r="C52" s="1">
        <v>45456</v>
      </c>
      <c r="D52" s="1" t="str">
        <f t="shared" si="0"/>
        <v>Produce</v>
      </c>
      <c r="E52" t="s">
        <v>24</v>
      </c>
      <c r="F52" s="2">
        <v>4</v>
      </c>
      <c r="G52" s="3">
        <v>21</v>
      </c>
      <c r="H52" s="3">
        <f>grocery_chain_data[[#This Row],[Quantity]]*grocery_chain_data[[#This Row],[Unit Price]]</f>
        <v>84</v>
      </c>
      <c r="I52" s="3">
        <v>1</v>
      </c>
      <c r="J52" s="3">
        <f>grocery_chain_data[[#This Row],[Total Amount]]-grocery_chain_data[[#This Row],[Discount Amount]]</f>
        <v>83</v>
      </c>
      <c r="K52">
        <v>431</v>
      </c>
      <c r="L52" t="str">
        <f>IF(grocery_chain_data[[#This Row],[Final Amount]]&lt;0,"Return","Sale")</f>
        <v>Sale</v>
      </c>
      <c r="M52">
        <f>IF(grocery_chain_data[[#This Row],[Final Amount]]&lt;0,0,grocery_chain_data[[#This Row],[Final Amount]])</f>
        <v>83</v>
      </c>
    </row>
    <row r="53" spans="1:13" x14ac:dyDescent="0.3">
      <c r="A53">
        <v>5386</v>
      </c>
      <c r="B53" t="s">
        <v>12</v>
      </c>
      <c r="C53" s="1">
        <v>45196</v>
      </c>
      <c r="D53" s="1" t="str">
        <f t="shared" si="0"/>
        <v>Pantry</v>
      </c>
      <c r="E53" t="s">
        <v>1</v>
      </c>
      <c r="F53" s="2">
        <v>1</v>
      </c>
      <c r="G53" s="3">
        <v>4</v>
      </c>
      <c r="H53" s="3">
        <f>grocery_chain_data[[#This Row],[Quantity]]*grocery_chain_data[[#This Row],[Unit Price]]</f>
        <v>4</v>
      </c>
      <c r="I53" s="3">
        <v>0</v>
      </c>
      <c r="J53" s="3">
        <f>grocery_chain_data[[#This Row],[Total Amount]]-grocery_chain_data[[#This Row],[Discount Amount]]</f>
        <v>4</v>
      </c>
      <c r="K53">
        <v>222</v>
      </c>
      <c r="L53" t="str">
        <f>IF(grocery_chain_data[[#This Row],[Final Amount]]&lt;0,"Return","Sale")</f>
        <v>Sale</v>
      </c>
      <c r="M53">
        <f>IF(grocery_chain_data[[#This Row],[Final Amount]]&lt;0,0,grocery_chain_data[[#This Row],[Final Amount]])</f>
        <v>4</v>
      </c>
    </row>
    <row r="54" spans="1:13" x14ac:dyDescent="0.3">
      <c r="A54">
        <v>4456</v>
      </c>
      <c r="B54" t="s">
        <v>16</v>
      </c>
      <c r="C54" s="1">
        <v>45854</v>
      </c>
      <c r="D54" s="1" t="str">
        <f t="shared" si="0"/>
        <v>Produce</v>
      </c>
      <c r="E54" t="s">
        <v>24</v>
      </c>
      <c r="F54" s="2">
        <v>1</v>
      </c>
      <c r="G54" s="3">
        <v>12</v>
      </c>
      <c r="H54" s="3">
        <f>grocery_chain_data[[#This Row],[Quantity]]*grocery_chain_data[[#This Row],[Unit Price]]</f>
        <v>12</v>
      </c>
      <c r="I54" s="3">
        <v>2</v>
      </c>
      <c r="J54" s="3">
        <f>grocery_chain_data[[#This Row],[Total Amount]]-grocery_chain_data[[#This Row],[Discount Amount]]</f>
        <v>10</v>
      </c>
      <c r="K54">
        <v>295</v>
      </c>
      <c r="L54" t="str">
        <f>IF(grocery_chain_data[[#This Row],[Final Amount]]&lt;0,"Return","Sale")</f>
        <v>Sale</v>
      </c>
      <c r="M54">
        <f>IF(grocery_chain_data[[#This Row],[Final Amount]]&lt;0,0,grocery_chain_data[[#This Row],[Final Amount]])</f>
        <v>10</v>
      </c>
    </row>
    <row r="55" spans="1:13" x14ac:dyDescent="0.3">
      <c r="A55">
        <v>6155</v>
      </c>
      <c r="B55" t="s">
        <v>13</v>
      </c>
      <c r="C55" s="1">
        <v>45310</v>
      </c>
      <c r="D55" s="1" t="str">
        <f t="shared" si="0"/>
        <v>Produce</v>
      </c>
      <c r="E55" t="s">
        <v>18</v>
      </c>
      <c r="F55" s="2">
        <v>5</v>
      </c>
      <c r="G55" s="3">
        <v>28</v>
      </c>
      <c r="H55" s="3">
        <f>grocery_chain_data[[#This Row],[Quantity]]*grocery_chain_data[[#This Row],[Unit Price]]</f>
        <v>140</v>
      </c>
      <c r="I55" s="3">
        <v>21</v>
      </c>
      <c r="J55" s="3">
        <f>grocery_chain_data[[#This Row],[Total Amount]]-grocery_chain_data[[#This Row],[Discount Amount]]</f>
        <v>119</v>
      </c>
      <c r="K55">
        <v>275</v>
      </c>
      <c r="L55" t="str">
        <f>IF(grocery_chain_data[[#This Row],[Final Amount]]&lt;0,"Return","Sale")</f>
        <v>Sale</v>
      </c>
      <c r="M55">
        <f>IF(grocery_chain_data[[#This Row],[Final Amount]]&lt;0,0,grocery_chain_data[[#This Row],[Final Amount]])</f>
        <v>119</v>
      </c>
    </row>
    <row r="56" spans="1:13" x14ac:dyDescent="0.3">
      <c r="A56">
        <v>9179</v>
      </c>
      <c r="B56" t="s">
        <v>8</v>
      </c>
      <c r="C56" s="1">
        <v>45452</v>
      </c>
      <c r="D56" s="1" t="str">
        <f t="shared" si="0"/>
        <v>Pantry</v>
      </c>
      <c r="E56" t="s">
        <v>6</v>
      </c>
      <c r="F56" s="2">
        <v>5</v>
      </c>
      <c r="G56" s="3">
        <v>10</v>
      </c>
      <c r="H56" s="3">
        <f>grocery_chain_data[[#This Row],[Quantity]]*grocery_chain_data[[#This Row],[Unit Price]]</f>
        <v>50</v>
      </c>
      <c r="I56" s="3">
        <v>0</v>
      </c>
      <c r="J56" s="3">
        <f>grocery_chain_data[[#This Row],[Total Amount]]-grocery_chain_data[[#This Row],[Discount Amount]]</f>
        <v>50</v>
      </c>
      <c r="K56">
        <v>434</v>
      </c>
      <c r="L56" t="str">
        <f>IF(grocery_chain_data[[#This Row],[Final Amount]]&lt;0,"Return","Sale")</f>
        <v>Sale</v>
      </c>
      <c r="M56">
        <f>IF(grocery_chain_data[[#This Row],[Final Amount]]&lt;0,0,grocery_chain_data[[#This Row],[Final Amount]])</f>
        <v>50</v>
      </c>
    </row>
    <row r="57" spans="1:13" x14ac:dyDescent="0.3">
      <c r="A57">
        <v>8517</v>
      </c>
      <c r="B57" t="s">
        <v>12</v>
      </c>
      <c r="C57" s="1">
        <v>45255</v>
      </c>
      <c r="D57" s="1" t="str">
        <f t="shared" si="0"/>
        <v>Produce</v>
      </c>
      <c r="E57" t="s">
        <v>17</v>
      </c>
      <c r="F57" s="2">
        <v>4</v>
      </c>
      <c r="G57" s="3">
        <v>10</v>
      </c>
      <c r="H57" s="3">
        <f>grocery_chain_data[[#This Row],[Quantity]]*grocery_chain_data[[#This Row],[Unit Price]]</f>
        <v>40</v>
      </c>
      <c r="I57" s="3">
        <v>2</v>
      </c>
      <c r="J57" s="3">
        <f>grocery_chain_data[[#This Row],[Total Amount]]-grocery_chain_data[[#This Row],[Discount Amount]]</f>
        <v>38</v>
      </c>
      <c r="K57">
        <v>356</v>
      </c>
      <c r="L57" t="str">
        <f>IF(grocery_chain_data[[#This Row],[Final Amount]]&lt;0,"Return","Sale")</f>
        <v>Sale</v>
      </c>
      <c r="M57">
        <f>IF(grocery_chain_data[[#This Row],[Final Amount]]&lt;0,0,grocery_chain_data[[#This Row],[Final Amount]])</f>
        <v>38</v>
      </c>
    </row>
    <row r="58" spans="1:13" x14ac:dyDescent="0.3">
      <c r="A58">
        <v>5339</v>
      </c>
      <c r="B58" t="s">
        <v>8</v>
      </c>
      <c r="C58" s="1">
        <v>45253</v>
      </c>
      <c r="D58" s="1" t="str">
        <f t="shared" si="0"/>
        <v>Produce</v>
      </c>
      <c r="E58" t="s">
        <v>14</v>
      </c>
      <c r="F58" s="2">
        <v>2</v>
      </c>
      <c r="G58" s="3">
        <v>19</v>
      </c>
      <c r="H58" s="3">
        <f>grocery_chain_data[[#This Row],[Quantity]]*grocery_chain_data[[#This Row],[Unit Price]]</f>
        <v>38</v>
      </c>
      <c r="I58" s="3">
        <v>4</v>
      </c>
      <c r="J58" s="3">
        <f>grocery_chain_data[[#This Row],[Total Amount]]-grocery_chain_data[[#This Row],[Discount Amount]]</f>
        <v>34</v>
      </c>
      <c r="K58">
        <v>154</v>
      </c>
      <c r="L58" t="str">
        <f>IF(grocery_chain_data[[#This Row],[Final Amount]]&lt;0,"Return","Sale")</f>
        <v>Sale</v>
      </c>
      <c r="M58">
        <f>IF(grocery_chain_data[[#This Row],[Final Amount]]&lt;0,0,grocery_chain_data[[#This Row],[Final Amount]])</f>
        <v>34</v>
      </c>
    </row>
    <row r="59" spans="1:13" x14ac:dyDescent="0.3">
      <c r="A59">
        <v>5040</v>
      </c>
      <c r="B59" t="s">
        <v>12</v>
      </c>
      <c r="C59" s="1">
        <v>45723</v>
      </c>
      <c r="D59" s="1" t="str">
        <f t="shared" si="0"/>
        <v>Dairy</v>
      </c>
      <c r="E59" t="s">
        <v>23</v>
      </c>
      <c r="F59" s="2">
        <v>4</v>
      </c>
      <c r="G59" s="3">
        <v>24</v>
      </c>
      <c r="H59" s="3">
        <f>grocery_chain_data[[#This Row],[Quantity]]*grocery_chain_data[[#This Row],[Unit Price]]</f>
        <v>96</v>
      </c>
      <c r="I59" s="3">
        <v>10</v>
      </c>
      <c r="J59" s="3">
        <f>grocery_chain_data[[#This Row],[Total Amount]]-grocery_chain_data[[#This Row],[Discount Amount]]</f>
        <v>86</v>
      </c>
      <c r="K59">
        <v>310</v>
      </c>
      <c r="L59" t="str">
        <f>IF(grocery_chain_data[[#This Row],[Final Amount]]&lt;0,"Return","Sale")</f>
        <v>Sale</v>
      </c>
      <c r="M59">
        <f>IF(grocery_chain_data[[#This Row],[Final Amount]]&lt;0,0,grocery_chain_data[[#This Row],[Final Amount]])</f>
        <v>86</v>
      </c>
    </row>
    <row r="60" spans="1:13" x14ac:dyDescent="0.3">
      <c r="A60">
        <v>9830</v>
      </c>
      <c r="B60" t="s">
        <v>10</v>
      </c>
      <c r="C60" s="1">
        <v>45349</v>
      </c>
      <c r="D60" s="1" t="str">
        <f t="shared" si="0"/>
        <v>Dairy</v>
      </c>
      <c r="E60" t="s">
        <v>23</v>
      </c>
      <c r="F60" s="2">
        <v>5</v>
      </c>
      <c r="G60" s="3">
        <v>15</v>
      </c>
      <c r="H60" s="3">
        <f>grocery_chain_data[[#This Row],[Quantity]]*grocery_chain_data[[#This Row],[Unit Price]]</f>
        <v>75</v>
      </c>
      <c r="I60" s="3">
        <v>0</v>
      </c>
      <c r="J60" s="3">
        <f>grocery_chain_data[[#This Row],[Total Amount]]-grocery_chain_data[[#This Row],[Discount Amount]]</f>
        <v>75</v>
      </c>
      <c r="K60">
        <v>461</v>
      </c>
      <c r="L60" t="str">
        <f>IF(grocery_chain_data[[#This Row],[Final Amount]]&lt;0,"Return","Sale")</f>
        <v>Sale</v>
      </c>
      <c r="M60">
        <f>IF(grocery_chain_data[[#This Row],[Final Amount]]&lt;0,0,grocery_chain_data[[#This Row],[Final Amount]])</f>
        <v>75</v>
      </c>
    </row>
    <row r="61" spans="1:13" x14ac:dyDescent="0.3">
      <c r="A61">
        <v>8019</v>
      </c>
      <c r="B61" t="s">
        <v>0</v>
      </c>
      <c r="C61" s="1">
        <v>45842</v>
      </c>
      <c r="D61" s="1" t="str">
        <f t="shared" si="0"/>
        <v>Produce</v>
      </c>
      <c r="E61" t="s">
        <v>24</v>
      </c>
      <c r="F61" s="2">
        <v>5</v>
      </c>
      <c r="G61" s="3">
        <v>11</v>
      </c>
      <c r="H61" s="3">
        <f>grocery_chain_data[[#This Row],[Quantity]]*grocery_chain_data[[#This Row],[Unit Price]]</f>
        <v>55</v>
      </c>
      <c r="I61" s="3">
        <v>0</v>
      </c>
      <c r="J61" s="3">
        <f>grocery_chain_data[[#This Row],[Total Amount]]-grocery_chain_data[[#This Row],[Discount Amount]]</f>
        <v>55</v>
      </c>
      <c r="K61">
        <v>419</v>
      </c>
      <c r="L61" t="str">
        <f>IF(grocery_chain_data[[#This Row],[Final Amount]]&lt;0,"Return","Sale")</f>
        <v>Sale</v>
      </c>
      <c r="M61">
        <f>IF(grocery_chain_data[[#This Row],[Final Amount]]&lt;0,0,grocery_chain_data[[#This Row],[Final Amount]])</f>
        <v>55</v>
      </c>
    </row>
    <row r="62" spans="1:13" x14ac:dyDescent="0.3">
      <c r="A62">
        <v>7543</v>
      </c>
      <c r="B62" t="s">
        <v>12</v>
      </c>
      <c r="C62" s="1">
        <v>45426</v>
      </c>
      <c r="D62" s="1" t="str">
        <f t="shared" si="0"/>
        <v>Dairy</v>
      </c>
      <c r="E62" t="s">
        <v>23</v>
      </c>
      <c r="F62" s="2">
        <v>2</v>
      </c>
      <c r="G62" s="3">
        <v>2</v>
      </c>
      <c r="H62" s="3">
        <f>grocery_chain_data[[#This Row],[Quantity]]*grocery_chain_data[[#This Row],[Unit Price]]</f>
        <v>4</v>
      </c>
      <c r="I62" s="3">
        <v>4</v>
      </c>
      <c r="J62" s="3">
        <f>grocery_chain_data[[#This Row],[Total Amount]]-grocery_chain_data[[#This Row],[Discount Amount]]</f>
        <v>0</v>
      </c>
      <c r="K62">
        <v>125</v>
      </c>
      <c r="L62" t="str">
        <f>IF(grocery_chain_data[[#This Row],[Final Amount]]&lt;0,"Return","Sale")</f>
        <v>Sale</v>
      </c>
      <c r="M62">
        <f>IF(grocery_chain_data[[#This Row],[Final Amount]]&lt;0,0,grocery_chain_data[[#This Row],[Final Amount]])</f>
        <v>0</v>
      </c>
    </row>
    <row r="63" spans="1:13" x14ac:dyDescent="0.3">
      <c r="A63">
        <v>4593</v>
      </c>
      <c r="B63" t="s">
        <v>0</v>
      </c>
      <c r="C63" s="1">
        <v>45252</v>
      </c>
      <c r="D63" s="1" t="str">
        <f t="shared" si="0"/>
        <v>Dairy</v>
      </c>
      <c r="E63" t="s">
        <v>3</v>
      </c>
      <c r="F63" s="2">
        <v>5</v>
      </c>
      <c r="G63" s="3">
        <v>7</v>
      </c>
      <c r="H63" s="3">
        <f>grocery_chain_data[[#This Row],[Quantity]]*grocery_chain_data[[#This Row],[Unit Price]]</f>
        <v>35</v>
      </c>
      <c r="I63" s="3">
        <v>3</v>
      </c>
      <c r="J63" s="3">
        <f>grocery_chain_data[[#This Row],[Total Amount]]-grocery_chain_data[[#This Row],[Discount Amount]]</f>
        <v>32</v>
      </c>
      <c r="K63">
        <v>356</v>
      </c>
      <c r="L63" t="str">
        <f>IF(grocery_chain_data[[#This Row],[Final Amount]]&lt;0,"Return","Sale")</f>
        <v>Sale</v>
      </c>
      <c r="M63">
        <f>IF(grocery_chain_data[[#This Row],[Final Amount]]&lt;0,0,grocery_chain_data[[#This Row],[Final Amount]])</f>
        <v>32</v>
      </c>
    </row>
    <row r="64" spans="1:13" x14ac:dyDescent="0.3">
      <c r="A64">
        <v>9348</v>
      </c>
      <c r="B64" t="s">
        <v>8</v>
      </c>
      <c r="C64" s="1">
        <v>45528</v>
      </c>
      <c r="D64" s="1" t="str">
        <f t="shared" si="0"/>
        <v>Dairy</v>
      </c>
      <c r="E64" t="s">
        <v>20</v>
      </c>
      <c r="F64" s="2">
        <v>1</v>
      </c>
      <c r="G64" s="3">
        <v>27</v>
      </c>
      <c r="H64" s="3">
        <f>grocery_chain_data[[#This Row],[Quantity]]*grocery_chain_data[[#This Row],[Unit Price]]</f>
        <v>27</v>
      </c>
      <c r="I64" s="3">
        <v>3</v>
      </c>
      <c r="J64" s="3">
        <f>grocery_chain_data[[#This Row],[Total Amount]]-grocery_chain_data[[#This Row],[Discount Amount]]</f>
        <v>24</v>
      </c>
      <c r="K64">
        <v>440</v>
      </c>
      <c r="L64" t="str">
        <f>IF(grocery_chain_data[[#This Row],[Final Amount]]&lt;0,"Return","Sale")</f>
        <v>Sale</v>
      </c>
      <c r="M64">
        <f>IF(grocery_chain_data[[#This Row],[Final Amount]]&lt;0,0,grocery_chain_data[[#This Row],[Final Amount]])</f>
        <v>24</v>
      </c>
    </row>
    <row r="65" spans="1:13" x14ac:dyDescent="0.3">
      <c r="A65">
        <v>2489</v>
      </c>
      <c r="B65" t="s">
        <v>21</v>
      </c>
      <c r="C65" s="1">
        <v>45732</v>
      </c>
      <c r="D65" s="1" t="str">
        <f t="shared" si="0"/>
        <v>Produce</v>
      </c>
      <c r="E65" t="s">
        <v>24</v>
      </c>
      <c r="F65" s="2">
        <v>4</v>
      </c>
      <c r="G65" s="3">
        <v>2</v>
      </c>
      <c r="H65" s="3">
        <f>grocery_chain_data[[#This Row],[Quantity]]*grocery_chain_data[[#This Row],[Unit Price]]</f>
        <v>8</v>
      </c>
      <c r="I65" s="3">
        <v>1</v>
      </c>
      <c r="J65" s="3">
        <f>grocery_chain_data[[#This Row],[Total Amount]]-grocery_chain_data[[#This Row],[Discount Amount]]</f>
        <v>7</v>
      </c>
      <c r="K65">
        <v>127</v>
      </c>
      <c r="L65" t="str">
        <f>IF(grocery_chain_data[[#This Row],[Final Amount]]&lt;0,"Return","Sale")</f>
        <v>Sale</v>
      </c>
      <c r="M65">
        <f>IF(grocery_chain_data[[#This Row],[Final Amount]]&lt;0,0,grocery_chain_data[[#This Row],[Final Amount]])</f>
        <v>7</v>
      </c>
    </row>
    <row r="66" spans="1:13" x14ac:dyDescent="0.3">
      <c r="A66">
        <v>1771</v>
      </c>
      <c r="B66" t="s">
        <v>5</v>
      </c>
      <c r="C66" s="1">
        <v>45813</v>
      </c>
      <c r="D66" s="1" t="str">
        <f t="shared" ref="D66:D129" si="1">IF(E66="Pasta","Pantry",
IF(E66="Cheese","Dairy",
IF(E66="Onions","Produce",
IF(E66="Cereal","Pantry",
IF(E66="Orange Juice","Beverages",
IF(E66="Ground Beef","Meat &amp; Seafood",
IF(E66="Apples","Produce",
IF(E66="Milk","Dairy",
IF(E66="Bananas","Produce",
IF(E66="Bread","Bakery",
IF(E66="Carrots","Produce",
IF(E66="Chicken Breast","Meat &amp; Seafood",
IF(E66="Eggs","Dairy",
IF(E66="Potatoes","Produce",
IF(E66="Rice","Produce",
IF(E66="Salmon","Meat &amp; Seafood",
IF(E66="Tomatoes","Produce",
IF(E66="Yogurt","Dairy",
"Others"))))))))))))))))))</f>
        <v>Produce</v>
      </c>
      <c r="E66" t="s">
        <v>24</v>
      </c>
      <c r="F66" s="2">
        <v>5</v>
      </c>
      <c r="G66" s="3">
        <v>18</v>
      </c>
      <c r="H66" s="3">
        <f>grocery_chain_data[[#This Row],[Quantity]]*grocery_chain_data[[#This Row],[Unit Price]]</f>
        <v>90</v>
      </c>
      <c r="I66" s="3">
        <v>4</v>
      </c>
      <c r="J66" s="3">
        <f>grocery_chain_data[[#This Row],[Total Amount]]-grocery_chain_data[[#This Row],[Discount Amount]]</f>
        <v>86</v>
      </c>
      <c r="K66">
        <v>486</v>
      </c>
      <c r="L66" t="str">
        <f>IF(grocery_chain_data[[#This Row],[Final Amount]]&lt;0,"Return","Sale")</f>
        <v>Sale</v>
      </c>
      <c r="M66">
        <f>IF(grocery_chain_data[[#This Row],[Final Amount]]&lt;0,0,grocery_chain_data[[#This Row],[Final Amount]])</f>
        <v>86</v>
      </c>
    </row>
    <row r="67" spans="1:13" x14ac:dyDescent="0.3">
      <c r="A67">
        <v>2796</v>
      </c>
      <c r="B67" t="s">
        <v>2</v>
      </c>
      <c r="C67" s="1">
        <v>45263</v>
      </c>
      <c r="D67" s="1" t="str">
        <f t="shared" si="1"/>
        <v>Produce</v>
      </c>
      <c r="E67" t="s">
        <v>4</v>
      </c>
      <c r="F67" s="2">
        <v>4</v>
      </c>
      <c r="G67" s="3">
        <v>27</v>
      </c>
      <c r="H67" s="3">
        <f>grocery_chain_data[[#This Row],[Quantity]]*grocery_chain_data[[#This Row],[Unit Price]]</f>
        <v>108</v>
      </c>
      <c r="I67" s="3">
        <v>11</v>
      </c>
      <c r="J67" s="3">
        <f>grocery_chain_data[[#This Row],[Total Amount]]-grocery_chain_data[[#This Row],[Discount Amount]]</f>
        <v>97</v>
      </c>
      <c r="K67">
        <v>380</v>
      </c>
      <c r="L67" t="str">
        <f>IF(grocery_chain_data[[#This Row],[Final Amount]]&lt;0,"Return","Sale")</f>
        <v>Sale</v>
      </c>
      <c r="M67">
        <f>IF(grocery_chain_data[[#This Row],[Final Amount]]&lt;0,0,grocery_chain_data[[#This Row],[Final Amount]])</f>
        <v>97</v>
      </c>
    </row>
    <row r="68" spans="1:13" x14ac:dyDescent="0.3">
      <c r="A68">
        <v>3621</v>
      </c>
      <c r="B68" t="s">
        <v>12</v>
      </c>
      <c r="C68" s="1">
        <v>45760</v>
      </c>
      <c r="D68" s="1" t="str">
        <f t="shared" si="1"/>
        <v>Pantry</v>
      </c>
      <c r="E68" t="s">
        <v>1</v>
      </c>
      <c r="F68" s="2">
        <v>5</v>
      </c>
      <c r="G68" s="3">
        <v>15</v>
      </c>
      <c r="H68" s="3">
        <f>grocery_chain_data[[#This Row],[Quantity]]*grocery_chain_data[[#This Row],[Unit Price]]</f>
        <v>75</v>
      </c>
      <c r="I68" s="3">
        <v>8</v>
      </c>
      <c r="J68" s="3">
        <f>grocery_chain_data[[#This Row],[Total Amount]]-grocery_chain_data[[#This Row],[Discount Amount]]</f>
        <v>67</v>
      </c>
      <c r="K68">
        <v>122</v>
      </c>
      <c r="L68" t="str">
        <f>IF(grocery_chain_data[[#This Row],[Final Amount]]&lt;0,"Return","Sale")</f>
        <v>Sale</v>
      </c>
      <c r="M68">
        <f>IF(grocery_chain_data[[#This Row],[Final Amount]]&lt;0,0,grocery_chain_data[[#This Row],[Final Amount]])</f>
        <v>67</v>
      </c>
    </row>
    <row r="69" spans="1:13" x14ac:dyDescent="0.3">
      <c r="A69">
        <v>7916</v>
      </c>
      <c r="B69" t="s">
        <v>0</v>
      </c>
      <c r="C69" s="1">
        <v>45608</v>
      </c>
      <c r="D69" s="1" t="str">
        <f t="shared" si="1"/>
        <v>Meat &amp; Seafood</v>
      </c>
      <c r="E69" t="s">
        <v>9</v>
      </c>
      <c r="F69" s="2">
        <v>3</v>
      </c>
      <c r="G69" s="3">
        <v>11</v>
      </c>
      <c r="H69" s="3">
        <f>grocery_chain_data[[#This Row],[Quantity]]*grocery_chain_data[[#This Row],[Unit Price]]</f>
        <v>33</v>
      </c>
      <c r="I69" s="3">
        <v>6</v>
      </c>
      <c r="J69" s="3">
        <f>grocery_chain_data[[#This Row],[Total Amount]]-grocery_chain_data[[#This Row],[Discount Amount]]</f>
        <v>27</v>
      </c>
      <c r="K69">
        <v>457</v>
      </c>
      <c r="L69" t="str">
        <f>IF(grocery_chain_data[[#This Row],[Final Amount]]&lt;0,"Return","Sale")</f>
        <v>Sale</v>
      </c>
      <c r="M69">
        <f>IF(grocery_chain_data[[#This Row],[Final Amount]]&lt;0,0,grocery_chain_data[[#This Row],[Final Amount]])</f>
        <v>27</v>
      </c>
    </row>
    <row r="70" spans="1:13" x14ac:dyDescent="0.3">
      <c r="A70">
        <v>2040</v>
      </c>
      <c r="B70" t="s">
        <v>5</v>
      </c>
      <c r="C70" s="1">
        <v>45443</v>
      </c>
      <c r="D70" s="1" t="str">
        <f t="shared" si="1"/>
        <v>Produce</v>
      </c>
      <c r="E70" t="s">
        <v>14</v>
      </c>
      <c r="F70" s="2">
        <v>2</v>
      </c>
      <c r="G70" s="3">
        <v>21</v>
      </c>
      <c r="H70" s="3">
        <f>grocery_chain_data[[#This Row],[Quantity]]*grocery_chain_data[[#This Row],[Unit Price]]</f>
        <v>42</v>
      </c>
      <c r="I70" s="3">
        <v>4</v>
      </c>
      <c r="J70" s="3">
        <f>grocery_chain_data[[#This Row],[Total Amount]]-grocery_chain_data[[#This Row],[Discount Amount]]</f>
        <v>38</v>
      </c>
      <c r="K70">
        <v>32</v>
      </c>
      <c r="L70" t="str">
        <f>IF(grocery_chain_data[[#This Row],[Final Amount]]&lt;0,"Return","Sale")</f>
        <v>Sale</v>
      </c>
      <c r="M70">
        <f>IF(grocery_chain_data[[#This Row],[Final Amount]]&lt;0,0,grocery_chain_data[[#This Row],[Final Amount]])</f>
        <v>38</v>
      </c>
    </row>
    <row r="71" spans="1:13" x14ac:dyDescent="0.3">
      <c r="A71">
        <v>7252</v>
      </c>
      <c r="B71" t="s">
        <v>16</v>
      </c>
      <c r="C71" s="1">
        <v>45607</v>
      </c>
      <c r="D71" s="1" t="str">
        <f t="shared" si="1"/>
        <v>Meat &amp; Seafood</v>
      </c>
      <c r="E71" t="s">
        <v>15</v>
      </c>
      <c r="F71" s="2">
        <v>4</v>
      </c>
      <c r="G71" s="3">
        <v>3</v>
      </c>
      <c r="H71" s="3">
        <f>grocery_chain_data[[#This Row],[Quantity]]*grocery_chain_data[[#This Row],[Unit Price]]</f>
        <v>12</v>
      </c>
      <c r="I71" s="3">
        <v>1</v>
      </c>
      <c r="J71" s="3">
        <f>grocery_chain_data[[#This Row],[Total Amount]]-grocery_chain_data[[#This Row],[Discount Amount]]</f>
        <v>11</v>
      </c>
      <c r="K71">
        <v>426</v>
      </c>
      <c r="L71" t="str">
        <f>IF(grocery_chain_data[[#This Row],[Final Amount]]&lt;0,"Return","Sale")</f>
        <v>Sale</v>
      </c>
      <c r="M71">
        <f>IF(grocery_chain_data[[#This Row],[Final Amount]]&lt;0,0,grocery_chain_data[[#This Row],[Final Amount]])</f>
        <v>11</v>
      </c>
    </row>
    <row r="72" spans="1:13" x14ac:dyDescent="0.3">
      <c r="A72">
        <v>8668</v>
      </c>
      <c r="B72" t="s">
        <v>13</v>
      </c>
      <c r="C72" s="1">
        <v>45555</v>
      </c>
      <c r="D72" s="1" t="str">
        <f t="shared" si="1"/>
        <v>Produce</v>
      </c>
      <c r="E72" t="s">
        <v>14</v>
      </c>
      <c r="F72" s="2">
        <v>4</v>
      </c>
      <c r="G72" s="3">
        <v>1</v>
      </c>
      <c r="H72" s="3">
        <f>grocery_chain_data[[#This Row],[Quantity]]*grocery_chain_data[[#This Row],[Unit Price]]</f>
        <v>4</v>
      </c>
      <c r="I72" s="3">
        <v>0</v>
      </c>
      <c r="J72" s="3">
        <f>grocery_chain_data[[#This Row],[Total Amount]]-grocery_chain_data[[#This Row],[Discount Amount]]</f>
        <v>4</v>
      </c>
      <c r="K72">
        <v>180</v>
      </c>
      <c r="L72" t="str">
        <f>IF(grocery_chain_data[[#This Row],[Final Amount]]&lt;0,"Return","Sale")</f>
        <v>Sale</v>
      </c>
      <c r="M72">
        <f>IF(grocery_chain_data[[#This Row],[Final Amount]]&lt;0,0,grocery_chain_data[[#This Row],[Final Amount]])</f>
        <v>4</v>
      </c>
    </row>
    <row r="73" spans="1:13" x14ac:dyDescent="0.3">
      <c r="A73">
        <v>5119</v>
      </c>
      <c r="B73" t="s">
        <v>8</v>
      </c>
      <c r="C73" s="1">
        <v>45574</v>
      </c>
      <c r="D73" s="1" t="str">
        <f t="shared" si="1"/>
        <v>Produce</v>
      </c>
      <c r="E73" t="s">
        <v>4</v>
      </c>
      <c r="F73" s="2">
        <v>5</v>
      </c>
      <c r="G73" s="3">
        <v>27</v>
      </c>
      <c r="H73" s="3">
        <f>grocery_chain_data[[#This Row],[Quantity]]*grocery_chain_data[[#This Row],[Unit Price]]</f>
        <v>135</v>
      </c>
      <c r="I73" s="3">
        <v>20</v>
      </c>
      <c r="J73" s="3">
        <f>grocery_chain_data[[#This Row],[Total Amount]]-grocery_chain_data[[#This Row],[Discount Amount]]</f>
        <v>115</v>
      </c>
      <c r="K73">
        <v>249</v>
      </c>
      <c r="L73" t="str">
        <f>IF(grocery_chain_data[[#This Row],[Final Amount]]&lt;0,"Return","Sale")</f>
        <v>Sale</v>
      </c>
      <c r="M73">
        <f>IF(grocery_chain_data[[#This Row],[Final Amount]]&lt;0,0,grocery_chain_data[[#This Row],[Final Amount]])</f>
        <v>115</v>
      </c>
    </row>
    <row r="74" spans="1:13" x14ac:dyDescent="0.3">
      <c r="A74">
        <v>1188</v>
      </c>
      <c r="B74" t="s">
        <v>8</v>
      </c>
      <c r="C74" s="1">
        <v>45673</v>
      </c>
      <c r="D74" s="1" t="str">
        <f t="shared" si="1"/>
        <v>Produce</v>
      </c>
      <c r="E74" t="s">
        <v>18</v>
      </c>
      <c r="F74" s="2">
        <v>4</v>
      </c>
      <c r="G74" s="3">
        <v>11</v>
      </c>
      <c r="H74" s="3">
        <f>grocery_chain_data[[#This Row],[Quantity]]*grocery_chain_data[[#This Row],[Unit Price]]</f>
        <v>44</v>
      </c>
      <c r="I74" s="3">
        <v>0</v>
      </c>
      <c r="J74" s="3">
        <f>grocery_chain_data[[#This Row],[Total Amount]]-grocery_chain_data[[#This Row],[Discount Amount]]</f>
        <v>44</v>
      </c>
      <c r="K74">
        <v>347</v>
      </c>
      <c r="L74" t="str">
        <f>IF(grocery_chain_data[[#This Row],[Final Amount]]&lt;0,"Return","Sale")</f>
        <v>Sale</v>
      </c>
      <c r="M74">
        <f>IF(grocery_chain_data[[#This Row],[Final Amount]]&lt;0,0,grocery_chain_data[[#This Row],[Final Amount]])</f>
        <v>44</v>
      </c>
    </row>
    <row r="75" spans="1:13" x14ac:dyDescent="0.3">
      <c r="A75">
        <v>2876</v>
      </c>
      <c r="B75" t="s">
        <v>5</v>
      </c>
      <c r="C75" s="1">
        <v>45674</v>
      </c>
      <c r="D75" s="1" t="str">
        <f t="shared" si="1"/>
        <v>Dairy</v>
      </c>
      <c r="E75" t="s">
        <v>20</v>
      </c>
      <c r="F75" s="2">
        <v>5</v>
      </c>
      <c r="G75" s="3">
        <v>16</v>
      </c>
      <c r="H75" s="3">
        <f>grocery_chain_data[[#This Row],[Quantity]]*grocery_chain_data[[#This Row],[Unit Price]]</f>
        <v>80</v>
      </c>
      <c r="I75" s="3">
        <v>3</v>
      </c>
      <c r="J75" s="3">
        <f>grocery_chain_data[[#This Row],[Total Amount]]-grocery_chain_data[[#This Row],[Discount Amount]]</f>
        <v>77</v>
      </c>
      <c r="K75">
        <v>464</v>
      </c>
      <c r="L75" t="str">
        <f>IF(grocery_chain_data[[#This Row],[Final Amount]]&lt;0,"Return","Sale")</f>
        <v>Sale</v>
      </c>
      <c r="M75">
        <f>IF(grocery_chain_data[[#This Row],[Final Amount]]&lt;0,0,grocery_chain_data[[#This Row],[Final Amount]])</f>
        <v>77</v>
      </c>
    </row>
    <row r="76" spans="1:13" x14ac:dyDescent="0.3">
      <c r="A76">
        <v>9797</v>
      </c>
      <c r="B76" t="s">
        <v>13</v>
      </c>
      <c r="C76" s="1">
        <v>45728</v>
      </c>
      <c r="D76" s="1" t="str">
        <f t="shared" si="1"/>
        <v>Dairy</v>
      </c>
      <c r="E76" t="s">
        <v>3</v>
      </c>
      <c r="F76" s="2">
        <v>2</v>
      </c>
      <c r="G76" s="3">
        <v>26</v>
      </c>
      <c r="H76" s="3">
        <f>grocery_chain_data[[#This Row],[Quantity]]*grocery_chain_data[[#This Row],[Unit Price]]</f>
        <v>52</v>
      </c>
      <c r="I76" s="3">
        <v>8</v>
      </c>
      <c r="J76" s="3">
        <f>grocery_chain_data[[#This Row],[Total Amount]]-grocery_chain_data[[#This Row],[Discount Amount]]</f>
        <v>44</v>
      </c>
      <c r="K76">
        <v>93</v>
      </c>
      <c r="L76" t="str">
        <f>IF(grocery_chain_data[[#This Row],[Final Amount]]&lt;0,"Return","Sale")</f>
        <v>Sale</v>
      </c>
      <c r="M76">
        <f>IF(grocery_chain_data[[#This Row],[Final Amount]]&lt;0,0,grocery_chain_data[[#This Row],[Final Amount]])</f>
        <v>44</v>
      </c>
    </row>
    <row r="77" spans="1:13" x14ac:dyDescent="0.3">
      <c r="A77">
        <v>5371</v>
      </c>
      <c r="B77" t="s">
        <v>8</v>
      </c>
      <c r="C77" s="1">
        <v>45741</v>
      </c>
      <c r="D77" s="1" t="str">
        <f t="shared" si="1"/>
        <v>Dairy</v>
      </c>
      <c r="E77" t="s">
        <v>23</v>
      </c>
      <c r="F77" s="2">
        <v>4</v>
      </c>
      <c r="G77" s="3">
        <v>10</v>
      </c>
      <c r="H77" s="3">
        <f>grocery_chain_data[[#This Row],[Quantity]]*grocery_chain_data[[#This Row],[Unit Price]]</f>
        <v>40</v>
      </c>
      <c r="I77" s="3">
        <v>6</v>
      </c>
      <c r="J77" s="3">
        <f>grocery_chain_data[[#This Row],[Total Amount]]-grocery_chain_data[[#This Row],[Discount Amount]]</f>
        <v>34</v>
      </c>
      <c r="K77">
        <v>389</v>
      </c>
      <c r="L77" t="str">
        <f>IF(grocery_chain_data[[#This Row],[Final Amount]]&lt;0,"Return","Sale")</f>
        <v>Sale</v>
      </c>
      <c r="M77">
        <f>IF(grocery_chain_data[[#This Row],[Final Amount]]&lt;0,0,grocery_chain_data[[#This Row],[Final Amount]])</f>
        <v>34</v>
      </c>
    </row>
    <row r="78" spans="1:13" x14ac:dyDescent="0.3">
      <c r="A78">
        <v>6573</v>
      </c>
      <c r="B78" t="s">
        <v>8</v>
      </c>
      <c r="C78" s="1">
        <v>45231</v>
      </c>
      <c r="D78" s="1" t="str">
        <f t="shared" si="1"/>
        <v>Bakery</v>
      </c>
      <c r="E78" t="s">
        <v>22</v>
      </c>
      <c r="F78" s="2">
        <v>4</v>
      </c>
      <c r="G78" s="3">
        <v>2</v>
      </c>
      <c r="H78" s="3">
        <f>grocery_chain_data[[#This Row],[Quantity]]*grocery_chain_data[[#This Row],[Unit Price]]</f>
        <v>8</v>
      </c>
      <c r="I78" s="3">
        <v>1</v>
      </c>
      <c r="J78" s="3">
        <f>grocery_chain_data[[#This Row],[Total Amount]]-grocery_chain_data[[#This Row],[Discount Amount]]</f>
        <v>7</v>
      </c>
      <c r="K78">
        <v>276</v>
      </c>
      <c r="L78" t="str">
        <f>IF(grocery_chain_data[[#This Row],[Final Amount]]&lt;0,"Return","Sale")</f>
        <v>Sale</v>
      </c>
      <c r="M78">
        <f>IF(grocery_chain_data[[#This Row],[Final Amount]]&lt;0,0,grocery_chain_data[[#This Row],[Final Amount]])</f>
        <v>7</v>
      </c>
    </row>
    <row r="79" spans="1:13" x14ac:dyDescent="0.3">
      <c r="A79">
        <v>5808</v>
      </c>
      <c r="B79" t="s">
        <v>21</v>
      </c>
      <c r="C79" s="1">
        <v>45482</v>
      </c>
      <c r="D79" s="1" t="str">
        <f t="shared" si="1"/>
        <v>Bakery</v>
      </c>
      <c r="E79" t="s">
        <v>22</v>
      </c>
      <c r="F79" s="2">
        <v>1</v>
      </c>
      <c r="G79" s="3">
        <v>23</v>
      </c>
      <c r="H79" s="3">
        <f>grocery_chain_data[[#This Row],[Quantity]]*grocery_chain_data[[#This Row],[Unit Price]]</f>
        <v>23</v>
      </c>
      <c r="I79" s="3">
        <v>5</v>
      </c>
      <c r="J79" s="3">
        <f>grocery_chain_data[[#This Row],[Total Amount]]-grocery_chain_data[[#This Row],[Discount Amount]]</f>
        <v>18</v>
      </c>
      <c r="K79">
        <v>486</v>
      </c>
      <c r="L79" t="str">
        <f>IF(grocery_chain_data[[#This Row],[Final Amount]]&lt;0,"Return","Sale")</f>
        <v>Sale</v>
      </c>
      <c r="M79">
        <f>IF(grocery_chain_data[[#This Row],[Final Amount]]&lt;0,0,grocery_chain_data[[#This Row],[Final Amount]])</f>
        <v>18</v>
      </c>
    </row>
    <row r="80" spans="1:13" x14ac:dyDescent="0.3">
      <c r="A80">
        <v>3591</v>
      </c>
      <c r="B80" t="s">
        <v>13</v>
      </c>
      <c r="C80" s="1">
        <v>45497</v>
      </c>
      <c r="D80" s="1" t="str">
        <f t="shared" si="1"/>
        <v>Dairy</v>
      </c>
      <c r="E80" t="s">
        <v>20</v>
      </c>
      <c r="F80" s="2">
        <v>2</v>
      </c>
      <c r="G80" s="3">
        <v>5</v>
      </c>
      <c r="H80" s="3">
        <f>grocery_chain_data[[#This Row],[Quantity]]*grocery_chain_data[[#This Row],[Unit Price]]</f>
        <v>10</v>
      </c>
      <c r="I80" s="3">
        <v>5</v>
      </c>
      <c r="J80" s="3">
        <f>grocery_chain_data[[#This Row],[Total Amount]]-grocery_chain_data[[#This Row],[Discount Amount]]</f>
        <v>5</v>
      </c>
      <c r="K80">
        <v>342</v>
      </c>
      <c r="L80" t="str">
        <f>IF(grocery_chain_data[[#This Row],[Final Amount]]&lt;0,"Return","Sale")</f>
        <v>Sale</v>
      </c>
      <c r="M80">
        <f>IF(grocery_chain_data[[#This Row],[Final Amount]]&lt;0,0,grocery_chain_data[[#This Row],[Final Amount]])</f>
        <v>5</v>
      </c>
    </row>
    <row r="81" spans="1:13" x14ac:dyDescent="0.3">
      <c r="A81">
        <v>1053</v>
      </c>
      <c r="B81" t="s">
        <v>10</v>
      </c>
      <c r="C81" s="1">
        <v>45705</v>
      </c>
      <c r="D81" s="1" t="str">
        <f t="shared" si="1"/>
        <v>Beverages</v>
      </c>
      <c r="E81" t="s">
        <v>7</v>
      </c>
      <c r="F81" s="2">
        <v>2</v>
      </c>
      <c r="G81" s="3">
        <v>19</v>
      </c>
      <c r="H81" s="3">
        <f>grocery_chain_data[[#This Row],[Quantity]]*grocery_chain_data[[#This Row],[Unit Price]]</f>
        <v>38</v>
      </c>
      <c r="I81" s="3">
        <v>7</v>
      </c>
      <c r="J81" s="3">
        <f>grocery_chain_data[[#This Row],[Total Amount]]-grocery_chain_data[[#This Row],[Discount Amount]]</f>
        <v>31</v>
      </c>
      <c r="K81">
        <v>493</v>
      </c>
      <c r="L81" t="str">
        <f>IF(grocery_chain_data[[#This Row],[Final Amount]]&lt;0,"Return","Sale")</f>
        <v>Sale</v>
      </c>
      <c r="M81">
        <f>IF(grocery_chain_data[[#This Row],[Final Amount]]&lt;0,0,grocery_chain_data[[#This Row],[Final Amount]])</f>
        <v>31</v>
      </c>
    </row>
    <row r="82" spans="1:13" x14ac:dyDescent="0.3">
      <c r="A82">
        <v>5315</v>
      </c>
      <c r="B82" t="s">
        <v>12</v>
      </c>
      <c r="C82" s="1">
        <v>45533</v>
      </c>
      <c r="D82" s="1" t="str">
        <f t="shared" si="1"/>
        <v>Produce</v>
      </c>
      <c r="E82" t="s">
        <v>18</v>
      </c>
      <c r="F82" s="2">
        <v>3</v>
      </c>
      <c r="G82" s="3">
        <v>18</v>
      </c>
      <c r="H82" s="3">
        <f>grocery_chain_data[[#This Row],[Quantity]]*grocery_chain_data[[#This Row],[Unit Price]]</f>
        <v>54</v>
      </c>
      <c r="I82" s="3">
        <v>5</v>
      </c>
      <c r="J82" s="3">
        <f>grocery_chain_data[[#This Row],[Total Amount]]-grocery_chain_data[[#This Row],[Discount Amount]]</f>
        <v>49</v>
      </c>
      <c r="K82">
        <v>464</v>
      </c>
      <c r="L82" t="str">
        <f>IF(grocery_chain_data[[#This Row],[Final Amount]]&lt;0,"Return","Sale")</f>
        <v>Sale</v>
      </c>
      <c r="M82">
        <f>IF(grocery_chain_data[[#This Row],[Final Amount]]&lt;0,0,grocery_chain_data[[#This Row],[Final Amount]])</f>
        <v>49</v>
      </c>
    </row>
    <row r="83" spans="1:13" x14ac:dyDescent="0.3">
      <c r="A83">
        <v>3927</v>
      </c>
      <c r="B83" t="s">
        <v>21</v>
      </c>
      <c r="C83" s="1">
        <v>45539</v>
      </c>
      <c r="D83" s="1" t="str">
        <f t="shared" si="1"/>
        <v>Meat &amp; Seafood</v>
      </c>
      <c r="E83" t="s">
        <v>9</v>
      </c>
      <c r="F83" s="2">
        <v>1</v>
      </c>
      <c r="G83" s="3">
        <v>21</v>
      </c>
      <c r="H83" s="3">
        <f>grocery_chain_data[[#This Row],[Quantity]]*grocery_chain_data[[#This Row],[Unit Price]]</f>
        <v>21</v>
      </c>
      <c r="I83" s="3">
        <v>4</v>
      </c>
      <c r="J83" s="3">
        <f>grocery_chain_data[[#This Row],[Total Amount]]-grocery_chain_data[[#This Row],[Discount Amount]]</f>
        <v>17</v>
      </c>
      <c r="K83">
        <v>154</v>
      </c>
      <c r="L83" t="str">
        <f>IF(grocery_chain_data[[#This Row],[Final Amount]]&lt;0,"Return","Sale")</f>
        <v>Sale</v>
      </c>
      <c r="M83">
        <f>IF(grocery_chain_data[[#This Row],[Final Amount]]&lt;0,0,grocery_chain_data[[#This Row],[Final Amount]])</f>
        <v>17</v>
      </c>
    </row>
    <row r="84" spans="1:13" x14ac:dyDescent="0.3">
      <c r="A84">
        <v>2743</v>
      </c>
      <c r="B84" t="s">
        <v>16</v>
      </c>
      <c r="C84" s="1">
        <v>45821</v>
      </c>
      <c r="D84" s="1" t="str">
        <f t="shared" si="1"/>
        <v>Dairy</v>
      </c>
      <c r="E84" t="s">
        <v>3</v>
      </c>
      <c r="F84" s="2">
        <v>3</v>
      </c>
      <c r="G84" s="3">
        <v>3</v>
      </c>
      <c r="H84" s="3">
        <f>grocery_chain_data[[#This Row],[Quantity]]*grocery_chain_data[[#This Row],[Unit Price]]</f>
        <v>9</v>
      </c>
      <c r="I84" s="3">
        <v>4</v>
      </c>
      <c r="J84" s="3">
        <f>grocery_chain_data[[#This Row],[Total Amount]]-grocery_chain_data[[#This Row],[Discount Amount]]</f>
        <v>5</v>
      </c>
      <c r="K84">
        <v>331</v>
      </c>
      <c r="L84" t="str">
        <f>IF(grocery_chain_data[[#This Row],[Final Amount]]&lt;0,"Return","Sale")</f>
        <v>Sale</v>
      </c>
      <c r="M84">
        <f>IF(grocery_chain_data[[#This Row],[Final Amount]]&lt;0,0,grocery_chain_data[[#This Row],[Final Amount]])</f>
        <v>5</v>
      </c>
    </row>
    <row r="85" spans="1:13" x14ac:dyDescent="0.3">
      <c r="A85">
        <v>5889</v>
      </c>
      <c r="B85" t="s">
        <v>10</v>
      </c>
      <c r="C85" s="1">
        <v>45798</v>
      </c>
      <c r="D85" s="1" t="str">
        <f t="shared" si="1"/>
        <v>Dairy</v>
      </c>
      <c r="E85" t="s">
        <v>3</v>
      </c>
      <c r="F85" s="2">
        <v>3</v>
      </c>
      <c r="G85" s="3">
        <v>19</v>
      </c>
      <c r="H85" s="3">
        <f>grocery_chain_data[[#This Row],[Quantity]]*grocery_chain_data[[#This Row],[Unit Price]]</f>
        <v>57</v>
      </c>
      <c r="I85" s="3">
        <v>0</v>
      </c>
      <c r="J85" s="3">
        <f>grocery_chain_data[[#This Row],[Total Amount]]-grocery_chain_data[[#This Row],[Discount Amount]]</f>
        <v>57</v>
      </c>
      <c r="K85">
        <v>424</v>
      </c>
      <c r="L85" t="str">
        <f>IF(grocery_chain_data[[#This Row],[Final Amount]]&lt;0,"Return","Sale")</f>
        <v>Sale</v>
      </c>
      <c r="M85">
        <f>IF(grocery_chain_data[[#This Row],[Final Amount]]&lt;0,0,grocery_chain_data[[#This Row],[Final Amount]])</f>
        <v>57</v>
      </c>
    </row>
    <row r="86" spans="1:13" x14ac:dyDescent="0.3">
      <c r="A86">
        <v>9317</v>
      </c>
      <c r="B86" t="s">
        <v>5</v>
      </c>
      <c r="C86" s="1">
        <v>45618</v>
      </c>
      <c r="D86" s="1" t="str">
        <f t="shared" si="1"/>
        <v>Produce</v>
      </c>
      <c r="E86" t="s">
        <v>11</v>
      </c>
      <c r="F86" s="2">
        <v>5</v>
      </c>
      <c r="G86" s="3">
        <v>29</v>
      </c>
      <c r="H86" s="3">
        <f>grocery_chain_data[[#This Row],[Quantity]]*grocery_chain_data[[#This Row],[Unit Price]]</f>
        <v>145</v>
      </c>
      <c r="I86" s="3">
        <v>14</v>
      </c>
      <c r="J86" s="3">
        <f>grocery_chain_data[[#This Row],[Total Amount]]-grocery_chain_data[[#This Row],[Discount Amount]]</f>
        <v>131</v>
      </c>
      <c r="K86">
        <v>138</v>
      </c>
      <c r="L86" t="str">
        <f>IF(grocery_chain_data[[#This Row],[Final Amount]]&lt;0,"Return","Sale")</f>
        <v>Sale</v>
      </c>
      <c r="M86">
        <f>IF(grocery_chain_data[[#This Row],[Final Amount]]&lt;0,0,grocery_chain_data[[#This Row],[Final Amount]])</f>
        <v>131</v>
      </c>
    </row>
    <row r="87" spans="1:13" x14ac:dyDescent="0.3">
      <c r="A87">
        <v>4258</v>
      </c>
      <c r="B87" t="s">
        <v>8</v>
      </c>
      <c r="C87" s="1">
        <v>45263</v>
      </c>
      <c r="D87" s="1" t="str">
        <f t="shared" si="1"/>
        <v>Pantry</v>
      </c>
      <c r="E87" t="s">
        <v>1</v>
      </c>
      <c r="F87" s="2">
        <v>3</v>
      </c>
      <c r="G87" s="3">
        <v>26</v>
      </c>
      <c r="H87" s="3">
        <f>grocery_chain_data[[#This Row],[Quantity]]*grocery_chain_data[[#This Row],[Unit Price]]</f>
        <v>78</v>
      </c>
      <c r="I87" s="3">
        <v>12</v>
      </c>
      <c r="J87" s="3">
        <f>grocery_chain_data[[#This Row],[Total Amount]]-grocery_chain_data[[#This Row],[Discount Amount]]</f>
        <v>66</v>
      </c>
      <c r="K87">
        <v>425</v>
      </c>
      <c r="L87" t="str">
        <f>IF(grocery_chain_data[[#This Row],[Final Amount]]&lt;0,"Return","Sale")</f>
        <v>Sale</v>
      </c>
      <c r="M87">
        <f>IF(grocery_chain_data[[#This Row],[Final Amount]]&lt;0,0,grocery_chain_data[[#This Row],[Final Amount]])</f>
        <v>66</v>
      </c>
    </row>
    <row r="88" spans="1:13" x14ac:dyDescent="0.3">
      <c r="A88">
        <v>7126</v>
      </c>
      <c r="B88" t="s">
        <v>10</v>
      </c>
      <c r="C88" s="1">
        <v>45737</v>
      </c>
      <c r="D88" s="1" t="str">
        <f t="shared" si="1"/>
        <v>Meat &amp; Seafood</v>
      </c>
      <c r="E88" t="s">
        <v>15</v>
      </c>
      <c r="F88" s="2">
        <v>5</v>
      </c>
      <c r="G88" s="3">
        <v>19</v>
      </c>
      <c r="H88" s="3">
        <f>grocery_chain_data[[#This Row],[Quantity]]*grocery_chain_data[[#This Row],[Unit Price]]</f>
        <v>95</v>
      </c>
      <c r="I88" s="3">
        <v>3</v>
      </c>
      <c r="J88" s="3">
        <f>grocery_chain_data[[#This Row],[Total Amount]]-grocery_chain_data[[#This Row],[Discount Amount]]</f>
        <v>92</v>
      </c>
      <c r="K88">
        <v>194</v>
      </c>
      <c r="L88" t="str">
        <f>IF(grocery_chain_data[[#This Row],[Final Amount]]&lt;0,"Return","Sale")</f>
        <v>Sale</v>
      </c>
      <c r="M88">
        <f>IF(grocery_chain_data[[#This Row],[Final Amount]]&lt;0,0,grocery_chain_data[[#This Row],[Final Amount]])</f>
        <v>92</v>
      </c>
    </row>
    <row r="89" spans="1:13" x14ac:dyDescent="0.3">
      <c r="A89">
        <v>3646</v>
      </c>
      <c r="B89" t="s">
        <v>16</v>
      </c>
      <c r="C89" s="1">
        <v>45563</v>
      </c>
      <c r="D89" s="1" t="str">
        <f t="shared" si="1"/>
        <v>Produce</v>
      </c>
      <c r="E89" t="s">
        <v>25</v>
      </c>
      <c r="F89" s="2">
        <v>2</v>
      </c>
      <c r="G89" s="3">
        <v>11</v>
      </c>
      <c r="H89" s="3">
        <f>grocery_chain_data[[#This Row],[Quantity]]*grocery_chain_data[[#This Row],[Unit Price]]</f>
        <v>22</v>
      </c>
      <c r="I89" s="3">
        <v>3</v>
      </c>
      <c r="J89" s="3">
        <f>grocery_chain_data[[#This Row],[Total Amount]]-grocery_chain_data[[#This Row],[Discount Amount]]</f>
        <v>19</v>
      </c>
      <c r="K89">
        <v>132</v>
      </c>
      <c r="L89" t="str">
        <f>IF(grocery_chain_data[[#This Row],[Final Amount]]&lt;0,"Return","Sale")</f>
        <v>Sale</v>
      </c>
      <c r="M89">
        <f>IF(grocery_chain_data[[#This Row],[Final Amount]]&lt;0,0,grocery_chain_data[[#This Row],[Final Amount]])</f>
        <v>19</v>
      </c>
    </row>
    <row r="90" spans="1:13" x14ac:dyDescent="0.3">
      <c r="A90">
        <v>9689</v>
      </c>
      <c r="B90" t="s">
        <v>12</v>
      </c>
      <c r="C90" s="1">
        <v>45858</v>
      </c>
      <c r="D90" s="1" t="str">
        <f t="shared" si="1"/>
        <v>Produce</v>
      </c>
      <c r="E90" t="s">
        <v>18</v>
      </c>
      <c r="F90" s="2">
        <v>5</v>
      </c>
      <c r="G90" s="3">
        <v>28</v>
      </c>
      <c r="H90" s="3">
        <f>grocery_chain_data[[#This Row],[Quantity]]*grocery_chain_data[[#This Row],[Unit Price]]</f>
        <v>140</v>
      </c>
      <c r="I90" s="3">
        <v>0</v>
      </c>
      <c r="J90" s="3">
        <f>grocery_chain_data[[#This Row],[Total Amount]]-grocery_chain_data[[#This Row],[Discount Amount]]</f>
        <v>140</v>
      </c>
      <c r="K90">
        <v>43</v>
      </c>
      <c r="L90" t="str">
        <f>IF(grocery_chain_data[[#This Row],[Final Amount]]&lt;0,"Return","Sale")</f>
        <v>Sale</v>
      </c>
      <c r="M90">
        <f>IF(grocery_chain_data[[#This Row],[Final Amount]]&lt;0,0,grocery_chain_data[[#This Row],[Final Amount]])</f>
        <v>140</v>
      </c>
    </row>
    <row r="91" spans="1:13" x14ac:dyDescent="0.3">
      <c r="A91">
        <v>1009</v>
      </c>
      <c r="B91" t="s">
        <v>8</v>
      </c>
      <c r="C91" s="1">
        <v>45610</v>
      </c>
      <c r="D91" s="1" t="str">
        <f t="shared" si="1"/>
        <v>Produce</v>
      </c>
      <c r="E91" t="s">
        <v>4</v>
      </c>
      <c r="F91" s="2">
        <v>2</v>
      </c>
      <c r="G91" s="3">
        <v>21</v>
      </c>
      <c r="H91" s="3">
        <f>grocery_chain_data[[#This Row],[Quantity]]*grocery_chain_data[[#This Row],[Unit Price]]</f>
        <v>42</v>
      </c>
      <c r="I91" s="3">
        <v>4</v>
      </c>
      <c r="J91" s="3">
        <f>grocery_chain_data[[#This Row],[Total Amount]]-grocery_chain_data[[#This Row],[Discount Amount]]</f>
        <v>38</v>
      </c>
      <c r="K91">
        <v>330</v>
      </c>
      <c r="L91" t="str">
        <f>IF(grocery_chain_data[[#This Row],[Final Amount]]&lt;0,"Return","Sale")</f>
        <v>Sale</v>
      </c>
      <c r="M91">
        <f>IF(grocery_chain_data[[#This Row],[Final Amount]]&lt;0,0,grocery_chain_data[[#This Row],[Final Amount]])</f>
        <v>38</v>
      </c>
    </row>
    <row r="92" spans="1:13" x14ac:dyDescent="0.3">
      <c r="A92">
        <v>6310</v>
      </c>
      <c r="B92" t="s">
        <v>13</v>
      </c>
      <c r="C92" s="1">
        <v>45524</v>
      </c>
      <c r="D92" s="1" t="str">
        <f t="shared" si="1"/>
        <v>Produce</v>
      </c>
      <c r="E92" t="s">
        <v>17</v>
      </c>
      <c r="F92" s="2">
        <v>2</v>
      </c>
      <c r="G92" s="3">
        <v>13</v>
      </c>
      <c r="H92" s="3">
        <f>grocery_chain_data[[#This Row],[Quantity]]*grocery_chain_data[[#This Row],[Unit Price]]</f>
        <v>26</v>
      </c>
      <c r="I92" s="3">
        <v>0</v>
      </c>
      <c r="J92" s="3">
        <f>grocery_chain_data[[#This Row],[Total Amount]]-grocery_chain_data[[#This Row],[Discount Amount]]</f>
        <v>26</v>
      </c>
      <c r="K92">
        <v>124</v>
      </c>
      <c r="L92" t="str">
        <f>IF(grocery_chain_data[[#This Row],[Final Amount]]&lt;0,"Return","Sale")</f>
        <v>Sale</v>
      </c>
      <c r="M92">
        <f>IF(grocery_chain_data[[#This Row],[Final Amount]]&lt;0,0,grocery_chain_data[[#This Row],[Final Amount]])</f>
        <v>26</v>
      </c>
    </row>
    <row r="93" spans="1:13" x14ac:dyDescent="0.3">
      <c r="A93">
        <v>1319</v>
      </c>
      <c r="B93" t="s">
        <v>16</v>
      </c>
      <c r="C93" s="1">
        <v>45231</v>
      </c>
      <c r="D93" s="1" t="str">
        <f t="shared" si="1"/>
        <v>Produce</v>
      </c>
      <c r="E93" t="s">
        <v>4</v>
      </c>
      <c r="F93" s="2">
        <v>5</v>
      </c>
      <c r="G93" s="3">
        <v>11</v>
      </c>
      <c r="H93" s="3">
        <f>grocery_chain_data[[#This Row],[Quantity]]*grocery_chain_data[[#This Row],[Unit Price]]</f>
        <v>55</v>
      </c>
      <c r="I93" s="3">
        <v>8</v>
      </c>
      <c r="J93" s="3">
        <f>grocery_chain_data[[#This Row],[Total Amount]]-grocery_chain_data[[#This Row],[Discount Amount]]</f>
        <v>47</v>
      </c>
      <c r="K93">
        <v>381</v>
      </c>
      <c r="L93" t="str">
        <f>IF(grocery_chain_data[[#This Row],[Final Amount]]&lt;0,"Return","Sale")</f>
        <v>Sale</v>
      </c>
      <c r="M93">
        <f>IF(grocery_chain_data[[#This Row],[Final Amount]]&lt;0,0,grocery_chain_data[[#This Row],[Final Amount]])</f>
        <v>47</v>
      </c>
    </row>
    <row r="94" spans="1:13" x14ac:dyDescent="0.3">
      <c r="A94">
        <v>6947</v>
      </c>
      <c r="B94" t="s">
        <v>10</v>
      </c>
      <c r="C94" s="1">
        <v>45827</v>
      </c>
      <c r="D94" s="1" t="str">
        <f t="shared" si="1"/>
        <v>Produce</v>
      </c>
      <c r="E94" t="s">
        <v>17</v>
      </c>
      <c r="F94" s="2">
        <v>3</v>
      </c>
      <c r="G94" s="3">
        <v>8</v>
      </c>
      <c r="H94" s="3">
        <f>grocery_chain_data[[#This Row],[Quantity]]*grocery_chain_data[[#This Row],[Unit Price]]</f>
        <v>24</v>
      </c>
      <c r="I94" s="3">
        <v>3</v>
      </c>
      <c r="J94" s="3">
        <f>grocery_chain_data[[#This Row],[Total Amount]]-grocery_chain_data[[#This Row],[Discount Amount]]</f>
        <v>21</v>
      </c>
      <c r="K94">
        <v>369</v>
      </c>
      <c r="L94" t="str">
        <f>IF(grocery_chain_data[[#This Row],[Final Amount]]&lt;0,"Return","Sale")</f>
        <v>Sale</v>
      </c>
      <c r="M94">
        <f>IF(grocery_chain_data[[#This Row],[Final Amount]]&lt;0,0,grocery_chain_data[[#This Row],[Final Amount]])</f>
        <v>21</v>
      </c>
    </row>
    <row r="95" spans="1:13" x14ac:dyDescent="0.3">
      <c r="A95">
        <v>6038</v>
      </c>
      <c r="B95" t="s">
        <v>0</v>
      </c>
      <c r="C95" s="1">
        <v>45330</v>
      </c>
      <c r="D95" s="1" t="str">
        <f t="shared" si="1"/>
        <v>Produce</v>
      </c>
      <c r="E95" t="s">
        <v>11</v>
      </c>
      <c r="F95" s="2">
        <v>2</v>
      </c>
      <c r="G95" s="3">
        <v>7</v>
      </c>
      <c r="H95" s="3">
        <f>grocery_chain_data[[#This Row],[Quantity]]*grocery_chain_data[[#This Row],[Unit Price]]</f>
        <v>14</v>
      </c>
      <c r="I95" s="3">
        <v>0</v>
      </c>
      <c r="J95" s="3">
        <f>grocery_chain_data[[#This Row],[Total Amount]]-grocery_chain_data[[#This Row],[Discount Amount]]</f>
        <v>14</v>
      </c>
      <c r="K95">
        <v>247</v>
      </c>
      <c r="L95" t="str">
        <f>IF(grocery_chain_data[[#This Row],[Final Amount]]&lt;0,"Return","Sale")</f>
        <v>Sale</v>
      </c>
      <c r="M95">
        <f>IF(grocery_chain_data[[#This Row],[Final Amount]]&lt;0,0,grocery_chain_data[[#This Row],[Final Amount]])</f>
        <v>14</v>
      </c>
    </row>
    <row r="96" spans="1:13" x14ac:dyDescent="0.3">
      <c r="A96">
        <v>1949</v>
      </c>
      <c r="B96" t="s">
        <v>2</v>
      </c>
      <c r="C96" s="1">
        <v>45332</v>
      </c>
      <c r="D96" s="1" t="str">
        <f t="shared" si="1"/>
        <v>Produce</v>
      </c>
      <c r="E96" t="s">
        <v>17</v>
      </c>
      <c r="F96" s="2">
        <v>1</v>
      </c>
      <c r="G96" s="3">
        <v>25</v>
      </c>
      <c r="H96" s="3">
        <f>grocery_chain_data[[#This Row],[Quantity]]*grocery_chain_data[[#This Row],[Unit Price]]</f>
        <v>25</v>
      </c>
      <c r="I96" s="3">
        <v>4</v>
      </c>
      <c r="J96" s="3">
        <f>grocery_chain_data[[#This Row],[Total Amount]]-grocery_chain_data[[#This Row],[Discount Amount]]</f>
        <v>21</v>
      </c>
      <c r="K96">
        <v>151</v>
      </c>
      <c r="L96" t="str">
        <f>IF(grocery_chain_data[[#This Row],[Final Amount]]&lt;0,"Return","Sale")</f>
        <v>Sale</v>
      </c>
      <c r="M96">
        <f>IF(grocery_chain_data[[#This Row],[Final Amount]]&lt;0,0,grocery_chain_data[[#This Row],[Final Amount]])</f>
        <v>21</v>
      </c>
    </row>
    <row r="97" spans="1:13" x14ac:dyDescent="0.3">
      <c r="A97">
        <v>2290</v>
      </c>
      <c r="B97" t="s">
        <v>5</v>
      </c>
      <c r="C97" s="1">
        <v>45211</v>
      </c>
      <c r="D97" s="1" t="str">
        <f t="shared" si="1"/>
        <v>Produce</v>
      </c>
      <c r="E97" t="s">
        <v>18</v>
      </c>
      <c r="F97" s="2">
        <v>5</v>
      </c>
      <c r="G97" s="3">
        <v>5</v>
      </c>
      <c r="H97" s="3">
        <f>grocery_chain_data[[#This Row],[Quantity]]*grocery_chain_data[[#This Row],[Unit Price]]</f>
        <v>25</v>
      </c>
      <c r="I97" s="3">
        <v>2</v>
      </c>
      <c r="J97" s="3">
        <f>grocery_chain_data[[#This Row],[Total Amount]]-grocery_chain_data[[#This Row],[Discount Amount]]</f>
        <v>23</v>
      </c>
      <c r="K97">
        <v>23</v>
      </c>
      <c r="L97" t="str">
        <f>IF(grocery_chain_data[[#This Row],[Final Amount]]&lt;0,"Return","Sale")</f>
        <v>Sale</v>
      </c>
      <c r="M97">
        <f>IF(grocery_chain_data[[#This Row],[Final Amount]]&lt;0,0,grocery_chain_data[[#This Row],[Final Amount]])</f>
        <v>23</v>
      </c>
    </row>
    <row r="98" spans="1:13" x14ac:dyDescent="0.3">
      <c r="A98">
        <v>8962</v>
      </c>
      <c r="B98" t="s">
        <v>5</v>
      </c>
      <c r="C98" s="1">
        <v>45778</v>
      </c>
      <c r="D98" s="1" t="str">
        <f t="shared" si="1"/>
        <v>Produce</v>
      </c>
      <c r="E98" t="s">
        <v>25</v>
      </c>
      <c r="F98" s="2">
        <v>1</v>
      </c>
      <c r="G98" s="3">
        <v>26</v>
      </c>
      <c r="H98" s="3">
        <f>grocery_chain_data[[#This Row],[Quantity]]*grocery_chain_data[[#This Row],[Unit Price]]</f>
        <v>26</v>
      </c>
      <c r="I98" s="3">
        <v>3</v>
      </c>
      <c r="J98" s="3">
        <f>grocery_chain_data[[#This Row],[Total Amount]]-grocery_chain_data[[#This Row],[Discount Amount]]</f>
        <v>23</v>
      </c>
      <c r="K98">
        <v>293</v>
      </c>
      <c r="L98" t="str">
        <f>IF(grocery_chain_data[[#This Row],[Final Amount]]&lt;0,"Return","Sale")</f>
        <v>Sale</v>
      </c>
      <c r="M98">
        <f>IF(grocery_chain_data[[#This Row],[Final Amount]]&lt;0,0,grocery_chain_data[[#This Row],[Final Amount]])</f>
        <v>23</v>
      </c>
    </row>
    <row r="99" spans="1:13" x14ac:dyDescent="0.3">
      <c r="A99">
        <v>2133</v>
      </c>
      <c r="B99" t="s">
        <v>10</v>
      </c>
      <c r="C99" s="1">
        <v>45735</v>
      </c>
      <c r="D99" s="1" t="str">
        <f t="shared" si="1"/>
        <v>Pantry</v>
      </c>
      <c r="E99" t="s">
        <v>6</v>
      </c>
      <c r="F99" s="2">
        <v>2</v>
      </c>
      <c r="G99" s="3">
        <v>29</v>
      </c>
      <c r="H99" s="3">
        <f>grocery_chain_data[[#This Row],[Quantity]]*grocery_chain_data[[#This Row],[Unit Price]]</f>
        <v>58</v>
      </c>
      <c r="I99" s="3">
        <v>4</v>
      </c>
      <c r="J99" s="3">
        <f>grocery_chain_data[[#This Row],[Total Amount]]-grocery_chain_data[[#This Row],[Discount Amount]]</f>
        <v>54</v>
      </c>
      <c r="K99">
        <v>129</v>
      </c>
      <c r="L99" t="str">
        <f>IF(grocery_chain_data[[#This Row],[Final Amount]]&lt;0,"Return","Sale")</f>
        <v>Sale</v>
      </c>
      <c r="M99">
        <f>IF(grocery_chain_data[[#This Row],[Final Amount]]&lt;0,0,grocery_chain_data[[#This Row],[Final Amount]])</f>
        <v>54</v>
      </c>
    </row>
    <row r="100" spans="1:13" x14ac:dyDescent="0.3">
      <c r="A100">
        <v>9727</v>
      </c>
      <c r="B100" t="s">
        <v>8</v>
      </c>
      <c r="C100" s="1">
        <v>45739</v>
      </c>
      <c r="D100" s="1" t="str">
        <f t="shared" si="1"/>
        <v>Bakery</v>
      </c>
      <c r="E100" t="s">
        <v>22</v>
      </c>
      <c r="F100" s="2">
        <v>5</v>
      </c>
      <c r="G100" s="3">
        <v>19</v>
      </c>
      <c r="H100" s="3">
        <f>grocery_chain_data[[#This Row],[Quantity]]*grocery_chain_data[[#This Row],[Unit Price]]</f>
        <v>95</v>
      </c>
      <c r="I100" s="3">
        <v>19</v>
      </c>
      <c r="J100" s="3">
        <f>grocery_chain_data[[#This Row],[Total Amount]]-grocery_chain_data[[#This Row],[Discount Amount]]</f>
        <v>76</v>
      </c>
      <c r="K100">
        <v>27</v>
      </c>
      <c r="L100" t="str">
        <f>IF(grocery_chain_data[[#This Row],[Final Amount]]&lt;0,"Return","Sale")</f>
        <v>Sale</v>
      </c>
      <c r="M100">
        <f>IF(grocery_chain_data[[#This Row],[Final Amount]]&lt;0,0,grocery_chain_data[[#This Row],[Final Amount]])</f>
        <v>76</v>
      </c>
    </row>
    <row r="101" spans="1:13" x14ac:dyDescent="0.3">
      <c r="A101">
        <v>3060</v>
      </c>
      <c r="B101" t="s">
        <v>12</v>
      </c>
      <c r="C101" s="1">
        <v>45244</v>
      </c>
      <c r="D101" s="1" t="str">
        <f t="shared" si="1"/>
        <v>Meat &amp; Seafood</v>
      </c>
      <c r="E101" t="s">
        <v>9</v>
      </c>
      <c r="F101" s="2">
        <v>1</v>
      </c>
      <c r="G101" s="3">
        <v>17</v>
      </c>
      <c r="H101" s="3">
        <f>grocery_chain_data[[#This Row],[Quantity]]*grocery_chain_data[[#This Row],[Unit Price]]</f>
        <v>17</v>
      </c>
      <c r="I101" s="3">
        <v>3</v>
      </c>
      <c r="J101" s="3">
        <f>grocery_chain_data[[#This Row],[Total Amount]]-grocery_chain_data[[#This Row],[Discount Amount]]</f>
        <v>14</v>
      </c>
      <c r="K101">
        <v>213</v>
      </c>
      <c r="L101" t="str">
        <f>IF(grocery_chain_data[[#This Row],[Final Amount]]&lt;0,"Return","Sale")</f>
        <v>Sale</v>
      </c>
      <c r="M101">
        <f>IF(grocery_chain_data[[#This Row],[Final Amount]]&lt;0,0,grocery_chain_data[[#This Row],[Final Amount]])</f>
        <v>14</v>
      </c>
    </row>
    <row r="102" spans="1:13" x14ac:dyDescent="0.3">
      <c r="A102">
        <v>8787</v>
      </c>
      <c r="B102" t="s">
        <v>10</v>
      </c>
      <c r="C102" s="1">
        <v>45572</v>
      </c>
      <c r="D102" s="1" t="str">
        <f t="shared" si="1"/>
        <v>Dairy</v>
      </c>
      <c r="E102" t="s">
        <v>3</v>
      </c>
      <c r="F102" s="2">
        <v>3</v>
      </c>
      <c r="G102" s="3">
        <v>17</v>
      </c>
      <c r="H102" s="3">
        <f>grocery_chain_data[[#This Row],[Quantity]]*grocery_chain_data[[#This Row],[Unit Price]]</f>
        <v>51</v>
      </c>
      <c r="I102" s="3">
        <v>10</v>
      </c>
      <c r="J102" s="3">
        <f>grocery_chain_data[[#This Row],[Total Amount]]-grocery_chain_data[[#This Row],[Discount Amount]]</f>
        <v>41</v>
      </c>
      <c r="K102">
        <v>30</v>
      </c>
      <c r="L102" t="str">
        <f>IF(grocery_chain_data[[#This Row],[Final Amount]]&lt;0,"Return","Sale")</f>
        <v>Sale</v>
      </c>
      <c r="M102">
        <f>IF(grocery_chain_data[[#This Row],[Final Amount]]&lt;0,0,grocery_chain_data[[#This Row],[Final Amount]])</f>
        <v>41</v>
      </c>
    </row>
    <row r="103" spans="1:13" x14ac:dyDescent="0.3">
      <c r="A103">
        <v>3705</v>
      </c>
      <c r="B103" t="s">
        <v>21</v>
      </c>
      <c r="C103" s="1">
        <v>45350</v>
      </c>
      <c r="D103" s="1" t="str">
        <f t="shared" si="1"/>
        <v>Bakery</v>
      </c>
      <c r="E103" t="s">
        <v>22</v>
      </c>
      <c r="F103" s="2">
        <v>2</v>
      </c>
      <c r="G103" s="3">
        <v>8</v>
      </c>
      <c r="H103" s="3">
        <f>grocery_chain_data[[#This Row],[Quantity]]*grocery_chain_data[[#This Row],[Unit Price]]</f>
        <v>16</v>
      </c>
      <c r="I103" s="3">
        <v>3</v>
      </c>
      <c r="J103" s="3">
        <f>grocery_chain_data[[#This Row],[Total Amount]]-grocery_chain_data[[#This Row],[Discount Amount]]</f>
        <v>13</v>
      </c>
      <c r="K103">
        <v>282</v>
      </c>
      <c r="L103" t="str">
        <f>IF(grocery_chain_data[[#This Row],[Final Amount]]&lt;0,"Return","Sale")</f>
        <v>Sale</v>
      </c>
      <c r="M103">
        <f>IF(grocery_chain_data[[#This Row],[Final Amount]]&lt;0,0,grocery_chain_data[[#This Row],[Final Amount]])</f>
        <v>13</v>
      </c>
    </row>
    <row r="104" spans="1:13" x14ac:dyDescent="0.3">
      <c r="A104">
        <v>9645</v>
      </c>
      <c r="B104" t="s">
        <v>13</v>
      </c>
      <c r="C104" s="1">
        <v>45822</v>
      </c>
      <c r="D104" s="1" t="str">
        <f t="shared" si="1"/>
        <v>Meat &amp; Seafood</v>
      </c>
      <c r="E104" t="s">
        <v>15</v>
      </c>
      <c r="F104" s="2">
        <v>5</v>
      </c>
      <c r="G104" s="3">
        <v>15</v>
      </c>
      <c r="H104" s="3">
        <f>grocery_chain_data[[#This Row],[Quantity]]*grocery_chain_data[[#This Row],[Unit Price]]</f>
        <v>75</v>
      </c>
      <c r="I104" s="3">
        <v>11</v>
      </c>
      <c r="J104" s="3">
        <f>grocery_chain_data[[#This Row],[Total Amount]]-grocery_chain_data[[#This Row],[Discount Amount]]</f>
        <v>64</v>
      </c>
      <c r="K104">
        <v>16</v>
      </c>
      <c r="L104" t="str">
        <f>IF(grocery_chain_data[[#This Row],[Final Amount]]&lt;0,"Return","Sale")</f>
        <v>Sale</v>
      </c>
      <c r="M104">
        <f>IF(grocery_chain_data[[#This Row],[Final Amount]]&lt;0,0,grocery_chain_data[[#This Row],[Final Amount]])</f>
        <v>64</v>
      </c>
    </row>
    <row r="105" spans="1:13" x14ac:dyDescent="0.3">
      <c r="A105">
        <v>7932</v>
      </c>
      <c r="B105" t="s">
        <v>12</v>
      </c>
      <c r="C105" s="1">
        <v>45309</v>
      </c>
      <c r="D105" s="1" t="str">
        <f t="shared" si="1"/>
        <v>Bakery</v>
      </c>
      <c r="E105" t="s">
        <v>22</v>
      </c>
      <c r="F105" s="2">
        <v>2</v>
      </c>
      <c r="G105" s="3">
        <v>28</v>
      </c>
      <c r="H105" s="3">
        <f>grocery_chain_data[[#This Row],[Quantity]]*grocery_chain_data[[#This Row],[Unit Price]]</f>
        <v>56</v>
      </c>
      <c r="I105" s="3">
        <v>6</v>
      </c>
      <c r="J105" s="3">
        <f>grocery_chain_data[[#This Row],[Total Amount]]-grocery_chain_data[[#This Row],[Discount Amount]]</f>
        <v>50</v>
      </c>
      <c r="K105">
        <v>403</v>
      </c>
      <c r="L105" t="str">
        <f>IF(grocery_chain_data[[#This Row],[Final Amount]]&lt;0,"Return","Sale")</f>
        <v>Sale</v>
      </c>
      <c r="M105">
        <f>IF(grocery_chain_data[[#This Row],[Final Amount]]&lt;0,0,grocery_chain_data[[#This Row],[Final Amount]])</f>
        <v>50</v>
      </c>
    </row>
    <row r="106" spans="1:13" x14ac:dyDescent="0.3">
      <c r="A106">
        <v>9835</v>
      </c>
      <c r="B106" t="s">
        <v>0</v>
      </c>
      <c r="C106" s="1">
        <v>45731</v>
      </c>
      <c r="D106" s="1" t="str">
        <f t="shared" si="1"/>
        <v>Meat &amp; Seafood</v>
      </c>
      <c r="E106" t="s">
        <v>9</v>
      </c>
      <c r="F106" s="2">
        <v>2</v>
      </c>
      <c r="G106" s="3">
        <v>27</v>
      </c>
      <c r="H106" s="3">
        <f>grocery_chain_data[[#This Row],[Quantity]]*grocery_chain_data[[#This Row],[Unit Price]]</f>
        <v>54</v>
      </c>
      <c r="I106" s="3">
        <v>1</v>
      </c>
      <c r="J106" s="3">
        <f>grocery_chain_data[[#This Row],[Total Amount]]-grocery_chain_data[[#This Row],[Discount Amount]]</f>
        <v>53</v>
      </c>
      <c r="K106">
        <v>423</v>
      </c>
      <c r="L106" t="str">
        <f>IF(grocery_chain_data[[#This Row],[Final Amount]]&lt;0,"Return","Sale")</f>
        <v>Sale</v>
      </c>
      <c r="M106">
        <f>IF(grocery_chain_data[[#This Row],[Final Amount]]&lt;0,0,grocery_chain_data[[#This Row],[Final Amount]])</f>
        <v>53</v>
      </c>
    </row>
    <row r="107" spans="1:13" x14ac:dyDescent="0.3">
      <c r="A107">
        <v>4295</v>
      </c>
      <c r="B107" t="s">
        <v>12</v>
      </c>
      <c r="C107" s="1">
        <v>45698</v>
      </c>
      <c r="D107" s="1" t="str">
        <f t="shared" si="1"/>
        <v>Produce</v>
      </c>
      <c r="E107" t="s">
        <v>17</v>
      </c>
      <c r="F107" s="2">
        <v>4</v>
      </c>
      <c r="G107" s="3">
        <v>5</v>
      </c>
      <c r="H107" s="3">
        <f>grocery_chain_data[[#This Row],[Quantity]]*grocery_chain_data[[#This Row],[Unit Price]]</f>
        <v>20</v>
      </c>
      <c r="I107" s="3">
        <v>0</v>
      </c>
      <c r="J107" s="3">
        <f>grocery_chain_data[[#This Row],[Total Amount]]-grocery_chain_data[[#This Row],[Discount Amount]]</f>
        <v>20</v>
      </c>
      <c r="K107">
        <v>352</v>
      </c>
      <c r="L107" t="str">
        <f>IF(grocery_chain_data[[#This Row],[Final Amount]]&lt;0,"Return","Sale")</f>
        <v>Sale</v>
      </c>
      <c r="M107">
        <f>IF(grocery_chain_data[[#This Row],[Final Amount]]&lt;0,0,grocery_chain_data[[#This Row],[Final Amount]])</f>
        <v>20</v>
      </c>
    </row>
    <row r="108" spans="1:13" x14ac:dyDescent="0.3">
      <c r="A108">
        <v>6107</v>
      </c>
      <c r="B108" t="s">
        <v>8</v>
      </c>
      <c r="C108" s="1">
        <v>45454</v>
      </c>
      <c r="D108" s="1" t="str">
        <f t="shared" si="1"/>
        <v>Produce</v>
      </c>
      <c r="E108" t="s">
        <v>24</v>
      </c>
      <c r="F108" s="2">
        <v>5</v>
      </c>
      <c r="G108" s="3">
        <v>15</v>
      </c>
      <c r="H108" s="3">
        <f>grocery_chain_data[[#This Row],[Quantity]]*grocery_chain_data[[#This Row],[Unit Price]]</f>
        <v>75</v>
      </c>
      <c r="I108" s="3">
        <v>8</v>
      </c>
      <c r="J108" s="3">
        <f>grocery_chain_data[[#This Row],[Total Amount]]-grocery_chain_data[[#This Row],[Discount Amount]]</f>
        <v>67</v>
      </c>
      <c r="K108">
        <v>41</v>
      </c>
      <c r="L108" t="str">
        <f>IF(grocery_chain_data[[#This Row],[Final Amount]]&lt;0,"Return","Sale")</f>
        <v>Sale</v>
      </c>
      <c r="M108">
        <f>IF(grocery_chain_data[[#This Row],[Final Amount]]&lt;0,0,grocery_chain_data[[#This Row],[Final Amount]])</f>
        <v>67</v>
      </c>
    </row>
    <row r="109" spans="1:13" x14ac:dyDescent="0.3">
      <c r="A109">
        <v>7118</v>
      </c>
      <c r="B109" t="s">
        <v>16</v>
      </c>
      <c r="C109" s="1">
        <v>45485</v>
      </c>
      <c r="D109" s="1" t="str">
        <f t="shared" si="1"/>
        <v>Pantry</v>
      </c>
      <c r="E109" t="s">
        <v>1</v>
      </c>
      <c r="F109" s="2">
        <v>1</v>
      </c>
      <c r="G109" s="3">
        <v>4</v>
      </c>
      <c r="H109" s="3">
        <f>grocery_chain_data[[#This Row],[Quantity]]*grocery_chain_data[[#This Row],[Unit Price]]</f>
        <v>4</v>
      </c>
      <c r="I109" s="3">
        <v>0</v>
      </c>
      <c r="J109" s="3">
        <f>grocery_chain_data[[#This Row],[Total Amount]]-grocery_chain_data[[#This Row],[Discount Amount]]</f>
        <v>4</v>
      </c>
      <c r="K109">
        <v>492</v>
      </c>
      <c r="L109" t="str">
        <f>IF(grocery_chain_data[[#This Row],[Final Amount]]&lt;0,"Return","Sale")</f>
        <v>Sale</v>
      </c>
      <c r="M109">
        <f>IF(grocery_chain_data[[#This Row],[Final Amount]]&lt;0,0,grocery_chain_data[[#This Row],[Final Amount]])</f>
        <v>4</v>
      </c>
    </row>
    <row r="110" spans="1:13" x14ac:dyDescent="0.3">
      <c r="A110">
        <v>9479</v>
      </c>
      <c r="B110" t="s">
        <v>12</v>
      </c>
      <c r="C110" s="1">
        <v>45495</v>
      </c>
      <c r="D110" s="1" t="str">
        <f t="shared" si="1"/>
        <v>Dairy</v>
      </c>
      <c r="E110" t="s">
        <v>19</v>
      </c>
      <c r="F110" s="2">
        <v>2</v>
      </c>
      <c r="G110" s="3">
        <v>15</v>
      </c>
      <c r="H110" s="3">
        <f>grocery_chain_data[[#This Row],[Quantity]]*grocery_chain_data[[#This Row],[Unit Price]]</f>
        <v>30</v>
      </c>
      <c r="I110" s="3">
        <v>4</v>
      </c>
      <c r="J110" s="3">
        <f>grocery_chain_data[[#This Row],[Total Amount]]-grocery_chain_data[[#This Row],[Discount Amount]]</f>
        <v>26</v>
      </c>
      <c r="K110">
        <v>333</v>
      </c>
      <c r="L110" t="str">
        <f>IF(grocery_chain_data[[#This Row],[Final Amount]]&lt;0,"Return","Sale")</f>
        <v>Sale</v>
      </c>
      <c r="M110">
        <f>IF(grocery_chain_data[[#This Row],[Final Amount]]&lt;0,0,grocery_chain_data[[#This Row],[Final Amount]])</f>
        <v>26</v>
      </c>
    </row>
    <row r="111" spans="1:13" x14ac:dyDescent="0.3">
      <c r="A111">
        <v>2982</v>
      </c>
      <c r="B111" t="s">
        <v>5</v>
      </c>
      <c r="C111" s="1">
        <v>45337</v>
      </c>
      <c r="D111" s="1" t="str">
        <f t="shared" si="1"/>
        <v>Dairy</v>
      </c>
      <c r="E111" t="s">
        <v>3</v>
      </c>
      <c r="F111" s="2">
        <v>4</v>
      </c>
      <c r="G111" s="3">
        <v>29</v>
      </c>
      <c r="H111" s="3">
        <f>grocery_chain_data[[#This Row],[Quantity]]*grocery_chain_data[[#This Row],[Unit Price]]</f>
        <v>116</v>
      </c>
      <c r="I111" s="3">
        <v>12</v>
      </c>
      <c r="J111" s="3">
        <f>grocery_chain_data[[#This Row],[Total Amount]]-grocery_chain_data[[#This Row],[Discount Amount]]</f>
        <v>104</v>
      </c>
      <c r="K111">
        <v>240</v>
      </c>
      <c r="L111" t="str">
        <f>IF(grocery_chain_data[[#This Row],[Final Amount]]&lt;0,"Return","Sale")</f>
        <v>Sale</v>
      </c>
      <c r="M111">
        <f>IF(grocery_chain_data[[#This Row],[Final Amount]]&lt;0,0,grocery_chain_data[[#This Row],[Final Amount]])</f>
        <v>104</v>
      </c>
    </row>
    <row r="112" spans="1:13" x14ac:dyDescent="0.3">
      <c r="A112">
        <v>4681</v>
      </c>
      <c r="B112" t="s">
        <v>16</v>
      </c>
      <c r="C112" s="1">
        <v>45194</v>
      </c>
      <c r="D112" s="1" t="str">
        <f t="shared" si="1"/>
        <v>Meat &amp; Seafood</v>
      </c>
      <c r="E112" t="s">
        <v>26</v>
      </c>
      <c r="F112" s="2">
        <v>2</v>
      </c>
      <c r="G112" s="3">
        <v>11</v>
      </c>
      <c r="H112" s="3">
        <f>grocery_chain_data[[#This Row],[Quantity]]*grocery_chain_data[[#This Row],[Unit Price]]</f>
        <v>22</v>
      </c>
      <c r="I112" s="3">
        <v>3</v>
      </c>
      <c r="J112" s="3">
        <f>grocery_chain_data[[#This Row],[Total Amount]]-grocery_chain_data[[#This Row],[Discount Amount]]</f>
        <v>19</v>
      </c>
      <c r="K112">
        <v>355</v>
      </c>
      <c r="L112" t="str">
        <f>IF(grocery_chain_data[[#This Row],[Final Amount]]&lt;0,"Return","Sale")</f>
        <v>Sale</v>
      </c>
      <c r="M112">
        <f>IF(grocery_chain_data[[#This Row],[Final Amount]]&lt;0,0,grocery_chain_data[[#This Row],[Final Amount]])</f>
        <v>19</v>
      </c>
    </row>
    <row r="113" spans="1:13" x14ac:dyDescent="0.3">
      <c r="A113">
        <v>6539</v>
      </c>
      <c r="B113" t="s">
        <v>8</v>
      </c>
      <c r="C113" s="1">
        <v>45161</v>
      </c>
      <c r="D113" s="1" t="str">
        <f t="shared" si="1"/>
        <v>Dairy</v>
      </c>
      <c r="E113" t="s">
        <v>19</v>
      </c>
      <c r="F113" s="2">
        <v>4</v>
      </c>
      <c r="G113" s="3">
        <v>4</v>
      </c>
      <c r="H113" s="3">
        <f>grocery_chain_data[[#This Row],[Quantity]]*grocery_chain_data[[#This Row],[Unit Price]]</f>
        <v>16</v>
      </c>
      <c r="I113" s="3">
        <v>5</v>
      </c>
      <c r="J113" s="3">
        <f>grocery_chain_data[[#This Row],[Total Amount]]-grocery_chain_data[[#This Row],[Discount Amount]]</f>
        <v>11</v>
      </c>
      <c r="K113">
        <v>129</v>
      </c>
      <c r="L113" t="str">
        <f>IF(grocery_chain_data[[#This Row],[Final Amount]]&lt;0,"Return","Sale")</f>
        <v>Sale</v>
      </c>
      <c r="M113">
        <f>IF(grocery_chain_data[[#This Row],[Final Amount]]&lt;0,0,grocery_chain_data[[#This Row],[Final Amount]])</f>
        <v>11</v>
      </c>
    </row>
    <row r="114" spans="1:13" x14ac:dyDescent="0.3">
      <c r="A114">
        <v>4770</v>
      </c>
      <c r="B114" t="s">
        <v>8</v>
      </c>
      <c r="C114" s="1">
        <v>45602</v>
      </c>
      <c r="D114" s="1" t="str">
        <f t="shared" si="1"/>
        <v>Produce</v>
      </c>
      <c r="E114" t="s">
        <v>18</v>
      </c>
      <c r="F114" s="2">
        <v>5</v>
      </c>
      <c r="G114" s="3">
        <v>14</v>
      </c>
      <c r="H114" s="3">
        <f>grocery_chain_data[[#This Row],[Quantity]]*grocery_chain_data[[#This Row],[Unit Price]]</f>
        <v>70</v>
      </c>
      <c r="I114" s="3">
        <v>2</v>
      </c>
      <c r="J114" s="3">
        <f>grocery_chain_data[[#This Row],[Total Amount]]-grocery_chain_data[[#This Row],[Discount Amount]]</f>
        <v>68</v>
      </c>
      <c r="K114">
        <v>27</v>
      </c>
      <c r="L114" t="str">
        <f>IF(grocery_chain_data[[#This Row],[Final Amount]]&lt;0,"Return","Sale")</f>
        <v>Sale</v>
      </c>
      <c r="M114">
        <f>IF(grocery_chain_data[[#This Row],[Final Amount]]&lt;0,0,grocery_chain_data[[#This Row],[Final Amount]])</f>
        <v>68</v>
      </c>
    </row>
    <row r="115" spans="1:13" x14ac:dyDescent="0.3">
      <c r="A115">
        <v>4608</v>
      </c>
      <c r="B115" t="s">
        <v>10</v>
      </c>
      <c r="C115" s="1">
        <v>45150</v>
      </c>
      <c r="D115" s="1" t="str">
        <f t="shared" si="1"/>
        <v>Meat &amp; Seafood</v>
      </c>
      <c r="E115" t="s">
        <v>15</v>
      </c>
      <c r="F115" s="2">
        <v>1</v>
      </c>
      <c r="G115" s="3">
        <v>7</v>
      </c>
      <c r="H115" s="3">
        <f>grocery_chain_data[[#This Row],[Quantity]]*grocery_chain_data[[#This Row],[Unit Price]]</f>
        <v>7</v>
      </c>
      <c r="I115" s="3">
        <v>1</v>
      </c>
      <c r="J115" s="3">
        <f>grocery_chain_data[[#This Row],[Total Amount]]-grocery_chain_data[[#This Row],[Discount Amount]]</f>
        <v>6</v>
      </c>
      <c r="K115">
        <v>281</v>
      </c>
      <c r="L115" t="str">
        <f>IF(grocery_chain_data[[#This Row],[Final Amount]]&lt;0,"Return","Sale")</f>
        <v>Sale</v>
      </c>
      <c r="M115">
        <f>IF(grocery_chain_data[[#This Row],[Final Amount]]&lt;0,0,grocery_chain_data[[#This Row],[Final Amount]])</f>
        <v>6</v>
      </c>
    </row>
    <row r="116" spans="1:13" x14ac:dyDescent="0.3">
      <c r="A116">
        <v>2163</v>
      </c>
      <c r="B116" t="s">
        <v>10</v>
      </c>
      <c r="C116" s="1">
        <v>45694</v>
      </c>
      <c r="D116" s="1" t="str">
        <f t="shared" si="1"/>
        <v>Meat &amp; Seafood</v>
      </c>
      <c r="E116" t="s">
        <v>26</v>
      </c>
      <c r="F116" s="2">
        <v>1</v>
      </c>
      <c r="G116" s="3">
        <v>29</v>
      </c>
      <c r="H116" s="3">
        <f>grocery_chain_data[[#This Row],[Quantity]]*grocery_chain_data[[#This Row],[Unit Price]]</f>
        <v>29</v>
      </c>
      <c r="I116" s="3">
        <v>0</v>
      </c>
      <c r="J116" s="3">
        <f>grocery_chain_data[[#This Row],[Total Amount]]-grocery_chain_data[[#This Row],[Discount Amount]]</f>
        <v>29</v>
      </c>
      <c r="K116">
        <v>311</v>
      </c>
      <c r="L116" t="str">
        <f>IF(grocery_chain_data[[#This Row],[Final Amount]]&lt;0,"Return","Sale")</f>
        <v>Sale</v>
      </c>
      <c r="M116">
        <f>IF(grocery_chain_data[[#This Row],[Final Amount]]&lt;0,0,grocery_chain_data[[#This Row],[Final Amount]])</f>
        <v>29</v>
      </c>
    </row>
    <row r="117" spans="1:13" x14ac:dyDescent="0.3">
      <c r="A117">
        <v>1964</v>
      </c>
      <c r="B117" t="s">
        <v>5</v>
      </c>
      <c r="C117" s="1">
        <v>45322</v>
      </c>
      <c r="D117" s="1" t="str">
        <f t="shared" si="1"/>
        <v>Produce</v>
      </c>
      <c r="E117" t="s">
        <v>4</v>
      </c>
      <c r="F117" s="2">
        <v>1</v>
      </c>
      <c r="G117" s="3">
        <v>17</v>
      </c>
      <c r="H117" s="3">
        <f>grocery_chain_data[[#This Row],[Quantity]]*grocery_chain_data[[#This Row],[Unit Price]]</f>
        <v>17</v>
      </c>
      <c r="I117" s="3">
        <v>3</v>
      </c>
      <c r="J117" s="3">
        <f>grocery_chain_data[[#This Row],[Total Amount]]-grocery_chain_data[[#This Row],[Discount Amount]]</f>
        <v>14</v>
      </c>
      <c r="K117">
        <v>47</v>
      </c>
      <c r="L117" t="str">
        <f>IF(grocery_chain_data[[#This Row],[Final Amount]]&lt;0,"Return","Sale")</f>
        <v>Sale</v>
      </c>
      <c r="M117">
        <f>IF(grocery_chain_data[[#This Row],[Final Amount]]&lt;0,0,grocery_chain_data[[#This Row],[Final Amount]])</f>
        <v>14</v>
      </c>
    </row>
    <row r="118" spans="1:13" x14ac:dyDescent="0.3">
      <c r="A118">
        <v>2104</v>
      </c>
      <c r="B118" t="s">
        <v>0</v>
      </c>
      <c r="C118" s="1">
        <v>45848</v>
      </c>
      <c r="D118" s="1" t="str">
        <f t="shared" si="1"/>
        <v>Dairy</v>
      </c>
      <c r="E118" t="s">
        <v>20</v>
      </c>
      <c r="F118" s="2">
        <v>4</v>
      </c>
      <c r="G118" s="3">
        <v>28</v>
      </c>
      <c r="H118" s="3">
        <f>grocery_chain_data[[#This Row],[Quantity]]*grocery_chain_data[[#This Row],[Unit Price]]</f>
        <v>112</v>
      </c>
      <c r="I118" s="3">
        <v>11</v>
      </c>
      <c r="J118" s="3">
        <f>grocery_chain_data[[#This Row],[Total Amount]]-grocery_chain_data[[#This Row],[Discount Amount]]</f>
        <v>101</v>
      </c>
      <c r="K118">
        <v>149</v>
      </c>
      <c r="L118" t="str">
        <f>IF(grocery_chain_data[[#This Row],[Final Amount]]&lt;0,"Return","Sale")</f>
        <v>Sale</v>
      </c>
      <c r="M118">
        <f>IF(grocery_chain_data[[#This Row],[Final Amount]]&lt;0,0,grocery_chain_data[[#This Row],[Final Amount]])</f>
        <v>101</v>
      </c>
    </row>
    <row r="119" spans="1:13" x14ac:dyDescent="0.3">
      <c r="A119">
        <v>1514</v>
      </c>
      <c r="B119" t="s">
        <v>10</v>
      </c>
      <c r="C119" s="1">
        <v>45812</v>
      </c>
      <c r="D119" s="1" t="str">
        <f t="shared" si="1"/>
        <v>Meat &amp; Seafood</v>
      </c>
      <c r="E119" t="s">
        <v>9</v>
      </c>
      <c r="F119" s="2">
        <v>4</v>
      </c>
      <c r="G119" s="3">
        <v>17</v>
      </c>
      <c r="H119" s="3">
        <f>grocery_chain_data[[#This Row],[Quantity]]*grocery_chain_data[[#This Row],[Unit Price]]</f>
        <v>68</v>
      </c>
      <c r="I119" s="3">
        <v>3</v>
      </c>
      <c r="J119" s="3">
        <f>grocery_chain_data[[#This Row],[Total Amount]]-grocery_chain_data[[#This Row],[Discount Amount]]</f>
        <v>65</v>
      </c>
      <c r="K119">
        <v>196</v>
      </c>
      <c r="L119" t="str">
        <f>IF(grocery_chain_data[[#This Row],[Final Amount]]&lt;0,"Return","Sale")</f>
        <v>Sale</v>
      </c>
      <c r="M119">
        <f>IF(grocery_chain_data[[#This Row],[Final Amount]]&lt;0,0,grocery_chain_data[[#This Row],[Final Amount]])</f>
        <v>65</v>
      </c>
    </row>
    <row r="120" spans="1:13" x14ac:dyDescent="0.3">
      <c r="A120">
        <v>6413</v>
      </c>
      <c r="B120" t="s">
        <v>5</v>
      </c>
      <c r="C120" s="1">
        <v>45200</v>
      </c>
      <c r="D120" s="1" t="str">
        <f t="shared" si="1"/>
        <v>Pantry</v>
      </c>
      <c r="E120" t="s">
        <v>1</v>
      </c>
      <c r="F120" s="2">
        <v>4</v>
      </c>
      <c r="G120" s="3">
        <v>11</v>
      </c>
      <c r="H120" s="3">
        <f>grocery_chain_data[[#This Row],[Quantity]]*grocery_chain_data[[#This Row],[Unit Price]]</f>
        <v>44</v>
      </c>
      <c r="I120" s="3">
        <v>2</v>
      </c>
      <c r="J120" s="3">
        <f>grocery_chain_data[[#This Row],[Total Amount]]-grocery_chain_data[[#This Row],[Discount Amount]]</f>
        <v>42</v>
      </c>
      <c r="K120">
        <v>403</v>
      </c>
      <c r="L120" t="str">
        <f>IF(grocery_chain_data[[#This Row],[Final Amount]]&lt;0,"Return","Sale")</f>
        <v>Sale</v>
      </c>
      <c r="M120">
        <f>IF(grocery_chain_data[[#This Row],[Final Amount]]&lt;0,0,grocery_chain_data[[#This Row],[Final Amount]])</f>
        <v>42</v>
      </c>
    </row>
    <row r="121" spans="1:13" x14ac:dyDescent="0.3">
      <c r="A121">
        <v>9423</v>
      </c>
      <c r="B121" t="s">
        <v>12</v>
      </c>
      <c r="C121" s="1">
        <v>45329</v>
      </c>
      <c r="D121" s="1" t="str">
        <f t="shared" si="1"/>
        <v>Produce</v>
      </c>
      <c r="E121" t="s">
        <v>25</v>
      </c>
      <c r="F121" s="2">
        <v>2</v>
      </c>
      <c r="G121" s="3">
        <v>14</v>
      </c>
      <c r="H121" s="3">
        <f>grocery_chain_data[[#This Row],[Quantity]]*grocery_chain_data[[#This Row],[Unit Price]]</f>
        <v>28</v>
      </c>
      <c r="I121" s="3">
        <v>4</v>
      </c>
      <c r="J121" s="3">
        <f>grocery_chain_data[[#This Row],[Total Amount]]-grocery_chain_data[[#This Row],[Discount Amount]]</f>
        <v>24</v>
      </c>
      <c r="K121">
        <v>247</v>
      </c>
      <c r="L121" t="str">
        <f>IF(grocery_chain_data[[#This Row],[Final Amount]]&lt;0,"Return","Sale")</f>
        <v>Sale</v>
      </c>
      <c r="M121">
        <f>IF(grocery_chain_data[[#This Row],[Final Amount]]&lt;0,0,grocery_chain_data[[#This Row],[Final Amount]])</f>
        <v>24</v>
      </c>
    </row>
    <row r="122" spans="1:13" x14ac:dyDescent="0.3">
      <c r="A122">
        <v>5562</v>
      </c>
      <c r="B122" t="s">
        <v>2</v>
      </c>
      <c r="C122" s="1">
        <v>45664</v>
      </c>
      <c r="D122" s="1" t="str">
        <f t="shared" si="1"/>
        <v>Produce</v>
      </c>
      <c r="E122" t="s">
        <v>14</v>
      </c>
      <c r="F122" s="2">
        <v>4</v>
      </c>
      <c r="G122" s="3">
        <v>28</v>
      </c>
      <c r="H122" s="3">
        <f>grocery_chain_data[[#This Row],[Quantity]]*grocery_chain_data[[#This Row],[Unit Price]]</f>
        <v>112</v>
      </c>
      <c r="I122" s="3">
        <v>0</v>
      </c>
      <c r="J122" s="3">
        <f>grocery_chain_data[[#This Row],[Total Amount]]-grocery_chain_data[[#This Row],[Discount Amount]]</f>
        <v>112</v>
      </c>
      <c r="K122">
        <v>445</v>
      </c>
      <c r="L122" t="str">
        <f>IF(grocery_chain_data[[#This Row],[Final Amount]]&lt;0,"Return","Sale")</f>
        <v>Sale</v>
      </c>
      <c r="M122">
        <f>IF(grocery_chain_data[[#This Row],[Final Amount]]&lt;0,0,grocery_chain_data[[#This Row],[Final Amount]])</f>
        <v>112</v>
      </c>
    </row>
    <row r="123" spans="1:13" x14ac:dyDescent="0.3">
      <c r="A123">
        <v>8953</v>
      </c>
      <c r="B123" t="s">
        <v>21</v>
      </c>
      <c r="C123" s="1">
        <v>45311</v>
      </c>
      <c r="D123" s="1" t="str">
        <f t="shared" si="1"/>
        <v>Produce</v>
      </c>
      <c r="E123" t="s">
        <v>14</v>
      </c>
      <c r="F123" s="2">
        <v>2</v>
      </c>
      <c r="G123" s="3">
        <v>26</v>
      </c>
      <c r="H123" s="3">
        <f>grocery_chain_data[[#This Row],[Quantity]]*grocery_chain_data[[#This Row],[Unit Price]]</f>
        <v>52</v>
      </c>
      <c r="I123" s="3">
        <v>8</v>
      </c>
      <c r="J123" s="3">
        <f>grocery_chain_data[[#This Row],[Total Amount]]-grocery_chain_data[[#This Row],[Discount Amount]]</f>
        <v>44</v>
      </c>
      <c r="K123">
        <v>210</v>
      </c>
      <c r="L123" t="str">
        <f>IF(grocery_chain_data[[#This Row],[Final Amount]]&lt;0,"Return","Sale")</f>
        <v>Sale</v>
      </c>
      <c r="M123">
        <f>IF(grocery_chain_data[[#This Row],[Final Amount]]&lt;0,0,grocery_chain_data[[#This Row],[Final Amount]])</f>
        <v>44</v>
      </c>
    </row>
    <row r="124" spans="1:13" x14ac:dyDescent="0.3">
      <c r="A124">
        <v>9834</v>
      </c>
      <c r="B124" t="s">
        <v>10</v>
      </c>
      <c r="C124" s="1">
        <v>45247</v>
      </c>
      <c r="D124" s="1" t="str">
        <f t="shared" si="1"/>
        <v>Produce</v>
      </c>
      <c r="E124" t="s">
        <v>14</v>
      </c>
      <c r="F124" s="2">
        <v>2</v>
      </c>
      <c r="G124" s="3">
        <v>15</v>
      </c>
      <c r="H124" s="3">
        <f>grocery_chain_data[[#This Row],[Quantity]]*grocery_chain_data[[#This Row],[Unit Price]]</f>
        <v>30</v>
      </c>
      <c r="I124" s="3">
        <v>5</v>
      </c>
      <c r="J124" s="3">
        <f>grocery_chain_data[[#This Row],[Total Amount]]-grocery_chain_data[[#This Row],[Discount Amount]]</f>
        <v>25</v>
      </c>
      <c r="K124">
        <v>18</v>
      </c>
      <c r="L124" t="str">
        <f>IF(grocery_chain_data[[#This Row],[Final Amount]]&lt;0,"Return","Sale")</f>
        <v>Sale</v>
      </c>
      <c r="M124">
        <f>IF(grocery_chain_data[[#This Row],[Final Amount]]&lt;0,0,grocery_chain_data[[#This Row],[Final Amount]])</f>
        <v>25</v>
      </c>
    </row>
    <row r="125" spans="1:13" x14ac:dyDescent="0.3">
      <c r="A125">
        <v>8744</v>
      </c>
      <c r="B125" t="s">
        <v>16</v>
      </c>
      <c r="C125" s="1">
        <v>45333</v>
      </c>
      <c r="D125" s="1" t="str">
        <f t="shared" si="1"/>
        <v>Meat &amp; Seafood</v>
      </c>
      <c r="E125" t="s">
        <v>15</v>
      </c>
      <c r="F125" s="2">
        <v>1</v>
      </c>
      <c r="G125" s="3">
        <v>16</v>
      </c>
      <c r="H125" s="3">
        <f>grocery_chain_data[[#This Row],[Quantity]]*grocery_chain_data[[#This Row],[Unit Price]]</f>
        <v>16</v>
      </c>
      <c r="I125" s="3">
        <v>0</v>
      </c>
      <c r="J125" s="3">
        <f>grocery_chain_data[[#This Row],[Total Amount]]-grocery_chain_data[[#This Row],[Discount Amount]]</f>
        <v>16</v>
      </c>
      <c r="K125">
        <v>233</v>
      </c>
      <c r="L125" t="str">
        <f>IF(grocery_chain_data[[#This Row],[Final Amount]]&lt;0,"Return","Sale")</f>
        <v>Sale</v>
      </c>
      <c r="M125">
        <f>IF(grocery_chain_data[[#This Row],[Final Amount]]&lt;0,0,grocery_chain_data[[#This Row],[Final Amount]])</f>
        <v>16</v>
      </c>
    </row>
    <row r="126" spans="1:13" x14ac:dyDescent="0.3">
      <c r="A126">
        <v>8749</v>
      </c>
      <c r="B126" t="s">
        <v>5</v>
      </c>
      <c r="C126" s="1">
        <v>45772</v>
      </c>
      <c r="D126" s="1" t="str">
        <f t="shared" si="1"/>
        <v>Dairy</v>
      </c>
      <c r="E126" t="s">
        <v>20</v>
      </c>
      <c r="F126" s="2">
        <v>1</v>
      </c>
      <c r="G126" s="3">
        <v>15</v>
      </c>
      <c r="H126" s="3">
        <f>grocery_chain_data[[#This Row],[Quantity]]*grocery_chain_data[[#This Row],[Unit Price]]</f>
        <v>15</v>
      </c>
      <c r="I126" s="3">
        <v>2</v>
      </c>
      <c r="J126" s="3">
        <f>grocery_chain_data[[#This Row],[Total Amount]]-grocery_chain_data[[#This Row],[Discount Amount]]</f>
        <v>13</v>
      </c>
      <c r="K126">
        <v>496</v>
      </c>
      <c r="L126" t="str">
        <f>IF(grocery_chain_data[[#This Row],[Final Amount]]&lt;0,"Return","Sale")</f>
        <v>Sale</v>
      </c>
      <c r="M126">
        <f>IF(grocery_chain_data[[#This Row],[Final Amount]]&lt;0,0,grocery_chain_data[[#This Row],[Final Amount]])</f>
        <v>13</v>
      </c>
    </row>
    <row r="127" spans="1:13" x14ac:dyDescent="0.3">
      <c r="A127">
        <v>7669</v>
      </c>
      <c r="B127" t="s">
        <v>8</v>
      </c>
      <c r="C127" s="1">
        <v>45292</v>
      </c>
      <c r="D127" s="1" t="str">
        <f t="shared" si="1"/>
        <v>Bakery</v>
      </c>
      <c r="E127" t="s">
        <v>22</v>
      </c>
      <c r="F127" s="2">
        <v>3</v>
      </c>
      <c r="G127" s="3">
        <v>26</v>
      </c>
      <c r="H127" s="3">
        <f>grocery_chain_data[[#This Row],[Quantity]]*grocery_chain_data[[#This Row],[Unit Price]]</f>
        <v>78</v>
      </c>
      <c r="I127" s="3">
        <v>12</v>
      </c>
      <c r="J127" s="3">
        <f>grocery_chain_data[[#This Row],[Total Amount]]-grocery_chain_data[[#This Row],[Discount Amount]]</f>
        <v>66</v>
      </c>
      <c r="K127">
        <v>439</v>
      </c>
      <c r="L127" t="str">
        <f>IF(grocery_chain_data[[#This Row],[Final Amount]]&lt;0,"Return","Sale")</f>
        <v>Sale</v>
      </c>
      <c r="M127">
        <f>IF(grocery_chain_data[[#This Row],[Final Amount]]&lt;0,0,grocery_chain_data[[#This Row],[Final Amount]])</f>
        <v>66</v>
      </c>
    </row>
    <row r="128" spans="1:13" x14ac:dyDescent="0.3">
      <c r="A128">
        <v>2545</v>
      </c>
      <c r="B128" t="s">
        <v>10</v>
      </c>
      <c r="C128" s="1">
        <v>45220</v>
      </c>
      <c r="D128" s="1" t="str">
        <f t="shared" si="1"/>
        <v>Dairy</v>
      </c>
      <c r="E128" t="s">
        <v>19</v>
      </c>
      <c r="F128" s="2">
        <v>5</v>
      </c>
      <c r="G128" s="3">
        <v>3</v>
      </c>
      <c r="H128" s="3">
        <f>grocery_chain_data[[#This Row],[Quantity]]*grocery_chain_data[[#This Row],[Unit Price]]</f>
        <v>15</v>
      </c>
      <c r="I128" s="3">
        <v>3</v>
      </c>
      <c r="J128" s="3">
        <f>grocery_chain_data[[#This Row],[Total Amount]]-grocery_chain_data[[#This Row],[Discount Amount]]</f>
        <v>12</v>
      </c>
      <c r="K128">
        <v>323</v>
      </c>
      <c r="L128" t="str">
        <f>IF(grocery_chain_data[[#This Row],[Final Amount]]&lt;0,"Return","Sale")</f>
        <v>Sale</v>
      </c>
      <c r="M128">
        <f>IF(grocery_chain_data[[#This Row],[Final Amount]]&lt;0,0,grocery_chain_data[[#This Row],[Final Amount]])</f>
        <v>12</v>
      </c>
    </row>
    <row r="129" spans="1:13" x14ac:dyDescent="0.3">
      <c r="A129">
        <v>8062</v>
      </c>
      <c r="B129" t="s">
        <v>0</v>
      </c>
      <c r="C129" s="1">
        <v>45420</v>
      </c>
      <c r="D129" s="1" t="str">
        <f t="shared" si="1"/>
        <v>Meat &amp; Seafood</v>
      </c>
      <c r="E129" t="s">
        <v>26</v>
      </c>
      <c r="F129" s="2">
        <v>1</v>
      </c>
      <c r="G129" s="3">
        <v>14</v>
      </c>
      <c r="H129" s="3">
        <f>grocery_chain_data[[#This Row],[Quantity]]*grocery_chain_data[[#This Row],[Unit Price]]</f>
        <v>14</v>
      </c>
      <c r="I129" s="3">
        <v>1</v>
      </c>
      <c r="J129" s="3">
        <f>grocery_chain_data[[#This Row],[Total Amount]]-grocery_chain_data[[#This Row],[Discount Amount]]</f>
        <v>13</v>
      </c>
      <c r="K129">
        <v>355</v>
      </c>
      <c r="L129" t="str">
        <f>IF(grocery_chain_data[[#This Row],[Final Amount]]&lt;0,"Return","Sale")</f>
        <v>Sale</v>
      </c>
      <c r="M129">
        <f>IF(grocery_chain_data[[#This Row],[Final Amount]]&lt;0,0,grocery_chain_data[[#This Row],[Final Amount]])</f>
        <v>13</v>
      </c>
    </row>
    <row r="130" spans="1:13" x14ac:dyDescent="0.3">
      <c r="A130">
        <v>7939</v>
      </c>
      <c r="B130" t="s">
        <v>13</v>
      </c>
      <c r="C130" s="1">
        <v>45464</v>
      </c>
      <c r="D130" s="1" t="str">
        <f t="shared" ref="D130:D193" si="2">IF(E130="Pasta","Pantry",
IF(E130="Cheese","Dairy",
IF(E130="Onions","Produce",
IF(E130="Cereal","Pantry",
IF(E130="Orange Juice","Beverages",
IF(E130="Ground Beef","Meat &amp; Seafood",
IF(E130="Apples","Produce",
IF(E130="Milk","Dairy",
IF(E130="Bananas","Produce",
IF(E130="Bread","Bakery",
IF(E130="Carrots","Produce",
IF(E130="Chicken Breast","Meat &amp; Seafood",
IF(E130="Eggs","Dairy",
IF(E130="Potatoes","Produce",
IF(E130="Rice","Produce",
IF(E130="Salmon","Meat &amp; Seafood",
IF(E130="Tomatoes","Produce",
IF(E130="Yogurt","Dairy",
"Others"))))))))))))))))))</f>
        <v>Beverages</v>
      </c>
      <c r="E130" t="s">
        <v>7</v>
      </c>
      <c r="F130" s="2">
        <v>3</v>
      </c>
      <c r="G130" s="3">
        <v>13</v>
      </c>
      <c r="H130" s="3">
        <f>grocery_chain_data[[#This Row],[Quantity]]*grocery_chain_data[[#This Row],[Unit Price]]</f>
        <v>39</v>
      </c>
      <c r="I130" s="3">
        <v>4</v>
      </c>
      <c r="J130" s="3">
        <f>grocery_chain_data[[#This Row],[Total Amount]]-grocery_chain_data[[#This Row],[Discount Amount]]</f>
        <v>35</v>
      </c>
      <c r="K130">
        <v>125</v>
      </c>
      <c r="L130" t="str">
        <f>IF(grocery_chain_data[[#This Row],[Final Amount]]&lt;0,"Return","Sale")</f>
        <v>Sale</v>
      </c>
      <c r="M130">
        <f>IF(grocery_chain_data[[#This Row],[Final Amount]]&lt;0,0,grocery_chain_data[[#This Row],[Final Amount]])</f>
        <v>35</v>
      </c>
    </row>
    <row r="131" spans="1:13" x14ac:dyDescent="0.3">
      <c r="A131">
        <v>8651</v>
      </c>
      <c r="B131" t="s">
        <v>5</v>
      </c>
      <c r="C131" s="1">
        <v>45815</v>
      </c>
      <c r="D131" s="1" t="str">
        <f t="shared" si="2"/>
        <v>Produce</v>
      </c>
      <c r="E131" t="s">
        <v>11</v>
      </c>
      <c r="F131" s="2">
        <v>1</v>
      </c>
      <c r="G131" s="3">
        <v>19</v>
      </c>
      <c r="H131" s="3">
        <f>grocery_chain_data[[#This Row],[Quantity]]*grocery_chain_data[[#This Row],[Unit Price]]</f>
        <v>19</v>
      </c>
      <c r="I131" s="3">
        <v>2</v>
      </c>
      <c r="J131" s="3">
        <f>grocery_chain_data[[#This Row],[Total Amount]]-grocery_chain_data[[#This Row],[Discount Amount]]</f>
        <v>17</v>
      </c>
      <c r="K131">
        <v>195</v>
      </c>
      <c r="L131" t="str">
        <f>IF(grocery_chain_data[[#This Row],[Final Amount]]&lt;0,"Return","Sale")</f>
        <v>Sale</v>
      </c>
      <c r="M131">
        <f>IF(grocery_chain_data[[#This Row],[Final Amount]]&lt;0,0,grocery_chain_data[[#This Row],[Final Amount]])</f>
        <v>17</v>
      </c>
    </row>
    <row r="132" spans="1:13" x14ac:dyDescent="0.3">
      <c r="A132">
        <v>1887</v>
      </c>
      <c r="B132" t="s">
        <v>5</v>
      </c>
      <c r="C132" s="1">
        <v>45668</v>
      </c>
      <c r="D132" s="1" t="str">
        <f t="shared" si="2"/>
        <v>Meat &amp; Seafood</v>
      </c>
      <c r="E132" t="s">
        <v>15</v>
      </c>
      <c r="F132" s="2">
        <v>3</v>
      </c>
      <c r="G132" s="3">
        <v>14</v>
      </c>
      <c r="H132" s="3">
        <f>grocery_chain_data[[#This Row],[Quantity]]*grocery_chain_data[[#This Row],[Unit Price]]</f>
        <v>42</v>
      </c>
      <c r="I132" s="3">
        <v>4</v>
      </c>
      <c r="J132" s="3">
        <f>grocery_chain_data[[#This Row],[Total Amount]]-grocery_chain_data[[#This Row],[Discount Amount]]</f>
        <v>38</v>
      </c>
      <c r="K132">
        <v>341</v>
      </c>
      <c r="L132" t="str">
        <f>IF(grocery_chain_data[[#This Row],[Final Amount]]&lt;0,"Return","Sale")</f>
        <v>Sale</v>
      </c>
      <c r="M132">
        <f>IF(grocery_chain_data[[#This Row],[Final Amount]]&lt;0,0,grocery_chain_data[[#This Row],[Final Amount]])</f>
        <v>38</v>
      </c>
    </row>
    <row r="133" spans="1:13" x14ac:dyDescent="0.3">
      <c r="A133">
        <v>2612</v>
      </c>
      <c r="B133" t="s">
        <v>12</v>
      </c>
      <c r="C133" s="1">
        <v>45192</v>
      </c>
      <c r="D133" s="1" t="str">
        <f t="shared" si="2"/>
        <v>Produce</v>
      </c>
      <c r="E133" t="s">
        <v>4</v>
      </c>
      <c r="F133" s="2">
        <v>2</v>
      </c>
      <c r="G133" s="3">
        <v>3</v>
      </c>
      <c r="H133" s="3">
        <f>grocery_chain_data[[#This Row],[Quantity]]*grocery_chain_data[[#This Row],[Unit Price]]</f>
        <v>6</v>
      </c>
      <c r="I133" s="3">
        <v>2</v>
      </c>
      <c r="J133" s="3">
        <f>grocery_chain_data[[#This Row],[Total Amount]]-grocery_chain_data[[#This Row],[Discount Amount]]</f>
        <v>4</v>
      </c>
      <c r="K133">
        <v>483</v>
      </c>
      <c r="L133" t="str">
        <f>IF(grocery_chain_data[[#This Row],[Final Amount]]&lt;0,"Return","Sale")</f>
        <v>Sale</v>
      </c>
      <c r="M133">
        <f>IF(grocery_chain_data[[#This Row],[Final Amount]]&lt;0,0,grocery_chain_data[[#This Row],[Final Amount]])</f>
        <v>4</v>
      </c>
    </row>
    <row r="134" spans="1:13" x14ac:dyDescent="0.3">
      <c r="A134">
        <v>7596</v>
      </c>
      <c r="B134" t="s">
        <v>8</v>
      </c>
      <c r="C134" s="1">
        <v>45710</v>
      </c>
      <c r="D134" s="1" t="str">
        <f t="shared" si="2"/>
        <v>Meat &amp; Seafood</v>
      </c>
      <c r="E134" t="s">
        <v>15</v>
      </c>
      <c r="F134" s="2">
        <v>3</v>
      </c>
      <c r="G134" s="3">
        <v>7</v>
      </c>
      <c r="H134" s="3">
        <f>grocery_chain_data[[#This Row],[Quantity]]*grocery_chain_data[[#This Row],[Unit Price]]</f>
        <v>21</v>
      </c>
      <c r="I134" s="3">
        <v>2</v>
      </c>
      <c r="J134" s="3">
        <f>grocery_chain_data[[#This Row],[Total Amount]]-grocery_chain_data[[#This Row],[Discount Amount]]</f>
        <v>19</v>
      </c>
      <c r="K134">
        <v>196</v>
      </c>
      <c r="L134" t="str">
        <f>IF(grocery_chain_data[[#This Row],[Final Amount]]&lt;0,"Return","Sale")</f>
        <v>Sale</v>
      </c>
      <c r="M134">
        <f>IF(grocery_chain_data[[#This Row],[Final Amount]]&lt;0,0,grocery_chain_data[[#This Row],[Final Amount]])</f>
        <v>19</v>
      </c>
    </row>
    <row r="135" spans="1:13" x14ac:dyDescent="0.3">
      <c r="A135">
        <v>6559</v>
      </c>
      <c r="B135" t="s">
        <v>16</v>
      </c>
      <c r="C135" s="1">
        <v>45766</v>
      </c>
      <c r="D135" s="1" t="str">
        <f t="shared" si="2"/>
        <v>Produce</v>
      </c>
      <c r="E135" t="s">
        <v>17</v>
      </c>
      <c r="F135" s="2">
        <v>3</v>
      </c>
      <c r="G135" s="3">
        <v>2</v>
      </c>
      <c r="H135" s="3">
        <f>grocery_chain_data[[#This Row],[Quantity]]*grocery_chain_data[[#This Row],[Unit Price]]</f>
        <v>6</v>
      </c>
      <c r="I135" s="3">
        <v>1</v>
      </c>
      <c r="J135" s="3">
        <f>grocery_chain_data[[#This Row],[Total Amount]]-grocery_chain_data[[#This Row],[Discount Amount]]</f>
        <v>5</v>
      </c>
      <c r="K135">
        <v>424</v>
      </c>
      <c r="L135" t="str">
        <f>IF(grocery_chain_data[[#This Row],[Final Amount]]&lt;0,"Return","Sale")</f>
        <v>Sale</v>
      </c>
      <c r="M135">
        <f>IF(grocery_chain_data[[#This Row],[Final Amount]]&lt;0,0,grocery_chain_data[[#This Row],[Final Amount]])</f>
        <v>5</v>
      </c>
    </row>
    <row r="136" spans="1:13" x14ac:dyDescent="0.3">
      <c r="A136">
        <v>2790</v>
      </c>
      <c r="B136" t="s">
        <v>13</v>
      </c>
      <c r="C136" s="1">
        <v>45338</v>
      </c>
      <c r="D136" s="1" t="str">
        <f t="shared" si="2"/>
        <v>Dairy</v>
      </c>
      <c r="E136" t="s">
        <v>19</v>
      </c>
      <c r="F136" s="2">
        <v>5</v>
      </c>
      <c r="G136" s="3">
        <v>23</v>
      </c>
      <c r="H136" s="3">
        <f>grocery_chain_data[[#This Row],[Quantity]]*grocery_chain_data[[#This Row],[Unit Price]]</f>
        <v>115</v>
      </c>
      <c r="I136" s="3">
        <v>23</v>
      </c>
      <c r="J136" s="3">
        <f>grocery_chain_data[[#This Row],[Total Amount]]-grocery_chain_data[[#This Row],[Discount Amount]]</f>
        <v>92</v>
      </c>
      <c r="K136">
        <v>426</v>
      </c>
      <c r="L136" t="str">
        <f>IF(grocery_chain_data[[#This Row],[Final Amount]]&lt;0,"Return","Sale")</f>
        <v>Sale</v>
      </c>
      <c r="M136">
        <f>IF(grocery_chain_data[[#This Row],[Final Amount]]&lt;0,0,grocery_chain_data[[#This Row],[Final Amount]])</f>
        <v>92</v>
      </c>
    </row>
    <row r="137" spans="1:13" x14ac:dyDescent="0.3">
      <c r="A137">
        <v>4139</v>
      </c>
      <c r="B137" t="s">
        <v>16</v>
      </c>
      <c r="C137" s="1">
        <v>45292</v>
      </c>
      <c r="D137" s="1" t="str">
        <f t="shared" si="2"/>
        <v>Dairy</v>
      </c>
      <c r="E137" t="s">
        <v>23</v>
      </c>
      <c r="F137" s="2">
        <v>5</v>
      </c>
      <c r="G137" s="3">
        <v>8</v>
      </c>
      <c r="H137" s="3">
        <f>grocery_chain_data[[#This Row],[Quantity]]*grocery_chain_data[[#This Row],[Unit Price]]</f>
        <v>40</v>
      </c>
      <c r="I137" s="3">
        <v>0</v>
      </c>
      <c r="J137" s="3">
        <f>grocery_chain_data[[#This Row],[Total Amount]]-grocery_chain_data[[#This Row],[Discount Amount]]</f>
        <v>40</v>
      </c>
      <c r="K137">
        <v>386</v>
      </c>
      <c r="L137" t="str">
        <f>IF(grocery_chain_data[[#This Row],[Final Amount]]&lt;0,"Return","Sale")</f>
        <v>Sale</v>
      </c>
      <c r="M137">
        <f>IF(grocery_chain_data[[#This Row],[Final Amount]]&lt;0,0,grocery_chain_data[[#This Row],[Final Amount]])</f>
        <v>40</v>
      </c>
    </row>
    <row r="138" spans="1:13" x14ac:dyDescent="0.3">
      <c r="A138">
        <v>9786</v>
      </c>
      <c r="B138" t="s">
        <v>0</v>
      </c>
      <c r="C138" s="1">
        <v>45493</v>
      </c>
      <c r="D138" s="1" t="str">
        <f t="shared" si="2"/>
        <v>Dairy</v>
      </c>
      <c r="E138" t="s">
        <v>19</v>
      </c>
      <c r="F138" s="2">
        <v>3</v>
      </c>
      <c r="G138" s="3">
        <v>24</v>
      </c>
      <c r="H138" s="3">
        <f>grocery_chain_data[[#This Row],[Quantity]]*grocery_chain_data[[#This Row],[Unit Price]]</f>
        <v>72</v>
      </c>
      <c r="I138" s="3">
        <v>0</v>
      </c>
      <c r="J138" s="3">
        <f>grocery_chain_data[[#This Row],[Total Amount]]-grocery_chain_data[[#This Row],[Discount Amount]]</f>
        <v>72</v>
      </c>
      <c r="K138">
        <v>17</v>
      </c>
      <c r="L138" t="str">
        <f>IF(grocery_chain_data[[#This Row],[Final Amount]]&lt;0,"Return","Sale")</f>
        <v>Sale</v>
      </c>
      <c r="M138">
        <f>IF(grocery_chain_data[[#This Row],[Final Amount]]&lt;0,0,grocery_chain_data[[#This Row],[Final Amount]])</f>
        <v>72</v>
      </c>
    </row>
    <row r="139" spans="1:13" x14ac:dyDescent="0.3">
      <c r="A139">
        <v>3296</v>
      </c>
      <c r="B139" t="s">
        <v>5</v>
      </c>
      <c r="C139" s="1">
        <v>45472</v>
      </c>
      <c r="D139" s="1" t="str">
        <f t="shared" si="2"/>
        <v>Produce</v>
      </c>
      <c r="E139" t="s">
        <v>17</v>
      </c>
      <c r="F139" s="2">
        <v>3</v>
      </c>
      <c r="G139" s="3">
        <v>23</v>
      </c>
      <c r="H139" s="3">
        <f>grocery_chain_data[[#This Row],[Quantity]]*grocery_chain_data[[#This Row],[Unit Price]]</f>
        <v>69</v>
      </c>
      <c r="I139" s="3">
        <v>14</v>
      </c>
      <c r="J139" s="3">
        <f>grocery_chain_data[[#This Row],[Total Amount]]-grocery_chain_data[[#This Row],[Discount Amount]]</f>
        <v>55</v>
      </c>
      <c r="K139">
        <v>89</v>
      </c>
      <c r="L139" t="str">
        <f>IF(grocery_chain_data[[#This Row],[Final Amount]]&lt;0,"Return","Sale")</f>
        <v>Sale</v>
      </c>
      <c r="M139">
        <f>IF(grocery_chain_data[[#This Row],[Final Amount]]&lt;0,0,grocery_chain_data[[#This Row],[Final Amount]])</f>
        <v>55</v>
      </c>
    </row>
    <row r="140" spans="1:13" x14ac:dyDescent="0.3">
      <c r="A140">
        <v>4006</v>
      </c>
      <c r="B140" t="s">
        <v>2</v>
      </c>
      <c r="C140" s="1">
        <v>45361</v>
      </c>
      <c r="D140" s="1" t="str">
        <f t="shared" si="2"/>
        <v>Produce</v>
      </c>
      <c r="E140" t="s">
        <v>24</v>
      </c>
      <c r="F140" s="2">
        <v>5</v>
      </c>
      <c r="G140" s="3">
        <v>27</v>
      </c>
      <c r="H140" s="3">
        <f>grocery_chain_data[[#This Row],[Quantity]]*grocery_chain_data[[#This Row],[Unit Price]]</f>
        <v>135</v>
      </c>
      <c r="I140" s="3">
        <v>21</v>
      </c>
      <c r="J140" s="3">
        <f>grocery_chain_data[[#This Row],[Total Amount]]-grocery_chain_data[[#This Row],[Discount Amount]]</f>
        <v>114</v>
      </c>
      <c r="K140">
        <v>425</v>
      </c>
      <c r="L140" t="str">
        <f>IF(grocery_chain_data[[#This Row],[Final Amount]]&lt;0,"Return","Sale")</f>
        <v>Sale</v>
      </c>
      <c r="M140">
        <f>IF(grocery_chain_data[[#This Row],[Final Amount]]&lt;0,0,grocery_chain_data[[#This Row],[Final Amount]])</f>
        <v>114</v>
      </c>
    </row>
    <row r="141" spans="1:13" x14ac:dyDescent="0.3">
      <c r="A141">
        <v>8579</v>
      </c>
      <c r="B141" t="s">
        <v>10</v>
      </c>
      <c r="C141" s="1">
        <v>45339</v>
      </c>
      <c r="D141" s="1" t="str">
        <f t="shared" si="2"/>
        <v>Pantry</v>
      </c>
      <c r="E141" t="s">
        <v>6</v>
      </c>
      <c r="F141" s="2">
        <v>1</v>
      </c>
      <c r="G141" s="3">
        <v>15</v>
      </c>
      <c r="H141" s="3">
        <f>grocery_chain_data[[#This Row],[Quantity]]*grocery_chain_data[[#This Row],[Unit Price]]</f>
        <v>15</v>
      </c>
      <c r="I141" s="3">
        <v>3</v>
      </c>
      <c r="J141" s="3">
        <f>grocery_chain_data[[#This Row],[Total Amount]]-grocery_chain_data[[#This Row],[Discount Amount]]</f>
        <v>12</v>
      </c>
      <c r="K141">
        <v>38</v>
      </c>
      <c r="L141" t="str">
        <f>IF(grocery_chain_data[[#This Row],[Final Amount]]&lt;0,"Return","Sale")</f>
        <v>Sale</v>
      </c>
      <c r="M141">
        <f>IF(grocery_chain_data[[#This Row],[Final Amount]]&lt;0,0,grocery_chain_data[[#This Row],[Final Amount]])</f>
        <v>12</v>
      </c>
    </row>
    <row r="142" spans="1:13" x14ac:dyDescent="0.3">
      <c r="A142">
        <v>2235</v>
      </c>
      <c r="B142" t="s">
        <v>8</v>
      </c>
      <c r="C142" s="1">
        <v>45489</v>
      </c>
      <c r="D142" s="1" t="str">
        <f t="shared" si="2"/>
        <v>Beverages</v>
      </c>
      <c r="E142" t="s">
        <v>7</v>
      </c>
      <c r="F142" s="2">
        <v>1</v>
      </c>
      <c r="G142" s="3">
        <v>24</v>
      </c>
      <c r="H142" s="3">
        <f>grocery_chain_data[[#This Row],[Quantity]]*grocery_chain_data[[#This Row],[Unit Price]]</f>
        <v>24</v>
      </c>
      <c r="I142" s="3">
        <v>1</v>
      </c>
      <c r="J142" s="3">
        <f>grocery_chain_data[[#This Row],[Total Amount]]-grocery_chain_data[[#This Row],[Discount Amount]]</f>
        <v>23</v>
      </c>
      <c r="K142">
        <v>7</v>
      </c>
      <c r="L142" t="str">
        <f>IF(grocery_chain_data[[#This Row],[Final Amount]]&lt;0,"Return","Sale")</f>
        <v>Sale</v>
      </c>
      <c r="M142">
        <f>IF(grocery_chain_data[[#This Row],[Final Amount]]&lt;0,0,grocery_chain_data[[#This Row],[Final Amount]])</f>
        <v>23</v>
      </c>
    </row>
    <row r="143" spans="1:13" x14ac:dyDescent="0.3">
      <c r="A143">
        <v>2604</v>
      </c>
      <c r="B143" t="s">
        <v>16</v>
      </c>
      <c r="C143" s="1">
        <v>45184</v>
      </c>
      <c r="D143" s="1" t="str">
        <f t="shared" si="2"/>
        <v>Pantry</v>
      </c>
      <c r="E143" t="s">
        <v>1</v>
      </c>
      <c r="F143" s="2">
        <v>5</v>
      </c>
      <c r="G143" s="3">
        <v>12</v>
      </c>
      <c r="H143" s="3">
        <f>grocery_chain_data[[#This Row],[Quantity]]*grocery_chain_data[[#This Row],[Unit Price]]</f>
        <v>60</v>
      </c>
      <c r="I143" s="3">
        <v>4</v>
      </c>
      <c r="J143" s="3">
        <f>grocery_chain_data[[#This Row],[Total Amount]]-grocery_chain_data[[#This Row],[Discount Amount]]</f>
        <v>56</v>
      </c>
      <c r="K143">
        <v>326</v>
      </c>
      <c r="L143" t="str">
        <f>IF(grocery_chain_data[[#This Row],[Final Amount]]&lt;0,"Return","Sale")</f>
        <v>Sale</v>
      </c>
      <c r="M143">
        <f>IF(grocery_chain_data[[#This Row],[Final Amount]]&lt;0,0,grocery_chain_data[[#This Row],[Final Amount]])</f>
        <v>56</v>
      </c>
    </row>
    <row r="144" spans="1:13" x14ac:dyDescent="0.3">
      <c r="A144">
        <v>9856</v>
      </c>
      <c r="B144" t="s">
        <v>10</v>
      </c>
      <c r="C144" s="1">
        <v>45794</v>
      </c>
      <c r="D144" s="1" t="str">
        <f t="shared" si="2"/>
        <v>Produce</v>
      </c>
      <c r="E144" t="s">
        <v>4</v>
      </c>
      <c r="F144" s="2">
        <v>3</v>
      </c>
      <c r="G144" s="3">
        <v>28</v>
      </c>
      <c r="H144" s="3">
        <f>grocery_chain_data[[#This Row],[Quantity]]*grocery_chain_data[[#This Row],[Unit Price]]</f>
        <v>84</v>
      </c>
      <c r="I144" s="3">
        <v>0</v>
      </c>
      <c r="J144" s="3">
        <f>grocery_chain_data[[#This Row],[Total Amount]]-grocery_chain_data[[#This Row],[Discount Amount]]</f>
        <v>84</v>
      </c>
      <c r="K144">
        <v>113</v>
      </c>
      <c r="L144" t="str">
        <f>IF(grocery_chain_data[[#This Row],[Final Amount]]&lt;0,"Return","Sale")</f>
        <v>Sale</v>
      </c>
      <c r="M144">
        <f>IF(grocery_chain_data[[#This Row],[Final Amount]]&lt;0,0,grocery_chain_data[[#This Row],[Final Amount]])</f>
        <v>84</v>
      </c>
    </row>
    <row r="145" spans="1:13" x14ac:dyDescent="0.3">
      <c r="A145">
        <v>1241</v>
      </c>
      <c r="B145" t="s">
        <v>10</v>
      </c>
      <c r="C145" s="1">
        <v>45217</v>
      </c>
      <c r="D145" s="1" t="str">
        <f t="shared" si="2"/>
        <v>Dairy</v>
      </c>
      <c r="E145" t="s">
        <v>3</v>
      </c>
      <c r="F145" s="2">
        <v>1</v>
      </c>
      <c r="G145" s="3">
        <v>5</v>
      </c>
      <c r="H145" s="3">
        <f>grocery_chain_data[[#This Row],[Quantity]]*grocery_chain_data[[#This Row],[Unit Price]]</f>
        <v>5</v>
      </c>
      <c r="I145" s="3">
        <v>1</v>
      </c>
      <c r="J145" s="3">
        <f>grocery_chain_data[[#This Row],[Total Amount]]-grocery_chain_data[[#This Row],[Discount Amount]]</f>
        <v>4</v>
      </c>
      <c r="K145">
        <v>484</v>
      </c>
      <c r="L145" t="str">
        <f>IF(grocery_chain_data[[#This Row],[Final Amount]]&lt;0,"Return","Sale")</f>
        <v>Sale</v>
      </c>
      <c r="M145">
        <f>IF(grocery_chain_data[[#This Row],[Final Amount]]&lt;0,0,grocery_chain_data[[#This Row],[Final Amount]])</f>
        <v>4</v>
      </c>
    </row>
    <row r="146" spans="1:13" x14ac:dyDescent="0.3">
      <c r="A146">
        <v>4872</v>
      </c>
      <c r="B146" t="s">
        <v>10</v>
      </c>
      <c r="C146" s="1">
        <v>45274</v>
      </c>
      <c r="D146" s="1" t="str">
        <f t="shared" si="2"/>
        <v>Meat &amp; Seafood</v>
      </c>
      <c r="E146" t="s">
        <v>26</v>
      </c>
      <c r="F146" s="2">
        <v>2</v>
      </c>
      <c r="G146" s="3">
        <v>27</v>
      </c>
      <c r="H146" s="3">
        <f>grocery_chain_data[[#This Row],[Quantity]]*grocery_chain_data[[#This Row],[Unit Price]]</f>
        <v>54</v>
      </c>
      <c r="I146" s="3">
        <v>5</v>
      </c>
      <c r="J146" s="3">
        <f>grocery_chain_data[[#This Row],[Total Amount]]-grocery_chain_data[[#This Row],[Discount Amount]]</f>
        <v>49</v>
      </c>
      <c r="K146">
        <v>69</v>
      </c>
      <c r="L146" t="str">
        <f>IF(grocery_chain_data[[#This Row],[Final Amount]]&lt;0,"Return","Sale")</f>
        <v>Sale</v>
      </c>
      <c r="M146">
        <f>IF(grocery_chain_data[[#This Row],[Final Amount]]&lt;0,0,grocery_chain_data[[#This Row],[Final Amount]])</f>
        <v>49</v>
      </c>
    </row>
    <row r="147" spans="1:13" x14ac:dyDescent="0.3">
      <c r="A147">
        <v>7658</v>
      </c>
      <c r="B147" t="s">
        <v>16</v>
      </c>
      <c r="C147" s="1">
        <v>45522</v>
      </c>
      <c r="D147" s="1" t="str">
        <f t="shared" si="2"/>
        <v>Produce</v>
      </c>
      <c r="E147" t="s">
        <v>4</v>
      </c>
      <c r="F147" s="2">
        <v>4</v>
      </c>
      <c r="G147" s="3">
        <v>18</v>
      </c>
      <c r="H147" s="3">
        <f>grocery_chain_data[[#This Row],[Quantity]]*grocery_chain_data[[#This Row],[Unit Price]]</f>
        <v>72</v>
      </c>
      <c r="I147" s="3">
        <v>7</v>
      </c>
      <c r="J147" s="3">
        <f>grocery_chain_data[[#This Row],[Total Amount]]-grocery_chain_data[[#This Row],[Discount Amount]]</f>
        <v>65</v>
      </c>
      <c r="K147">
        <v>372</v>
      </c>
      <c r="L147" t="str">
        <f>IF(grocery_chain_data[[#This Row],[Final Amount]]&lt;0,"Return","Sale")</f>
        <v>Sale</v>
      </c>
      <c r="M147">
        <f>IF(grocery_chain_data[[#This Row],[Final Amount]]&lt;0,0,grocery_chain_data[[#This Row],[Final Amount]])</f>
        <v>65</v>
      </c>
    </row>
    <row r="148" spans="1:13" x14ac:dyDescent="0.3">
      <c r="A148">
        <v>8886</v>
      </c>
      <c r="B148" t="s">
        <v>0</v>
      </c>
      <c r="C148" s="1">
        <v>45311</v>
      </c>
      <c r="D148" s="1" t="str">
        <f t="shared" si="2"/>
        <v>Dairy</v>
      </c>
      <c r="E148" t="s">
        <v>3</v>
      </c>
      <c r="F148" s="2">
        <v>3</v>
      </c>
      <c r="G148" s="3">
        <v>2</v>
      </c>
      <c r="H148" s="3">
        <f>grocery_chain_data[[#This Row],[Quantity]]*grocery_chain_data[[#This Row],[Unit Price]]</f>
        <v>6</v>
      </c>
      <c r="I148" s="3">
        <v>1</v>
      </c>
      <c r="J148" s="3">
        <f>grocery_chain_data[[#This Row],[Total Amount]]-grocery_chain_data[[#This Row],[Discount Amount]]</f>
        <v>5</v>
      </c>
      <c r="K148">
        <v>189</v>
      </c>
      <c r="L148" t="str">
        <f>IF(grocery_chain_data[[#This Row],[Final Amount]]&lt;0,"Return","Sale")</f>
        <v>Sale</v>
      </c>
      <c r="M148">
        <f>IF(grocery_chain_data[[#This Row],[Final Amount]]&lt;0,0,grocery_chain_data[[#This Row],[Final Amount]])</f>
        <v>5</v>
      </c>
    </row>
    <row r="149" spans="1:13" x14ac:dyDescent="0.3">
      <c r="A149">
        <v>7570</v>
      </c>
      <c r="B149" t="s">
        <v>10</v>
      </c>
      <c r="C149" s="1">
        <v>45845</v>
      </c>
      <c r="D149" s="1" t="str">
        <f t="shared" si="2"/>
        <v>Beverages</v>
      </c>
      <c r="E149" t="s">
        <v>7</v>
      </c>
      <c r="F149" s="2">
        <v>1</v>
      </c>
      <c r="G149" s="3">
        <v>29</v>
      </c>
      <c r="H149" s="3">
        <f>grocery_chain_data[[#This Row],[Quantity]]*grocery_chain_data[[#This Row],[Unit Price]]</f>
        <v>29</v>
      </c>
      <c r="I149" s="3">
        <v>3</v>
      </c>
      <c r="J149" s="3">
        <f>grocery_chain_data[[#This Row],[Total Amount]]-grocery_chain_data[[#This Row],[Discount Amount]]</f>
        <v>26</v>
      </c>
      <c r="K149">
        <v>188</v>
      </c>
      <c r="L149" t="str">
        <f>IF(grocery_chain_data[[#This Row],[Final Amount]]&lt;0,"Return","Sale")</f>
        <v>Sale</v>
      </c>
      <c r="M149">
        <f>IF(grocery_chain_data[[#This Row],[Final Amount]]&lt;0,0,grocery_chain_data[[#This Row],[Final Amount]])</f>
        <v>26</v>
      </c>
    </row>
    <row r="150" spans="1:13" x14ac:dyDescent="0.3">
      <c r="A150">
        <v>1960</v>
      </c>
      <c r="B150" t="s">
        <v>21</v>
      </c>
      <c r="C150" s="1">
        <v>45272</v>
      </c>
      <c r="D150" s="1" t="str">
        <f t="shared" si="2"/>
        <v>Meat &amp; Seafood</v>
      </c>
      <c r="E150" t="s">
        <v>15</v>
      </c>
      <c r="F150" s="2">
        <v>1</v>
      </c>
      <c r="G150" s="3">
        <v>20</v>
      </c>
      <c r="H150" s="3">
        <f>grocery_chain_data[[#This Row],[Quantity]]*grocery_chain_data[[#This Row],[Unit Price]]</f>
        <v>20</v>
      </c>
      <c r="I150" s="3">
        <v>4</v>
      </c>
      <c r="J150" s="3">
        <f>grocery_chain_data[[#This Row],[Total Amount]]-grocery_chain_data[[#This Row],[Discount Amount]]</f>
        <v>16</v>
      </c>
      <c r="K150">
        <v>328</v>
      </c>
      <c r="L150" t="str">
        <f>IF(grocery_chain_data[[#This Row],[Final Amount]]&lt;0,"Return","Sale")</f>
        <v>Sale</v>
      </c>
      <c r="M150">
        <f>IF(grocery_chain_data[[#This Row],[Final Amount]]&lt;0,0,grocery_chain_data[[#This Row],[Final Amount]])</f>
        <v>16</v>
      </c>
    </row>
    <row r="151" spans="1:13" x14ac:dyDescent="0.3">
      <c r="A151">
        <v>7209</v>
      </c>
      <c r="B151" t="s">
        <v>21</v>
      </c>
      <c r="C151" s="1">
        <v>45146</v>
      </c>
      <c r="D151" s="1" t="str">
        <f t="shared" si="2"/>
        <v>Dairy</v>
      </c>
      <c r="E151" t="s">
        <v>23</v>
      </c>
      <c r="F151" s="2">
        <v>1</v>
      </c>
      <c r="G151" s="3">
        <v>25</v>
      </c>
      <c r="H151" s="3">
        <f>grocery_chain_data[[#This Row],[Quantity]]*grocery_chain_data[[#This Row],[Unit Price]]</f>
        <v>25</v>
      </c>
      <c r="I151" s="3">
        <v>2</v>
      </c>
      <c r="J151" s="3">
        <f>grocery_chain_data[[#This Row],[Total Amount]]-grocery_chain_data[[#This Row],[Discount Amount]]</f>
        <v>23</v>
      </c>
      <c r="K151">
        <v>283</v>
      </c>
      <c r="L151" t="str">
        <f>IF(grocery_chain_data[[#This Row],[Final Amount]]&lt;0,"Return","Sale")</f>
        <v>Sale</v>
      </c>
      <c r="M151">
        <f>IF(grocery_chain_data[[#This Row],[Final Amount]]&lt;0,0,grocery_chain_data[[#This Row],[Final Amount]])</f>
        <v>23</v>
      </c>
    </row>
    <row r="152" spans="1:13" x14ac:dyDescent="0.3">
      <c r="A152">
        <v>7396</v>
      </c>
      <c r="B152" t="s">
        <v>21</v>
      </c>
      <c r="C152" s="1">
        <v>45350</v>
      </c>
      <c r="D152" s="1" t="str">
        <f t="shared" si="2"/>
        <v>Dairy</v>
      </c>
      <c r="E152" t="s">
        <v>20</v>
      </c>
      <c r="F152" s="2">
        <v>5</v>
      </c>
      <c r="G152" s="3">
        <v>1</v>
      </c>
      <c r="H152" s="3">
        <f>grocery_chain_data[[#This Row],[Quantity]]*grocery_chain_data[[#This Row],[Unit Price]]</f>
        <v>5</v>
      </c>
      <c r="I152" s="3">
        <v>1</v>
      </c>
      <c r="J152" s="3">
        <f>grocery_chain_data[[#This Row],[Total Amount]]-grocery_chain_data[[#This Row],[Discount Amount]]</f>
        <v>4</v>
      </c>
      <c r="K152">
        <v>439</v>
      </c>
      <c r="L152" t="str">
        <f>IF(grocery_chain_data[[#This Row],[Final Amount]]&lt;0,"Return","Sale")</f>
        <v>Sale</v>
      </c>
      <c r="M152">
        <f>IF(grocery_chain_data[[#This Row],[Final Amount]]&lt;0,0,grocery_chain_data[[#This Row],[Final Amount]])</f>
        <v>4</v>
      </c>
    </row>
    <row r="153" spans="1:13" x14ac:dyDescent="0.3">
      <c r="A153">
        <v>8454</v>
      </c>
      <c r="B153" t="s">
        <v>2</v>
      </c>
      <c r="C153" s="1">
        <v>45366</v>
      </c>
      <c r="D153" s="1" t="str">
        <f t="shared" si="2"/>
        <v>Produce</v>
      </c>
      <c r="E153" t="s">
        <v>11</v>
      </c>
      <c r="F153" s="2">
        <v>1</v>
      </c>
      <c r="G153" s="3">
        <v>20</v>
      </c>
      <c r="H153" s="3">
        <f>grocery_chain_data[[#This Row],[Quantity]]*grocery_chain_data[[#This Row],[Unit Price]]</f>
        <v>20</v>
      </c>
      <c r="I153" s="3">
        <v>2</v>
      </c>
      <c r="J153" s="3">
        <f>grocery_chain_data[[#This Row],[Total Amount]]-grocery_chain_data[[#This Row],[Discount Amount]]</f>
        <v>18</v>
      </c>
      <c r="K153">
        <v>13</v>
      </c>
      <c r="L153" t="str">
        <f>IF(grocery_chain_data[[#This Row],[Final Amount]]&lt;0,"Return","Sale")</f>
        <v>Sale</v>
      </c>
      <c r="M153">
        <f>IF(grocery_chain_data[[#This Row],[Final Amount]]&lt;0,0,grocery_chain_data[[#This Row],[Final Amount]])</f>
        <v>18</v>
      </c>
    </row>
    <row r="154" spans="1:13" x14ac:dyDescent="0.3">
      <c r="A154">
        <v>7930</v>
      </c>
      <c r="B154" t="s">
        <v>21</v>
      </c>
      <c r="C154" s="1">
        <v>45686</v>
      </c>
      <c r="D154" s="1" t="str">
        <f t="shared" si="2"/>
        <v>Pantry</v>
      </c>
      <c r="E154" t="s">
        <v>6</v>
      </c>
      <c r="F154" s="2">
        <v>1</v>
      </c>
      <c r="G154" s="3">
        <v>6</v>
      </c>
      <c r="H154" s="3">
        <f>grocery_chain_data[[#This Row],[Quantity]]*grocery_chain_data[[#This Row],[Unit Price]]</f>
        <v>6</v>
      </c>
      <c r="I154" s="3">
        <v>0</v>
      </c>
      <c r="J154" s="3">
        <f>grocery_chain_data[[#This Row],[Total Amount]]-grocery_chain_data[[#This Row],[Discount Amount]]</f>
        <v>6</v>
      </c>
      <c r="K154">
        <v>26</v>
      </c>
      <c r="L154" t="str">
        <f>IF(grocery_chain_data[[#This Row],[Final Amount]]&lt;0,"Return","Sale")</f>
        <v>Sale</v>
      </c>
      <c r="M154">
        <f>IF(grocery_chain_data[[#This Row],[Final Amount]]&lt;0,0,grocery_chain_data[[#This Row],[Final Amount]])</f>
        <v>6</v>
      </c>
    </row>
    <row r="155" spans="1:13" x14ac:dyDescent="0.3">
      <c r="A155">
        <v>8973</v>
      </c>
      <c r="B155" t="s">
        <v>8</v>
      </c>
      <c r="C155" s="1">
        <v>45265</v>
      </c>
      <c r="D155" s="1" t="str">
        <f t="shared" si="2"/>
        <v>Meat &amp; Seafood</v>
      </c>
      <c r="E155" t="s">
        <v>26</v>
      </c>
      <c r="F155" s="2">
        <v>1</v>
      </c>
      <c r="G155" s="3">
        <v>15</v>
      </c>
      <c r="H155" s="3">
        <f>grocery_chain_data[[#This Row],[Quantity]]*grocery_chain_data[[#This Row],[Unit Price]]</f>
        <v>15</v>
      </c>
      <c r="I155" s="3">
        <v>3</v>
      </c>
      <c r="J155" s="3">
        <f>grocery_chain_data[[#This Row],[Total Amount]]-grocery_chain_data[[#This Row],[Discount Amount]]</f>
        <v>12</v>
      </c>
      <c r="K155">
        <v>398</v>
      </c>
      <c r="L155" t="str">
        <f>IF(grocery_chain_data[[#This Row],[Final Amount]]&lt;0,"Return","Sale")</f>
        <v>Sale</v>
      </c>
      <c r="M155">
        <f>IF(grocery_chain_data[[#This Row],[Final Amount]]&lt;0,0,grocery_chain_data[[#This Row],[Final Amount]])</f>
        <v>12</v>
      </c>
    </row>
    <row r="156" spans="1:13" x14ac:dyDescent="0.3">
      <c r="A156">
        <v>4111</v>
      </c>
      <c r="B156" t="s">
        <v>10</v>
      </c>
      <c r="C156" s="1">
        <v>45375</v>
      </c>
      <c r="D156" s="1" t="str">
        <f t="shared" si="2"/>
        <v>Meat &amp; Seafood</v>
      </c>
      <c r="E156" t="s">
        <v>9</v>
      </c>
      <c r="F156" s="2">
        <v>5</v>
      </c>
      <c r="G156" s="3">
        <v>2</v>
      </c>
      <c r="H156" s="3">
        <f>grocery_chain_data[[#This Row],[Quantity]]*grocery_chain_data[[#This Row],[Unit Price]]</f>
        <v>10</v>
      </c>
      <c r="I156" s="3">
        <v>1</v>
      </c>
      <c r="J156" s="3">
        <f>grocery_chain_data[[#This Row],[Total Amount]]-grocery_chain_data[[#This Row],[Discount Amount]]</f>
        <v>9</v>
      </c>
      <c r="K156">
        <v>401</v>
      </c>
      <c r="L156" t="str">
        <f>IF(grocery_chain_data[[#This Row],[Final Amount]]&lt;0,"Return","Sale")</f>
        <v>Sale</v>
      </c>
      <c r="M156">
        <f>IF(grocery_chain_data[[#This Row],[Final Amount]]&lt;0,0,grocery_chain_data[[#This Row],[Final Amount]])</f>
        <v>9</v>
      </c>
    </row>
    <row r="157" spans="1:13" x14ac:dyDescent="0.3">
      <c r="A157">
        <v>4566</v>
      </c>
      <c r="B157" t="s">
        <v>13</v>
      </c>
      <c r="C157" s="1">
        <v>45190</v>
      </c>
      <c r="D157" s="1" t="str">
        <f t="shared" si="2"/>
        <v>Produce</v>
      </c>
      <c r="E157" t="s">
        <v>25</v>
      </c>
      <c r="F157" s="2">
        <v>4</v>
      </c>
      <c r="G157" s="3">
        <v>13</v>
      </c>
      <c r="H157" s="3">
        <f>grocery_chain_data[[#This Row],[Quantity]]*grocery_chain_data[[#This Row],[Unit Price]]</f>
        <v>52</v>
      </c>
      <c r="I157" s="3">
        <v>0</v>
      </c>
      <c r="J157" s="3">
        <f>grocery_chain_data[[#This Row],[Total Amount]]-grocery_chain_data[[#This Row],[Discount Amount]]</f>
        <v>52</v>
      </c>
      <c r="K157">
        <v>55</v>
      </c>
      <c r="L157" t="str">
        <f>IF(grocery_chain_data[[#This Row],[Final Amount]]&lt;0,"Return","Sale")</f>
        <v>Sale</v>
      </c>
      <c r="M157">
        <f>IF(grocery_chain_data[[#This Row],[Final Amount]]&lt;0,0,grocery_chain_data[[#This Row],[Final Amount]])</f>
        <v>52</v>
      </c>
    </row>
    <row r="158" spans="1:13" x14ac:dyDescent="0.3">
      <c r="A158">
        <v>9883</v>
      </c>
      <c r="B158" t="s">
        <v>10</v>
      </c>
      <c r="C158" s="1">
        <v>45192</v>
      </c>
      <c r="D158" s="1" t="str">
        <f t="shared" si="2"/>
        <v>Bakery</v>
      </c>
      <c r="E158" t="s">
        <v>22</v>
      </c>
      <c r="F158" s="2">
        <v>3</v>
      </c>
      <c r="G158" s="3">
        <v>19</v>
      </c>
      <c r="H158" s="3">
        <f>grocery_chain_data[[#This Row],[Quantity]]*grocery_chain_data[[#This Row],[Unit Price]]</f>
        <v>57</v>
      </c>
      <c r="I158" s="3">
        <v>8</v>
      </c>
      <c r="J158" s="3">
        <f>grocery_chain_data[[#This Row],[Total Amount]]-grocery_chain_data[[#This Row],[Discount Amount]]</f>
        <v>49</v>
      </c>
      <c r="K158">
        <v>33</v>
      </c>
      <c r="L158" t="str">
        <f>IF(grocery_chain_data[[#This Row],[Final Amount]]&lt;0,"Return","Sale")</f>
        <v>Sale</v>
      </c>
      <c r="M158">
        <f>IF(grocery_chain_data[[#This Row],[Final Amount]]&lt;0,0,grocery_chain_data[[#This Row],[Final Amount]])</f>
        <v>49</v>
      </c>
    </row>
    <row r="159" spans="1:13" x14ac:dyDescent="0.3">
      <c r="A159">
        <v>6138</v>
      </c>
      <c r="B159" t="s">
        <v>2</v>
      </c>
      <c r="C159" s="1">
        <v>45189</v>
      </c>
      <c r="D159" s="1" t="str">
        <f t="shared" si="2"/>
        <v>Produce</v>
      </c>
      <c r="E159" t="s">
        <v>14</v>
      </c>
      <c r="F159" s="2">
        <v>5</v>
      </c>
      <c r="G159" s="3">
        <v>16</v>
      </c>
      <c r="H159" s="3">
        <f>grocery_chain_data[[#This Row],[Quantity]]*grocery_chain_data[[#This Row],[Unit Price]]</f>
        <v>80</v>
      </c>
      <c r="I159" s="3">
        <v>4</v>
      </c>
      <c r="J159" s="3">
        <f>grocery_chain_data[[#This Row],[Total Amount]]-grocery_chain_data[[#This Row],[Discount Amount]]</f>
        <v>76</v>
      </c>
      <c r="K159">
        <v>232</v>
      </c>
      <c r="L159" t="str">
        <f>IF(grocery_chain_data[[#This Row],[Final Amount]]&lt;0,"Return","Sale")</f>
        <v>Sale</v>
      </c>
      <c r="M159">
        <f>IF(grocery_chain_data[[#This Row],[Final Amount]]&lt;0,0,grocery_chain_data[[#This Row],[Final Amount]])</f>
        <v>76</v>
      </c>
    </row>
    <row r="160" spans="1:13" x14ac:dyDescent="0.3">
      <c r="A160">
        <v>1821</v>
      </c>
      <c r="B160" t="s">
        <v>0</v>
      </c>
      <c r="C160" s="1">
        <v>45598</v>
      </c>
      <c r="D160" s="1" t="str">
        <f t="shared" si="2"/>
        <v>Produce</v>
      </c>
      <c r="E160" t="s">
        <v>4</v>
      </c>
      <c r="F160" s="2">
        <v>2</v>
      </c>
      <c r="G160" s="3">
        <v>13</v>
      </c>
      <c r="H160" s="3">
        <f>grocery_chain_data[[#This Row],[Quantity]]*grocery_chain_data[[#This Row],[Unit Price]]</f>
        <v>26</v>
      </c>
      <c r="I160" s="3">
        <v>3</v>
      </c>
      <c r="J160" s="3">
        <f>grocery_chain_data[[#This Row],[Total Amount]]-grocery_chain_data[[#This Row],[Discount Amount]]</f>
        <v>23</v>
      </c>
      <c r="K160">
        <v>454</v>
      </c>
      <c r="L160" t="str">
        <f>IF(grocery_chain_data[[#This Row],[Final Amount]]&lt;0,"Return","Sale")</f>
        <v>Sale</v>
      </c>
      <c r="M160">
        <f>IF(grocery_chain_data[[#This Row],[Final Amount]]&lt;0,0,grocery_chain_data[[#This Row],[Final Amount]])</f>
        <v>23</v>
      </c>
    </row>
    <row r="161" spans="1:13" x14ac:dyDescent="0.3">
      <c r="A161">
        <v>8811</v>
      </c>
      <c r="B161" t="s">
        <v>16</v>
      </c>
      <c r="C161" s="1">
        <v>45535</v>
      </c>
      <c r="D161" s="1" t="str">
        <f t="shared" si="2"/>
        <v>Produce</v>
      </c>
      <c r="E161" t="s">
        <v>14</v>
      </c>
      <c r="F161" s="2">
        <v>4</v>
      </c>
      <c r="G161" s="3">
        <v>22</v>
      </c>
      <c r="H161" s="3">
        <f>grocery_chain_data[[#This Row],[Quantity]]*grocery_chain_data[[#This Row],[Unit Price]]</f>
        <v>88</v>
      </c>
      <c r="I161" s="3">
        <v>13</v>
      </c>
      <c r="J161" s="3">
        <f>grocery_chain_data[[#This Row],[Total Amount]]-grocery_chain_data[[#This Row],[Discount Amount]]</f>
        <v>75</v>
      </c>
      <c r="K161">
        <v>160</v>
      </c>
      <c r="L161" t="str">
        <f>IF(grocery_chain_data[[#This Row],[Final Amount]]&lt;0,"Return","Sale")</f>
        <v>Sale</v>
      </c>
      <c r="M161">
        <f>IF(grocery_chain_data[[#This Row],[Final Amount]]&lt;0,0,grocery_chain_data[[#This Row],[Final Amount]])</f>
        <v>75</v>
      </c>
    </row>
    <row r="162" spans="1:13" x14ac:dyDescent="0.3">
      <c r="A162">
        <v>9701</v>
      </c>
      <c r="B162" t="s">
        <v>12</v>
      </c>
      <c r="C162" s="1">
        <v>45267</v>
      </c>
      <c r="D162" s="1" t="str">
        <f t="shared" si="2"/>
        <v>Dairy</v>
      </c>
      <c r="E162" t="s">
        <v>20</v>
      </c>
      <c r="F162" s="2">
        <v>4</v>
      </c>
      <c r="G162" s="3">
        <v>3</v>
      </c>
      <c r="H162" s="3">
        <f>grocery_chain_data[[#This Row],[Quantity]]*grocery_chain_data[[#This Row],[Unit Price]]</f>
        <v>12</v>
      </c>
      <c r="I162" s="3">
        <v>3</v>
      </c>
      <c r="J162" s="3">
        <f>grocery_chain_data[[#This Row],[Total Amount]]-grocery_chain_data[[#This Row],[Discount Amount]]</f>
        <v>9</v>
      </c>
      <c r="K162">
        <v>425</v>
      </c>
      <c r="L162" t="str">
        <f>IF(grocery_chain_data[[#This Row],[Final Amount]]&lt;0,"Return","Sale")</f>
        <v>Sale</v>
      </c>
      <c r="M162">
        <f>IF(grocery_chain_data[[#This Row],[Final Amount]]&lt;0,0,grocery_chain_data[[#This Row],[Final Amount]])</f>
        <v>9</v>
      </c>
    </row>
    <row r="163" spans="1:13" x14ac:dyDescent="0.3">
      <c r="A163">
        <v>1931</v>
      </c>
      <c r="B163" t="s">
        <v>16</v>
      </c>
      <c r="C163" s="1">
        <v>45539</v>
      </c>
      <c r="D163" s="1" t="str">
        <f t="shared" si="2"/>
        <v>Produce</v>
      </c>
      <c r="E163" t="s">
        <v>4</v>
      </c>
      <c r="F163" s="2">
        <v>1</v>
      </c>
      <c r="G163" s="3">
        <v>18</v>
      </c>
      <c r="H163" s="3">
        <f>grocery_chain_data[[#This Row],[Quantity]]*grocery_chain_data[[#This Row],[Unit Price]]</f>
        <v>18</v>
      </c>
      <c r="I163" s="3">
        <v>0</v>
      </c>
      <c r="J163" s="3">
        <f>grocery_chain_data[[#This Row],[Total Amount]]-grocery_chain_data[[#This Row],[Discount Amount]]</f>
        <v>18</v>
      </c>
      <c r="K163">
        <v>287</v>
      </c>
      <c r="L163" t="str">
        <f>IF(grocery_chain_data[[#This Row],[Final Amount]]&lt;0,"Return","Sale")</f>
        <v>Sale</v>
      </c>
      <c r="M163">
        <f>IF(grocery_chain_data[[#This Row],[Final Amount]]&lt;0,0,grocery_chain_data[[#This Row],[Final Amount]])</f>
        <v>18</v>
      </c>
    </row>
    <row r="164" spans="1:13" x14ac:dyDescent="0.3">
      <c r="A164">
        <v>2312</v>
      </c>
      <c r="B164" t="s">
        <v>0</v>
      </c>
      <c r="C164" s="1">
        <v>45806</v>
      </c>
      <c r="D164" s="1" t="str">
        <f t="shared" si="2"/>
        <v>Beverages</v>
      </c>
      <c r="E164" t="s">
        <v>7</v>
      </c>
      <c r="F164" s="2">
        <v>4</v>
      </c>
      <c r="G164" s="3">
        <v>26</v>
      </c>
      <c r="H164" s="3">
        <f>grocery_chain_data[[#This Row],[Quantity]]*grocery_chain_data[[#This Row],[Unit Price]]</f>
        <v>104</v>
      </c>
      <c r="I164" s="3">
        <v>16</v>
      </c>
      <c r="J164" s="3">
        <f>grocery_chain_data[[#This Row],[Total Amount]]-grocery_chain_data[[#This Row],[Discount Amount]]</f>
        <v>88</v>
      </c>
      <c r="K164">
        <v>369</v>
      </c>
      <c r="L164" t="str">
        <f>IF(grocery_chain_data[[#This Row],[Final Amount]]&lt;0,"Return","Sale")</f>
        <v>Sale</v>
      </c>
      <c r="M164">
        <f>IF(grocery_chain_data[[#This Row],[Final Amount]]&lt;0,0,grocery_chain_data[[#This Row],[Final Amount]])</f>
        <v>88</v>
      </c>
    </row>
    <row r="165" spans="1:13" x14ac:dyDescent="0.3">
      <c r="A165">
        <v>4044</v>
      </c>
      <c r="B165" t="s">
        <v>12</v>
      </c>
      <c r="C165" s="1">
        <v>45198</v>
      </c>
      <c r="D165" s="1" t="str">
        <f t="shared" si="2"/>
        <v>Meat &amp; Seafood</v>
      </c>
      <c r="E165" t="s">
        <v>26</v>
      </c>
      <c r="F165" s="2">
        <v>5</v>
      </c>
      <c r="G165" s="3">
        <v>16</v>
      </c>
      <c r="H165" s="3">
        <f>grocery_chain_data[[#This Row],[Quantity]]*grocery_chain_data[[#This Row],[Unit Price]]</f>
        <v>80</v>
      </c>
      <c r="I165" s="3">
        <v>16</v>
      </c>
      <c r="J165" s="3">
        <f>grocery_chain_data[[#This Row],[Total Amount]]-grocery_chain_data[[#This Row],[Discount Amount]]</f>
        <v>64</v>
      </c>
      <c r="K165">
        <v>79</v>
      </c>
      <c r="L165" t="str">
        <f>IF(grocery_chain_data[[#This Row],[Final Amount]]&lt;0,"Return","Sale")</f>
        <v>Sale</v>
      </c>
      <c r="M165">
        <f>IF(grocery_chain_data[[#This Row],[Final Amount]]&lt;0,0,grocery_chain_data[[#This Row],[Final Amount]])</f>
        <v>64</v>
      </c>
    </row>
    <row r="166" spans="1:13" x14ac:dyDescent="0.3">
      <c r="A166">
        <v>2113</v>
      </c>
      <c r="B166" t="s">
        <v>0</v>
      </c>
      <c r="C166" s="1">
        <v>45669</v>
      </c>
      <c r="D166" s="1" t="str">
        <f t="shared" si="2"/>
        <v>Produce</v>
      </c>
      <c r="E166" t="s">
        <v>4</v>
      </c>
      <c r="F166" s="2">
        <v>3</v>
      </c>
      <c r="G166" s="3">
        <v>4</v>
      </c>
      <c r="H166" s="3">
        <f>grocery_chain_data[[#This Row],[Quantity]]*grocery_chain_data[[#This Row],[Unit Price]]</f>
        <v>12</v>
      </c>
      <c r="I166" s="3">
        <v>1</v>
      </c>
      <c r="J166" s="3">
        <f>grocery_chain_data[[#This Row],[Total Amount]]-grocery_chain_data[[#This Row],[Discount Amount]]</f>
        <v>11</v>
      </c>
      <c r="K166">
        <v>142</v>
      </c>
      <c r="L166" t="str">
        <f>IF(grocery_chain_data[[#This Row],[Final Amount]]&lt;0,"Return","Sale")</f>
        <v>Sale</v>
      </c>
      <c r="M166">
        <f>IF(grocery_chain_data[[#This Row],[Final Amount]]&lt;0,0,grocery_chain_data[[#This Row],[Final Amount]])</f>
        <v>11</v>
      </c>
    </row>
    <row r="167" spans="1:13" x14ac:dyDescent="0.3">
      <c r="A167">
        <v>4853</v>
      </c>
      <c r="B167" t="s">
        <v>2</v>
      </c>
      <c r="C167" s="1">
        <v>45458</v>
      </c>
      <c r="D167" s="1" t="str">
        <f t="shared" si="2"/>
        <v>Produce</v>
      </c>
      <c r="E167" t="s">
        <v>4</v>
      </c>
      <c r="F167" s="2">
        <v>1</v>
      </c>
      <c r="G167" s="3">
        <v>19</v>
      </c>
      <c r="H167" s="3">
        <f>grocery_chain_data[[#This Row],[Quantity]]*grocery_chain_data[[#This Row],[Unit Price]]</f>
        <v>19</v>
      </c>
      <c r="I167" s="3">
        <v>2</v>
      </c>
      <c r="J167" s="3">
        <f>grocery_chain_data[[#This Row],[Total Amount]]-grocery_chain_data[[#This Row],[Discount Amount]]</f>
        <v>17</v>
      </c>
      <c r="K167">
        <v>336</v>
      </c>
      <c r="L167" t="str">
        <f>IF(grocery_chain_data[[#This Row],[Final Amount]]&lt;0,"Return","Sale")</f>
        <v>Sale</v>
      </c>
      <c r="M167">
        <f>IF(grocery_chain_data[[#This Row],[Final Amount]]&lt;0,0,grocery_chain_data[[#This Row],[Final Amount]])</f>
        <v>17</v>
      </c>
    </row>
    <row r="168" spans="1:13" x14ac:dyDescent="0.3">
      <c r="A168">
        <v>2964</v>
      </c>
      <c r="B168" t="s">
        <v>12</v>
      </c>
      <c r="C168" s="1">
        <v>45836</v>
      </c>
      <c r="D168" s="1" t="str">
        <f t="shared" si="2"/>
        <v>Beverages</v>
      </c>
      <c r="E168" t="s">
        <v>7</v>
      </c>
      <c r="F168" s="2">
        <v>1</v>
      </c>
      <c r="G168" s="3">
        <v>6</v>
      </c>
      <c r="H168" s="3">
        <f>grocery_chain_data[[#This Row],[Quantity]]*grocery_chain_data[[#This Row],[Unit Price]]</f>
        <v>6</v>
      </c>
      <c r="I168" s="3">
        <v>2</v>
      </c>
      <c r="J168" s="3">
        <f>grocery_chain_data[[#This Row],[Total Amount]]-grocery_chain_data[[#This Row],[Discount Amount]]</f>
        <v>4</v>
      </c>
      <c r="K168">
        <v>73</v>
      </c>
      <c r="L168" t="str">
        <f>IF(grocery_chain_data[[#This Row],[Final Amount]]&lt;0,"Return","Sale")</f>
        <v>Sale</v>
      </c>
      <c r="M168">
        <f>IF(grocery_chain_data[[#This Row],[Final Amount]]&lt;0,0,grocery_chain_data[[#This Row],[Final Amount]])</f>
        <v>4</v>
      </c>
    </row>
    <row r="169" spans="1:13" x14ac:dyDescent="0.3">
      <c r="A169">
        <v>5033</v>
      </c>
      <c r="B169" t="s">
        <v>13</v>
      </c>
      <c r="C169" s="1">
        <v>45594</v>
      </c>
      <c r="D169" s="1" t="str">
        <f t="shared" si="2"/>
        <v>Produce</v>
      </c>
      <c r="E169" t="s">
        <v>24</v>
      </c>
      <c r="F169" s="2">
        <v>2</v>
      </c>
      <c r="G169" s="3">
        <v>12</v>
      </c>
      <c r="H169" s="3">
        <f>grocery_chain_data[[#This Row],[Quantity]]*grocery_chain_data[[#This Row],[Unit Price]]</f>
        <v>24</v>
      </c>
      <c r="I169" s="3">
        <v>5</v>
      </c>
      <c r="J169" s="3">
        <f>grocery_chain_data[[#This Row],[Total Amount]]-grocery_chain_data[[#This Row],[Discount Amount]]</f>
        <v>19</v>
      </c>
      <c r="K169">
        <v>232</v>
      </c>
      <c r="L169" t="str">
        <f>IF(grocery_chain_data[[#This Row],[Final Amount]]&lt;0,"Return","Sale")</f>
        <v>Sale</v>
      </c>
      <c r="M169">
        <f>IF(grocery_chain_data[[#This Row],[Final Amount]]&lt;0,0,grocery_chain_data[[#This Row],[Final Amount]])</f>
        <v>19</v>
      </c>
    </row>
    <row r="170" spans="1:13" x14ac:dyDescent="0.3">
      <c r="A170">
        <v>1651</v>
      </c>
      <c r="B170" t="s">
        <v>16</v>
      </c>
      <c r="C170" s="1">
        <v>45626</v>
      </c>
      <c r="D170" s="1" t="str">
        <f t="shared" si="2"/>
        <v>Pantry</v>
      </c>
      <c r="E170" t="s">
        <v>6</v>
      </c>
      <c r="F170" s="2">
        <v>5</v>
      </c>
      <c r="G170" s="3">
        <v>18</v>
      </c>
      <c r="H170" s="3">
        <f>grocery_chain_data[[#This Row],[Quantity]]*grocery_chain_data[[#This Row],[Unit Price]]</f>
        <v>90</v>
      </c>
      <c r="I170" s="3">
        <v>18</v>
      </c>
      <c r="J170" s="3">
        <f>grocery_chain_data[[#This Row],[Total Amount]]-grocery_chain_data[[#This Row],[Discount Amount]]</f>
        <v>72</v>
      </c>
      <c r="K170">
        <v>452</v>
      </c>
      <c r="L170" t="str">
        <f>IF(grocery_chain_data[[#This Row],[Final Amount]]&lt;0,"Return","Sale")</f>
        <v>Sale</v>
      </c>
      <c r="M170">
        <f>IF(grocery_chain_data[[#This Row],[Final Amount]]&lt;0,0,grocery_chain_data[[#This Row],[Final Amount]])</f>
        <v>72</v>
      </c>
    </row>
    <row r="171" spans="1:13" x14ac:dyDescent="0.3">
      <c r="A171">
        <v>2343</v>
      </c>
      <c r="B171" t="s">
        <v>5</v>
      </c>
      <c r="C171" s="1">
        <v>45470</v>
      </c>
      <c r="D171" s="1" t="str">
        <f t="shared" si="2"/>
        <v>Dairy</v>
      </c>
      <c r="E171" t="s">
        <v>19</v>
      </c>
      <c r="F171" s="2">
        <v>1</v>
      </c>
      <c r="G171" s="3">
        <v>9</v>
      </c>
      <c r="H171" s="3">
        <f>grocery_chain_data[[#This Row],[Quantity]]*grocery_chain_data[[#This Row],[Unit Price]]</f>
        <v>9</v>
      </c>
      <c r="I171" s="3">
        <v>1</v>
      </c>
      <c r="J171" s="3">
        <f>grocery_chain_data[[#This Row],[Total Amount]]-grocery_chain_data[[#This Row],[Discount Amount]]</f>
        <v>8</v>
      </c>
      <c r="K171">
        <v>338</v>
      </c>
      <c r="L171" t="str">
        <f>IF(grocery_chain_data[[#This Row],[Final Amount]]&lt;0,"Return","Sale")</f>
        <v>Sale</v>
      </c>
      <c r="M171">
        <f>IF(grocery_chain_data[[#This Row],[Final Amount]]&lt;0,0,grocery_chain_data[[#This Row],[Final Amount]])</f>
        <v>8</v>
      </c>
    </row>
    <row r="172" spans="1:13" x14ac:dyDescent="0.3">
      <c r="A172">
        <v>9565</v>
      </c>
      <c r="B172" t="s">
        <v>10</v>
      </c>
      <c r="C172" s="1">
        <v>45390</v>
      </c>
      <c r="D172" s="1" t="str">
        <f t="shared" si="2"/>
        <v>Pantry</v>
      </c>
      <c r="E172" t="s">
        <v>1</v>
      </c>
      <c r="F172" s="2">
        <v>2</v>
      </c>
      <c r="G172" s="3">
        <v>23</v>
      </c>
      <c r="H172" s="3">
        <f>grocery_chain_data[[#This Row],[Quantity]]*grocery_chain_data[[#This Row],[Unit Price]]</f>
        <v>46</v>
      </c>
      <c r="I172" s="3">
        <v>5</v>
      </c>
      <c r="J172" s="3">
        <f>grocery_chain_data[[#This Row],[Total Amount]]-grocery_chain_data[[#This Row],[Discount Amount]]</f>
        <v>41</v>
      </c>
      <c r="K172">
        <v>58</v>
      </c>
      <c r="L172" t="str">
        <f>IF(grocery_chain_data[[#This Row],[Final Amount]]&lt;0,"Return","Sale")</f>
        <v>Sale</v>
      </c>
      <c r="M172">
        <f>IF(grocery_chain_data[[#This Row],[Final Amount]]&lt;0,0,grocery_chain_data[[#This Row],[Final Amount]])</f>
        <v>41</v>
      </c>
    </row>
    <row r="173" spans="1:13" x14ac:dyDescent="0.3">
      <c r="A173">
        <v>5272</v>
      </c>
      <c r="B173" t="s">
        <v>0</v>
      </c>
      <c r="C173" s="1">
        <v>45303</v>
      </c>
      <c r="D173" s="1" t="str">
        <f t="shared" si="2"/>
        <v>Produce</v>
      </c>
      <c r="E173" t="s">
        <v>25</v>
      </c>
      <c r="F173" s="2">
        <v>5</v>
      </c>
      <c r="G173" s="3">
        <v>20</v>
      </c>
      <c r="H173" s="3">
        <f>grocery_chain_data[[#This Row],[Quantity]]*grocery_chain_data[[#This Row],[Unit Price]]</f>
        <v>100</v>
      </c>
      <c r="I173" s="3">
        <v>10</v>
      </c>
      <c r="J173" s="3">
        <f>grocery_chain_data[[#This Row],[Total Amount]]-grocery_chain_data[[#This Row],[Discount Amount]]</f>
        <v>90</v>
      </c>
      <c r="K173">
        <v>23</v>
      </c>
      <c r="L173" t="str">
        <f>IF(grocery_chain_data[[#This Row],[Final Amount]]&lt;0,"Return","Sale")</f>
        <v>Sale</v>
      </c>
      <c r="M173">
        <f>IF(grocery_chain_data[[#This Row],[Final Amount]]&lt;0,0,grocery_chain_data[[#This Row],[Final Amount]])</f>
        <v>90</v>
      </c>
    </row>
    <row r="174" spans="1:13" x14ac:dyDescent="0.3">
      <c r="A174">
        <v>6147</v>
      </c>
      <c r="B174" t="s">
        <v>13</v>
      </c>
      <c r="C174" s="1">
        <v>45330</v>
      </c>
      <c r="D174" s="1" t="str">
        <f t="shared" si="2"/>
        <v>Dairy</v>
      </c>
      <c r="E174" t="s">
        <v>23</v>
      </c>
      <c r="F174" s="2">
        <v>3</v>
      </c>
      <c r="G174" s="3">
        <v>28</v>
      </c>
      <c r="H174" s="3">
        <f>grocery_chain_data[[#This Row],[Quantity]]*grocery_chain_data[[#This Row],[Unit Price]]</f>
        <v>84</v>
      </c>
      <c r="I174" s="3">
        <v>13</v>
      </c>
      <c r="J174" s="3">
        <f>grocery_chain_data[[#This Row],[Total Amount]]-grocery_chain_data[[#This Row],[Discount Amount]]</f>
        <v>71</v>
      </c>
      <c r="K174">
        <v>392</v>
      </c>
      <c r="L174" t="str">
        <f>IF(grocery_chain_data[[#This Row],[Final Amount]]&lt;0,"Return","Sale")</f>
        <v>Sale</v>
      </c>
      <c r="M174">
        <f>IF(grocery_chain_data[[#This Row],[Final Amount]]&lt;0,0,grocery_chain_data[[#This Row],[Final Amount]])</f>
        <v>71</v>
      </c>
    </row>
    <row r="175" spans="1:13" x14ac:dyDescent="0.3">
      <c r="A175">
        <v>5351</v>
      </c>
      <c r="B175" t="s">
        <v>12</v>
      </c>
      <c r="C175" s="1">
        <v>45452</v>
      </c>
      <c r="D175" s="1" t="str">
        <f t="shared" si="2"/>
        <v>Meat &amp; Seafood</v>
      </c>
      <c r="E175" t="s">
        <v>26</v>
      </c>
      <c r="F175" s="2">
        <v>1</v>
      </c>
      <c r="G175" s="3">
        <v>15</v>
      </c>
      <c r="H175" s="3">
        <f>grocery_chain_data[[#This Row],[Quantity]]*grocery_chain_data[[#This Row],[Unit Price]]</f>
        <v>15</v>
      </c>
      <c r="I175" s="3">
        <v>3</v>
      </c>
      <c r="J175" s="3">
        <f>grocery_chain_data[[#This Row],[Total Amount]]-grocery_chain_data[[#This Row],[Discount Amount]]</f>
        <v>12</v>
      </c>
      <c r="K175">
        <v>220</v>
      </c>
      <c r="L175" t="str">
        <f>IF(grocery_chain_data[[#This Row],[Final Amount]]&lt;0,"Return","Sale")</f>
        <v>Sale</v>
      </c>
      <c r="M175">
        <f>IF(grocery_chain_data[[#This Row],[Final Amount]]&lt;0,0,grocery_chain_data[[#This Row],[Final Amount]])</f>
        <v>12</v>
      </c>
    </row>
    <row r="176" spans="1:13" x14ac:dyDescent="0.3">
      <c r="A176">
        <v>3144</v>
      </c>
      <c r="B176" t="s">
        <v>8</v>
      </c>
      <c r="C176" s="1">
        <v>45666</v>
      </c>
      <c r="D176" s="1" t="str">
        <f t="shared" si="2"/>
        <v>Meat &amp; Seafood</v>
      </c>
      <c r="E176" t="s">
        <v>9</v>
      </c>
      <c r="F176" s="2">
        <v>5</v>
      </c>
      <c r="G176" s="3">
        <v>17</v>
      </c>
      <c r="H176" s="3">
        <f>grocery_chain_data[[#This Row],[Quantity]]*grocery_chain_data[[#This Row],[Unit Price]]</f>
        <v>85</v>
      </c>
      <c r="I176" s="3">
        <v>3</v>
      </c>
      <c r="J176" s="3">
        <f>grocery_chain_data[[#This Row],[Total Amount]]-grocery_chain_data[[#This Row],[Discount Amount]]</f>
        <v>82</v>
      </c>
      <c r="K176">
        <v>342</v>
      </c>
      <c r="L176" t="str">
        <f>IF(grocery_chain_data[[#This Row],[Final Amount]]&lt;0,"Return","Sale")</f>
        <v>Sale</v>
      </c>
      <c r="M176">
        <f>IF(grocery_chain_data[[#This Row],[Final Amount]]&lt;0,0,grocery_chain_data[[#This Row],[Final Amount]])</f>
        <v>82</v>
      </c>
    </row>
    <row r="177" spans="1:13" x14ac:dyDescent="0.3">
      <c r="A177">
        <v>5915</v>
      </c>
      <c r="B177" t="s">
        <v>13</v>
      </c>
      <c r="C177" s="1">
        <v>45500</v>
      </c>
      <c r="D177" s="1" t="str">
        <f t="shared" si="2"/>
        <v>Produce</v>
      </c>
      <c r="E177" t="s">
        <v>18</v>
      </c>
      <c r="F177" s="2">
        <v>4</v>
      </c>
      <c r="G177" s="3">
        <v>28</v>
      </c>
      <c r="H177" s="3">
        <f>grocery_chain_data[[#This Row],[Quantity]]*grocery_chain_data[[#This Row],[Unit Price]]</f>
        <v>112</v>
      </c>
      <c r="I177" s="3">
        <v>3</v>
      </c>
      <c r="J177" s="3">
        <f>grocery_chain_data[[#This Row],[Total Amount]]-grocery_chain_data[[#This Row],[Discount Amount]]</f>
        <v>109</v>
      </c>
      <c r="K177">
        <v>441</v>
      </c>
      <c r="L177" t="str">
        <f>IF(grocery_chain_data[[#This Row],[Final Amount]]&lt;0,"Return","Sale")</f>
        <v>Sale</v>
      </c>
      <c r="M177">
        <f>IF(grocery_chain_data[[#This Row],[Final Amount]]&lt;0,0,grocery_chain_data[[#This Row],[Final Amount]])</f>
        <v>109</v>
      </c>
    </row>
    <row r="178" spans="1:13" x14ac:dyDescent="0.3">
      <c r="A178">
        <v>6180</v>
      </c>
      <c r="B178" t="s">
        <v>8</v>
      </c>
      <c r="C178" s="1">
        <v>45866</v>
      </c>
      <c r="D178" s="1" t="str">
        <f t="shared" si="2"/>
        <v>Dairy</v>
      </c>
      <c r="E178" t="s">
        <v>3</v>
      </c>
      <c r="F178" s="2">
        <v>3</v>
      </c>
      <c r="G178" s="3">
        <v>4</v>
      </c>
      <c r="H178" s="3">
        <f>grocery_chain_data[[#This Row],[Quantity]]*grocery_chain_data[[#This Row],[Unit Price]]</f>
        <v>12</v>
      </c>
      <c r="I178" s="3">
        <v>3</v>
      </c>
      <c r="J178" s="3">
        <f>grocery_chain_data[[#This Row],[Total Amount]]-grocery_chain_data[[#This Row],[Discount Amount]]</f>
        <v>9</v>
      </c>
      <c r="K178">
        <v>10</v>
      </c>
      <c r="L178" t="str">
        <f>IF(grocery_chain_data[[#This Row],[Final Amount]]&lt;0,"Return","Sale")</f>
        <v>Sale</v>
      </c>
      <c r="M178">
        <f>IF(grocery_chain_data[[#This Row],[Final Amount]]&lt;0,0,grocery_chain_data[[#This Row],[Final Amount]])</f>
        <v>9</v>
      </c>
    </row>
    <row r="179" spans="1:13" x14ac:dyDescent="0.3">
      <c r="A179">
        <v>2188</v>
      </c>
      <c r="B179" t="s">
        <v>10</v>
      </c>
      <c r="C179" s="1">
        <v>45152</v>
      </c>
      <c r="D179" s="1" t="str">
        <f t="shared" si="2"/>
        <v>Bakery</v>
      </c>
      <c r="E179" t="s">
        <v>22</v>
      </c>
      <c r="F179" s="2">
        <v>4</v>
      </c>
      <c r="G179" s="3">
        <v>25</v>
      </c>
      <c r="H179" s="3">
        <f>grocery_chain_data[[#This Row],[Quantity]]*grocery_chain_data[[#This Row],[Unit Price]]</f>
        <v>100</v>
      </c>
      <c r="I179" s="3">
        <v>3</v>
      </c>
      <c r="J179" s="3">
        <f>grocery_chain_data[[#This Row],[Total Amount]]-grocery_chain_data[[#This Row],[Discount Amount]]</f>
        <v>97</v>
      </c>
      <c r="K179">
        <v>124</v>
      </c>
      <c r="L179" t="str">
        <f>IF(grocery_chain_data[[#This Row],[Final Amount]]&lt;0,"Return","Sale")</f>
        <v>Sale</v>
      </c>
      <c r="M179">
        <f>IF(grocery_chain_data[[#This Row],[Final Amount]]&lt;0,0,grocery_chain_data[[#This Row],[Final Amount]])</f>
        <v>97</v>
      </c>
    </row>
    <row r="180" spans="1:13" x14ac:dyDescent="0.3">
      <c r="A180">
        <v>8508</v>
      </c>
      <c r="B180" t="s">
        <v>0</v>
      </c>
      <c r="C180" s="1">
        <v>45627</v>
      </c>
      <c r="D180" s="1" t="str">
        <f t="shared" si="2"/>
        <v>Produce</v>
      </c>
      <c r="E180" t="s">
        <v>17</v>
      </c>
      <c r="F180" s="2">
        <v>3</v>
      </c>
      <c r="G180" s="3">
        <v>7</v>
      </c>
      <c r="H180" s="3">
        <f>grocery_chain_data[[#This Row],[Quantity]]*grocery_chain_data[[#This Row],[Unit Price]]</f>
        <v>21</v>
      </c>
      <c r="I180" s="3">
        <v>3</v>
      </c>
      <c r="J180" s="3">
        <f>grocery_chain_data[[#This Row],[Total Amount]]-grocery_chain_data[[#This Row],[Discount Amount]]</f>
        <v>18</v>
      </c>
      <c r="K180">
        <v>398</v>
      </c>
      <c r="L180" t="str">
        <f>IF(grocery_chain_data[[#This Row],[Final Amount]]&lt;0,"Return","Sale")</f>
        <v>Sale</v>
      </c>
      <c r="M180">
        <f>IF(grocery_chain_data[[#This Row],[Final Amount]]&lt;0,0,grocery_chain_data[[#This Row],[Final Amount]])</f>
        <v>18</v>
      </c>
    </row>
    <row r="181" spans="1:13" x14ac:dyDescent="0.3">
      <c r="A181">
        <v>2638</v>
      </c>
      <c r="B181" t="s">
        <v>0</v>
      </c>
      <c r="C181" s="1">
        <v>45201</v>
      </c>
      <c r="D181" s="1" t="str">
        <f t="shared" si="2"/>
        <v>Produce</v>
      </c>
      <c r="E181" t="s">
        <v>24</v>
      </c>
      <c r="F181" s="2">
        <v>2</v>
      </c>
      <c r="G181" s="3">
        <v>27</v>
      </c>
      <c r="H181" s="3">
        <f>grocery_chain_data[[#This Row],[Quantity]]*grocery_chain_data[[#This Row],[Unit Price]]</f>
        <v>54</v>
      </c>
      <c r="I181" s="3">
        <v>0</v>
      </c>
      <c r="J181" s="3">
        <f>grocery_chain_data[[#This Row],[Total Amount]]-grocery_chain_data[[#This Row],[Discount Amount]]</f>
        <v>54</v>
      </c>
      <c r="K181">
        <v>178</v>
      </c>
      <c r="L181" t="str">
        <f>IF(grocery_chain_data[[#This Row],[Final Amount]]&lt;0,"Return","Sale")</f>
        <v>Sale</v>
      </c>
      <c r="M181">
        <f>IF(grocery_chain_data[[#This Row],[Final Amount]]&lt;0,0,grocery_chain_data[[#This Row],[Final Amount]])</f>
        <v>54</v>
      </c>
    </row>
    <row r="182" spans="1:13" x14ac:dyDescent="0.3">
      <c r="A182">
        <v>9808</v>
      </c>
      <c r="B182" t="s">
        <v>5</v>
      </c>
      <c r="C182" s="1">
        <v>45310</v>
      </c>
      <c r="D182" s="1" t="str">
        <f t="shared" si="2"/>
        <v>Meat &amp; Seafood</v>
      </c>
      <c r="E182" t="s">
        <v>26</v>
      </c>
      <c r="F182" s="2">
        <v>2</v>
      </c>
      <c r="G182" s="3">
        <v>8</v>
      </c>
      <c r="H182" s="3">
        <f>grocery_chain_data[[#This Row],[Quantity]]*grocery_chain_data[[#This Row],[Unit Price]]</f>
        <v>16</v>
      </c>
      <c r="I182" s="3">
        <v>0</v>
      </c>
      <c r="J182" s="3">
        <f>grocery_chain_data[[#This Row],[Total Amount]]-grocery_chain_data[[#This Row],[Discount Amount]]</f>
        <v>16</v>
      </c>
      <c r="K182">
        <v>88</v>
      </c>
      <c r="L182" t="str">
        <f>IF(grocery_chain_data[[#This Row],[Final Amount]]&lt;0,"Return","Sale")</f>
        <v>Sale</v>
      </c>
      <c r="M182">
        <f>IF(grocery_chain_data[[#This Row],[Final Amount]]&lt;0,0,grocery_chain_data[[#This Row],[Final Amount]])</f>
        <v>16</v>
      </c>
    </row>
    <row r="183" spans="1:13" x14ac:dyDescent="0.3">
      <c r="A183">
        <v>9288</v>
      </c>
      <c r="B183" t="s">
        <v>0</v>
      </c>
      <c r="C183" s="1">
        <v>45350</v>
      </c>
      <c r="D183" s="1" t="str">
        <f t="shared" si="2"/>
        <v>Produce</v>
      </c>
      <c r="E183" t="s">
        <v>25</v>
      </c>
      <c r="F183" s="2">
        <v>4</v>
      </c>
      <c r="G183" s="3">
        <v>23</v>
      </c>
      <c r="H183" s="3">
        <f>grocery_chain_data[[#This Row],[Quantity]]*grocery_chain_data[[#This Row],[Unit Price]]</f>
        <v>92</v>
      </c>
      <c r="I183" s="3">
        <v>0</v>
      </c>
      <c r="J183" s="3">
        <f>grocery_chain_data[[#This Row],[Total Amount]]-grocery_chain_data[[#This Row],[Discount Amount]]</f>
        <v>92</v>
      </c>
      <c r="K183">
        <v>389</v>
      </c>
      <c r="L183" t="str">
        <f>IF(grocery_chain_data[[#This Row],[Final Amount]]&lt;0,"Return","Sale")</f>
        <v>Sale</v>
      </c>
      <c r="M183">
        <f>IF(grocery_chain_data[[#This Row],[Final Amount]]&lt;0,0,grocery_chain_data[[#This Row],[Final Amount]])</f>
        <v>92</v>
      </c>
    </row>
    <row r="184" spans="1:13" x14ac:dyDescent="0.3">
      <c r="A184">
        <v>3170</v>
      </c>
      <c r="B184" t="s">
        <v>16</v>
      </c>
      <c r="C184" s="1">
        <v>45869</v>
      </c>
      <c r="D184" s="1" t="str">
        <f t="shared" si="2"/>
        <v>Pantry</v>
      </c>
      <c r="E184" t="s">
        <v>6</v>
      </c>
      <c r="F184" s="2">
        <v>2</v>
      </c>
      <c r="G184" s="3">
        <v>14</v>
      </c>
      <c r="H184" s="3">
        <f>grocery_chain_data[[#This Row],[Quantity]]*grocery_chain_data[[#This Row],[Unit Price]]</f>
        <v>28</v>
      </c>
      <c r="I184" s="3">
        <v>0</v>
      </c>
      <c r="J184" s="3">
        <f>grocery_chain_data[[#This Row],[Total Amount]]-grocery_chain_data[[#This Row],[Discount Amount]]</f>
        <v>28</v>
      </c>
      <c r="K184">
        <v>240</v>
      </c>
      <c r="L184" t="str">
        <f>IF(grocery_chain_data[[#This Row],[Final Amount]]&lt;0,"Return","Sale")</f>
        <v>Sale</v>
      </c>
      <c r="M184">
        <f>IF(grocery_chain_data[[#This Row],[Final Amount]]&lt;0,0,grocery_chain_data[[#This Row],[Final Amount]])</f>
        <v>28</v>
      </c>
    </row>
    <row r="185" spans="1:13" x14ac:dyDescent="0.3">
      <c r="A185">
        <v>6718</v>
      </c>
      <c r="B185" t="s">
        <v>12</v>
      </c>
      <c r="C185" s="1">
        <v>45829</v>
      </c>
      <c r="D185" s="1" t="str">
        <f t="shared" si="2"/>
        <v>Dairy</v>
      </c>
      <c r="E185" t="s">
        <v>19</v>
      </c>
      <c r="F185" s="2">
        <v>3</v>
      </c>
      <c r="G185" s="3">
        <v>16</v>
      </c>
      <c r="H185" s="3">
        <f>grocery_chain_data[[#This Row],[Quantity]]*grocery_chain_data[[#This Row],[Unit Price]]</f>
        <v>48</v>
      </c>
      <c r="I185" s="3">
        <v>5</v>
      </c>
      <c r="J185" s="3">
        <f>grocery_chain_data[[#This Row],[Total Amount]]-grocery_chain_data[[#This Row],[Discount Amount]]</f>
        <v>43</v>
      </c>
      <c r="K185">
        <v>158</v>
      </c>
      <c r="L185" t="str">
        <f>IF(grocery_chain_data[[#This Row],[Final Amount]]&lt;0,"Return","Sale")</f>
        <v>Sale</v>
      </c>
      <c r="M185">
        <f>IF(grocery_chain_data[[#This Row],[Final Amount]]&lt;0,0,grocery_chain_data[[#This Row],[Final Amount]])</f>
        <v>43</v>
      </c>
    </row>
    <row r="186" spans="1:13" x14ac:dyDescent="0.3">
      <c r="A186">
        <v>2127</v>
      </c>
      <c r="B186" t="s">
        <v>13</v>
      </c>
      <c r="C186" s="1">
        <v>45827</v>
      </c>
      <c r="D186" s="1" t="str">
        <f t="shared" si="2"/>
        <v>Beverages</v>
      </c>
      <c r="E186" t="s">
        <v>7</v>
      </c>
      <c r="F186" s="2">
        <v>3</v>
      </c>
      <c r="G186" s="3">
        <v>3</v>
      </c>
      <c r="H186" s="3">
        <f>grocery_chain_data[[#This Row],[Quantity]]*grocery_chain_data[[#This Row],[Unit Price]]</f>
        <v>9</v>
      </c>
      <c r="I186" s="3">
        <v>3</v>
      </c>
      <c r="J186" s="3">
        <f>grocery_chain_data[[#This Row],[Total Amount]]-grocery_chain_data[[#This Row],[Discount Amount]]</f>
        <v>6</v>
      </c>
      <c r="K186">
        <v>442</v>
      </c>
      <c r="L186" t="str">
        <f>IF(grocery_chain_data[[#This Row],[Final Amount]]&lt;0,"Return","Sale")</f>
        <v>Sale</v>
      </c>
      <c r="M186">
        <f>IF(grocery_chain_data[[#This Row],[Final Amount]]&lt;0,0,grocery_chain_data[[#This Row],[Final Amount]])</f>
        <v>6</v>
      </c>
    </row>
    <row r="187" spans="1:13" x14ac:dyDescent="0.3">
      <c r="A187">
        <v>5002</v>
      </c>
      <c r="B187" t="s">
        <v>8</v>
      </c>
      <c r="C187" s="1">
        <v>45432</v>
      </c>
      <c r="D187" s="1" t="str">
        <f t="shared" si="2"/>
        <v>Produce</v>
      </c>
      <c r="E187" t="s">
        <v>4</v>
      </c>
      <c r="F187" s="2">
        <v>1</v>
      </c>
      <c r="G187" s="3">
        <v>14</v>
      </c>
      <c r="H187" s="3">
        <f>grocery_chain_data[[#This Row],[Quantity]]*grocery_chain_data[[#This Row],[Unit Price]]</f>
        <v>14</v>
      </c>
      <c r="I187" s="3">
        <v>2</v>
      </c>
      <c r="J187" s="3">
        <f>grocery_chain_data[[#This Row],[Total Amount]]-grocery_chain_data[[#This Row],[Discount Amount]]</f>
        <v>12</v>
      </c>
      <c r="K187">
        <v>414</v>
      </c>
      <c r="L187" t="str">
        <f>IF(grocery_chain_data[[#This Row],[Final Amount]]&lt;0,"Return","Sale")</f>
        <v>Sale</v>
      </c>
      <c r="M187">
        <f>IF(grocery_chain_data[[#This Row],[Final Amount]]&lt;0,0,grocery_chain_data[[#This Row],[Final Amount]])</f>
        <v>12</v>
      </c>
    </row>
    <row r="188" spans="1:13" x14ac:dyDescent="0.3">
      <c r="A188">
        <v>5669</v>
      </c>
      <c r="B188" t="s">
        <v>10</v>
      </c>
      <c r="C188" s="1">
        <v>45267</v>
      </c>
      <c r="D188" s="1" t="str">
        <f t="shared" si="2"/>
        <v>Dairy</v>
      </c>
      <c r="E188" t="s">
        <v>20</v>
      </c>
      <c r="F188" s="2">
        <v>1</v>
      </c>
      <c r="G188" s="3">
        <v>14</v>
      </c>
      <c r="H188" s="3">
        <f>grocery_chain_data[[#This Row],[Quantity]]*grocery_chain_data[[#This Row],[Unit Price]]</f>
        <v>14</v>
      </c>
      <c r="I188" s="3">
        <v>0</v>
      </c>
      <c r="J188" s="3">
        <f>grocery_chain_data[[#This Row],[Total Amount]]-grocery_chain_data[[#This Row],[Discount Amount]]</f>
        <v>14</v>
      </c>
      <c r="K188">
        <v>415</v>
      </c>
      <c r="L188" t="str">
        <f>IF(grocery_chain_data[[#This Row],[Final Amount]]&lt;0,"Return","Sale")</f>
        <v>Sale</v>
      </c>
      <c r="M188">
        <f>IF(grocery_chain_data[[#This Row],[Final Amount]]&lt;0,0,grocery_chain_data[[#This Row],[Final Amount]])</f>
        <v>14</v>
      </c>
    </row>
    <row r="189" spans="1:13" x14ac:dyDescent="0.3">
      <c r="A189">
        <v>8179</v>
      </c>
      <c r="B189" t="s">
        <v>0</v>
      </c>
      <c r="C189" s="1">
        <v>45792</v>
      </c>
      <c r="D189" s="1" t="str">
        <f t="shared" si="2"/>
        <v>Produce</v>
      </c>
      <c r="E189" t="s">
        <v>11</v>
      </c>
      <c r="F189" s="2">
        <v>1</v>
      </c>
      <c r="G189" s="3">
        <v>8</v>
      </c>
      <c r="H189" s="3">
        <f>grocery_chain_data[[#This Row],[Quantity]]*grocery_chain_data[[#This Row],[Unit Price]]</f>
        <v>8</v>
      </c>
      <c r="I189" s="3">
        <v>3</v>
      </c>
      <c r="J189" s="3">
        <f>grocery_chain_data[[#This Row],[Total Amount]]-grocery_chain_data[[#This Row],[Discount Amount]]</f>
        <v>5</v>
      </c>
      <c r="K189">
        <v>224</v>
      </c>
      <c r="L189" t="str">
        <f>IF(grocery_chain_data[[#This Row],[Final Amount]]&lt;0,"Return","Sale")</f>
        <v>Sale</v>
      </c>
      <c r="M189">
        <f>IF(grocery_chain_data[[#This Row],[Final Amount]]&lt;0,0,grocery_chain_data[[#This Row],[Final Amount]])</f>
        <v>5</v>
      </c>
    </row>
    <row r="190" spans="1:13" x14ac:dyDescent="0.3">
      <c r="A190">
        <v>9900</v>
      </c>
      <c r="B190" t="s">
        <v>5</v>
      </c>
      <c r="C190" s="1">
        <v>45691</v>
      </c>
      <c r="D190" s="1" t="str">
        <f t="shared" si="2"/>
        <v>Beverages</v>
      </c>
      <c r="E190" t="s">
        <v>7</v>
      </c>
      <c r="F190" s="2">
        <v>3</v>
      </c>
      <c r="G190" s="3">
        <v>12</v>
      </c>
      <c r="H190" s="3">
        <f>grocery_chain_data[[#This Row],[Quantity]]*grocery_chain_data[[#This Row],[Unit Price]]</f>
        <v>36</v>
      </c>
      <c r="I190" s="3">
        <v>0</v>
      </c>
      <c r="J190" s="3">
        <f>grocery_chain_data[[#This Row],[Total Amount]]-grocery_chain_data[[#This Row],[Discount Amount]]</f>
        <v>36</v>
      </c>
      <c r="K190">
        <v>396</v>
      </c>
      <c r="L190" t="str">
        <f>IF(grocery_chain_data[[#This Row],[Final Amount]]&lt;0,"Return","Sale")</f>
        <v>Sale</v>
      </c>
      <c r="M190">
        <f>IF(grocery_chain_data[[#This Row],[Final Amount]]&lt;0,0,grocery_chain_data[[#This Row],[Final Amount]])</f>
        <v>36</v>
      </c>
    </row>
    <row r="191" spans="1:13" x14ac:dyDescent="0.3">
      <c r="A191">
        <v>5956</v>
      </c>
      <c r="B191" t="s">
        <v>13</v>
      </c>
      <c r="C191" s="1">
        <v>45620</v>
      </c>
      <c r="D191" s="1" t="str">
        <f t="shared" si="2"/>
        <v>Pantry</v>
      </c>
      <c r="E191" t="s">
        <v>6</v>
      </c>
      <c r="F191" s="2">
        <v>1</v>
      </c>
      <c r="G191" s="3">
        <v>11</v>
      </c>
      <c r="H191" s="3">
        <f>grocery_chain_data[[#This Row],[Quantity]]*grocery_chain_data[[#This Row],[Unit Price]]</f>
        <v>11</v>
      </c>
      <c r="I191" s="3">
        <v>2</v>
      </c>
      <c r="J191" s="3">
        <f>grocery_chain_data[[#This Row],[Total Amount]]-grocery_chain_data[[#This Row],[Discount Amount]]</f>
        <v>9</v>
      </c>
      <c r="K191">
        <v>285</v>
      </c>
      <c r="L191" t="str">
        <f>IF(grocery_chain_data[[#This Row],[Final Amount]]&lt;0,"Return","Sale")</f>
        <v>Sale</v>
      </c>
      <c r="M191">
        <f>IF(grocery_chain_data[[#This Row],[Final Amount]]&lt;0,0,grocery_chain_data[[#This Row],[Final Amount]])</f>
        <v>9</v>
      </c>
    </row>
    <row r="192" spans="1:13" x14ac:dyDescent="0.3">
      <c r="A192">
        <v>9666</v>
      </c>
      <c r="B192" t="s">
        <v>12</v>
      </c>
      <c r="C192" s="1">
        <v>45151</v>
      </c>
      <c r="D192" s="1" t="str">
        <f t="shared" si="2"/>
        <v>Dairy</v>
      </c>
      <c r="E192" t="s">
        <v>20</v>
      </c>
      <c r="F192" s="2">
        <v>3</v>
      </c>
      <c r="G192" s="3">
        <v>3</v>
      </c>
      <c r="H192" s="3">
        <f>grocery_chain_data[[#This Row],[Quantity]]*grocery_chain_data[[#This Row],[Unit Price]]</f>
        <v>9</v>
      </c>
      <c r="I192" s="3">
        <v>2</v>
      </c>
      <c r="J192" s="3">
        <f>grocery_chain_data[[#This Row],[Total Amount]]-grocery_chain_data[[#This Row],[Discount Amount]]</f>
        <v>7</v>
      </c>
      <c r="K192">
        <v>339</v>
      </c>
      <c r="L192" t="str">
        <f>IF(grocery_chain_data[[#This Row],[Final Amount]]&lt;0,"Return","Sale")</f>
        <v>Sale</v>
      </c>
      <c r="M192">
        <f>IF(grocery_chain_data[[#This Row],[Final Amount]]&lt;0,0,grocery_chain_data[[#This Row],[Final Amount]])</f>
        <v>7</v>
      </c>
    </row>
    <row r="193" spans="1:13" x14ac:dyDescent="0.3">
      <c r="A193">
        <v>5905</v>
      </c>
      <c r="B193" t="s">
        <v>12</v>
      </c>
      <c r="C193" s="1">
        <v>45868</v>
      </c>
      <c r="D193" s="1" t="str">
        <f t="shared" si="2"/>
        <v>Produce</v>
      </c>
      <c r="E193" t="s">
        <v>14</v>
      </c>
      <c r="F193" s="2">
        <v>2</v>
      </c>
      <c r="G193" s="3">
        <v>18</v>
      </c>
      <c r="H193" s="3">
        <f>grocery_chain_data[[#This Row],[Quantity]]*grocery_chain_data[[#This Row],[Unit Price]]</f>
        <v>36</v>
      </c>
      <c r="I193" s="3">
        <v>5</v>
      </c>
      <c r="J193" s="3">
        <f>grocery_chain_data[[#This Row],[Total Amount]]-grocery_chain_data[[#This Row],[Discount Amount]]</f>
        <v>31</v>
      </c>
      <c r="K193">
        <v>480</v>
      </c>
      <c r="L193" t="str">
        <f>IF(grocery_chain_data[[#This Row],[Final Amount]]&lt;0,"Return","Sale")</f>
        <v>Sale</v>
      </c>
      <c r="M193">
        <f>IF(grocery_chain_data[[#This Row],[Final Amount]]&lt;0,0,grocery_chain_data[[#This Row],[Final Amount]])</f>
        <v>31</v>
      </c>
    </row>
    <row r="194" spans="1:13" x14ac:dyDescent="0.3">
      <c r="A194">
        <v>2697</v>
      </c>
      <c r="B194" t="s">
        <v>2</v>
      </c>
      <c r="C194" s="1">
        <v>45874</v>
      </c>
      <c r="D194" s="1" t="str">
        <f t="shared" ref="D194:D257" si="3">IF(E194="Pasta","Pantry",
IF(E194="Cheese","Dairy",
IF(E194="Onions","Produce",
IF(E194="Cereal","Pantry",
IF(E194="Orange Juice","Beverages",
IF(E194="Ground Beef","Meat &amp; Seafood",
IF(E194="Apples","Produce",
IF(E194="Milk","Dairy",
IF(E194="Bananas","Produce",
IF(E194="Bread","Bakery",
IF(E194="Carrots","Produce",
IF(E194="Chicken Breast","Meat &amp; Seafood",
IF(E194="Eggs","Dairy",
IF(E194="Potatoes","Produce",
IF(E194="Rice","Produce",
IF(E194="Salmon","Meat &amp; Seafood",
IF(E194="Tomatoes","Produce",
IF(E194="Yogurt","Dairy",
"Others"))))))))))))))))))</f>
        <v>Pantry</v>
      </c>
      <c r="E194" t="s">
        <v>6</v>
      </c>
      <c r="F194" s="2">
        <v>2</v>
      </c>
      <c r="G194" s="3">
        <v>20</v>
      </c>
      <c r="H194" s="3">
        <f>grocery_chain_data[[#This Row],[Quantity]]*grocery_chain_data[[#This Row],[Unit Price]]</f>
        <v>40</v>
      </c>
      <c r="I194" s="3">
        <v>0</v>
      </c>
      <c r="J194" s="3">
        <f>grocery_chain_data[[#This Row],[Total Amount]]-grocery_chain_data[[#This Row],[Discount Amount]]</f>
        <v>40</v>
      </c>
      <c r="K194">
        <v>424</v>
      </c>
      <c r="L194" t="str">
        <f>IF(grocery_chain_data[[#This Row],[Final Amount]]&lt;0,"Return","Sale")</f>
        <v>Sale</v>
      </c>
      <c r="M194">
        <f>IF(grocery_chain_data[[#This Row],[Final Amount]]&lt;0,0,grocery_chain_data[[#This Row],[Final Amount]])</f>
        <v>40</v>
      </c>
    </row>
    <row r="195" spans="1:13" x14ac:dyDescent="0.3">
      <c r="A195">
        <v>3200</v>
      </c>
      <c r="B195" t="s">
        <v>8</v>
      </c>
      <c r="C195" s="1">
        <v>45350</v>
      </c>
      <c r="D195" s="1" t="str">
        <f t="shared" si="3"/>
        <v>Beverages</v>
      </c>
      <c r="E195" t="s">
        <v>7</v>
      </c>
      <c r="F195" s="2">
        <v>1</v>
      </c>
      <c r="G195" s="3">
        <v>12</v>
      </c>
      <c r="H195" s="3">
        <f>grocery_chain_data[[#This Row],[Quantity]]*grocery_chain_data[[#This Row],[Unit Price]]</f>
        <v>12</v>
      </c>
      <c r="I195" s="3">
        <v>2</v>
      </c>
      <c r="J195" s="3">
        <f>grocery_chain_data[[#This Row],[Total Amount]]-grocery_chain_data[[#This Row],[Discount Amount]]</f>
        <v>10</v>
      </c>
      <c r="K195">
        <v>92</v>
      </c>
      <c r="L195" t="str">
        <f>IF(grocery_chain_data[[#This Row],[Final Amount]]&lt;0,"Return","Sale")</f>
        <v>Sale</v>
      </c>
      <c r="M195">
        <f>IF(grocery_chain_data[[#This Row],[Final Amount]]&lt;0,0,grocery_chain_data[[#This Row],[Final Amount]])</f>
        <v>10</v>
      </c>
    </row>
    <row r="196" spans="1:13" x14ac:dyDescent="0.3">
      <c r="A196">
        <v>2891</v>
      </c>
      <c r="B196" t="s">
        <v>10</v>
      </c>
      <c r="C196" s="1">
        <v>45836</v>
      </c>
      <c r="D196" s="1" t="str">
        <f t="shared" si="3"/>
        <v>Meat &amp; Seafood</v>
      </c>
      <c r="E196" t="s">
        <v>9</v>
      </c>
      <c r="F196" s="2">
        <v>2</v>
      </c>
      <c r="G196" s="3">
        <v>5</v>
      </c>
      <c r="H196" s="3">
        <f>grocery_chain_data[[#This Row],[Quantity]]*grocery_chain_data[[#This Row],[Unit Price]]</f>
        <v>10</v>
      </c>
      <c r="I196" s="3">
        <v>4</v>
      </c>
      <c r="J196" s="3">
        <f>grocery_chain_data[[#This Row],[Total Amount]]-grocery_chain_data[[#This Row],[Discount Amount]]</f>
        <v>6</v>
      </c>
      <c r="K196">
        <v>151</v>
      </c>
      <c r="L196" t="str">
        <f>IF(grocery_chain_data[[#This Row],[Final Amount]]&lt;0,"Return","Sale")</f>
        <v>Sale</v>
      </c>
      <c r="M196">
        <f>IF(grocery_chain_data[[#This Row],[Final Amount]]&lt;0,0,grocery_chain_data[[#This Row],[Final Amount]])</f>
        <v>6</v>
      </c>
    </row>
    <row r="197" spans="1:13" x14ac:dyDescent="0.3">
      <c r="A197">
        <v>2753</v>
      </c>
      <c r="B197" t="s">
        <v>2</v>
      </c>
      <c r="C197" s="1">
        <v>45721</v>
      </c>
      <c r="D197" s="1" t="str">
        <f t="shared" si="3"/>
        <v>Pantry</v>
      </c>
      <c r="E197" t="s">
        <v>6</v>
      </c>
      <c r="F197" s="2">
        <v>5</v>
      </c>
      <c r="G197" s="3">
        <v>5</v>
      </c>
      <c r="H197" s="3">
        <f>grocery_chain_data[[#This Row],[Quantity]]*grocery_chain_data[[#This Row],[Unit Price]]</f>
        <v>25</v>
      </c>
      <c r="I197" s="3">
        <v>5</v>
      </c>
      <c r="J197" s="3">
        <f>grocery_chain_data[[#This Row],[Total Amount]]-grocery_chain_data[[#This Row],[Discount Amount]]</f>
        <v>20</v>
      </c>
      <c r="K197">
        <v>192</v>
      </c>
      <c r="L197" t="str">
        <f>IF(grocery_chain_data[[#This Row],[Final Amount]]&lt;0,"Return","Sale")</f>
        <v>Sale</v>
      </c>
      <c r="M197">
        <f>IF(grocery_chain_data[[#This Row],[Final Amount]]&lt;0,0,grocery_chain_data[[#This Row],[Final Amount]])</f>
        <v>20</v>
      </c>
    </row>
    <row r="198" spans="1:13" x14ac:dyDescent="0.3">
      <c r="A198">
        <v>3546</v>
      </c>
      <c r="B198" t="s">
        <v>5</v>
      </c>
      <c r="C198" s="1">
        <v>45356</v>
      </c>
      <c r="D198" s="1" t="str">
        <f t="shared" si="3"/>
        <v>Produce</v>
      </c>
      <c r="E198" t="s">
        <v>11</v>
      </c>
      <c r="F198" s="2">
        <v>4</v>
      </c>
      <c r="G198" s="3">
        <v>2</v>
      </c>
      <c r="H198" s="3">
        <f>grocery_chain_data[[#This Row],[Quantity]]*grocery_chain_data[[#This Row],[Unit Price]]</f>
        <v>8</v>
      </c>
      <c r="I198" s="3">
        <v>1</v>
      </c>
      <c r="J198" s="3">
        <f>grocery_chain_data[[#This Row],[Total Amount]]-grocery_chain_data[[#This Row],[Discount Amount]]</f>
        <v>7</v>
      </c>
      <c r="K198">
        <v>186</v>
      </c>
      <c r="L198" t="str">
        <f>IF(grocery_chain_data[[#This Row],[Final Amount]]&lt;0,"Return","Sale")</f>
        <v>Sale</v>
      </c>
      <c r="M198">
        <f>IF(grocery_chain_data[[#This Row],[Final Amount]]&lt;0,0,grocery_chain_data[[#This Row],[Final Amount]])</f>
        <v>7</v>
      </c>
    </row>
    <row r="199" spans="1:13" x14ac:dyDescent="0.3">
      <c r="A199">
        <v>5616</v>
      </c>
      <c r="B199" t="s">
        <v>12</v>
      </c>
      <c r="C199" s="1">
        <v>45614</v>
      </c>
      <c r="D199" s="1" t="str">
        <f t="shared" si="3"/>
        <v>Meat &amp; Seafood</v>
      </c>
      <c r="E199" t="s">
        <v>9</v>
      </c>
      <c r="F199" s="2">
        <v>5</v>
      </c>
      <c r="G199" s="3">
        <v>8</v>
      </c>
      <c r="H199" s="3">
        <f>grocery_chain_data[[#This Row],[Quantity]]*grocery_chain_data[[#This Row],[Unit Price]]</f>
        <v>40</v>
      </c>
      <c r="I199" s="3">
        <v>8</v>
      </c>
      <c r="J199" s="3">
        <f>grocery_chain_data[[#This Row],[Total Amount]]-grocery_chain_data[[#This Row],[Discount Amount]]</f>
        <v>32</v>
      </c>
      <c r="K199">
        <v>494</v>
      </c>
      <c r="L199" t="str">
        <f>IF(grocery_chain_data[[#This Row],[Final Amount]]&lt;0,"Return","Sale")</f>
        <v>Sale</v>
      </c>
      <c r="M199">
        <f>IF(grocery_chain_data[[#This Row],[Final Amount]]&lt;0,0,grocery_chain_data[[#This Row],[Final Amount]])</f>
        <v>32</v>
      </c>
    </row>
    <row r="200" spans="1:13" x14ac:dyDescent="0.3">
      <c r="A200">
        <v>4450</v>
      </c>
      <c r="B200" t="s">
        <v>16</v>
      </c>
      <c r="C200" s="1">
        <v>45702</v>
      </c>
      <c r="D200" s="1" t="str">
        <f t="shared" si="3"/>
        <v>Meat &amp; Seafood</v>
      </c>
      <c r="E200" t="s">
        <v>15</v>
      </c>
      <c r="F200" s="2">
        <v>4</v>
      </c>
      <c r="G200" s="3">
        <v>23</v>
      </c>
      <c r="H200" s="3">
        <f>grocery_chain_data[[#This Row],[Quantity]]*grocery_chain_data[[#This Row],[Unit Price]]</f>
        <v>92</v>
      </c>
      <c r="I200" s="3">
        <v>3</v>
      </c>
      <c r="J200" s="3">
        <f>grocery_chain_data[[#This Row],[Total Amount]]-grocery_chain_data[[#This Row],[Discount Amount]]</f>
        <v>89</v>
      </c>
      <c r="K200">
        <v>398</v>
      </c>
      <c r="L200" t="str">
        <f>IF(grocery_chain_data[[#This Row],[Final Amount]]&lt;0,"Return","Sale")</f>
        <v>Sale</v>
      </c>
      <c r="M200">
        <f>IF(grocery_chain_data[[#This Row],[Final Amount]]&lt;0,0,grocery_chain_data[[#This Row],[Final Amount]])</f>
        <v>89</v>
      </c>
    </row>
    <row r="201" spans="1:13" x14ac:dyDescent="0.3">
      <c r="A201">
        <v>6617</v>
      </c>
      <c r="B201" t="s">
        <v>5</v>
      </c>
      <c r="C201" s="1">
        <v>45303</v>
      </c>
      <c r="D201" s="1" t="str">
        <f t="shared" si="3"/>
        <v>Dairy</v>
      </c>
      <c r="E201" t="s">
        <v>20</v>
      </c>
      <c r="F201" s="2">
        <v>3</v>
      </c>
      <c r="G201" s="3">
        <v>2</v>
      </c>
      <c r="H201" s="3">
        <f>grocery_chain_data[[#This Row],[Quantity]]*grocery_chain_data[[#This Row],[Unit Price]]</f>
        <v>6</v>
      </c>
      <c r="I201" s="3">
        <v>5</v>
      </c>
      <c r="J201" s="3">
        <f>grocery_chain_data[[#This Row],[Total Amount]]-grocery_chain_data[[#This Row],[Discount Amount]]</f>
        <v>1</v>
      </c>
      <c r="K201">
        <v>246</v>
      </c>
      <c r="L201" t="str">
        <f>IF(grocery_chain_data[[#This Row],[Final Amount]]&lt;0,"Return","Sale")</f>
        <v>Sale</v>
      </c>
      <c r="M201">
        <f>IF(grocery_chain_data[[#This Row],[Final Amount]]&lt;0,0,grocery_chain_data[[#This Row],[Final Amount]])</f>
        <v>1</v>
      </c>
    </row>
    <row r="202" spans="1:13" x14ac:dyDescent="0.3">
      <c r="A202">
        <v>5325</v>
      </c>
      <c r="B202" t="s">
        <v>2</v>
      </c>
      <c r="C202" s="1">
        <v>45537</v>
      </c>
      <c r="D202" s="1" t="str">
        <f t="shared" si="3"/>
        <v>Produce</v>
      </c>
      <c r="E202" t="s">
        <v>17</v>
      </c>
      <c r="F202" s="2">
        <v>1</v>
      </c>
      <c r="G202" s="3">
        <v>23</v>
      </c>
      <c r="H202" s="3">
        <f>grocery_chain_data[[#This Row],[Quantity]]*grocery_chain_data[[#This Row],[Unit Price]]</f>
        <v>23</v>
      </c>
      <c r="I202" s="3">
        <v>2</v>
      </c>
      <c r="J202" s="3">
        <f>grocery_chain_data[[#This Row],[Total Amount]]-grocery_chain_data[[#This Row],[Discount Amount]]</f>
        <v>21</v>
      </c>
      <c r="K202">
        <v>139</v>
      </c>
      <c r="L202" t="str">
        <f>IF(grocery_chain_data[[#This Row],[Final Amount]]&lt;0,"Return","Sale")</f>
        <v>Sale</v>
      </c>
      <c r="M202">
        <f>IF(grocery_chain_data[[#This Row],[Final Amount]]&lt;0,0,grocery_chain_data[[#This Row],[Final Amount]])</f>
        <v>21</v>
      </c>
    </row>
    <row r="203" spans="1:13" x14ac:dyDescent="0.3">
      <c r="A203">
        <v>9004</v>
      </c>
      <c r="B203" t="s">
        <v>8</v>
      </c>
      <c r="C203" s="1">
        <v>45340</v>
      </c>
      <c r="D203" s="1" t="str">
        <f t="shared" si="3"/>
        <v>Meat &amp; Seafood</v>
      </c>
      <c r="E203" t="s">
        <v>9</v>
      </c>
      <c r="F203" s="2">
        <v>4</v>
      </c>
      <c r="G203" s="3">
        <v>27</v>
      </c>
      <c r="H203" s="3">
        <f>grocery_chain_data[[#This Row],[Quantity]]*grocery_chain_data[[#This Row],[Unit Price]]</f>
        <v>108</v>
      </c>
      <c r="I203" s="3">
        <v>11</v>
      </c>
      <c r="J203" s="3">
        <f>grocery_chain_data[[#This Row],[Total Amount]]-grocery_chain_data[[#This Row],[Discount Amount]]</f>
        <v>97</v>
      </c>
      <c r="K203">
        <v>476</v>
      </c>
      <c r="L203" t="str">
        <f>IF(grocery_chain_data[[#This Row],[Final Amount]]&lt;0,"Return","Sale")</f>
        <v>Sale</v>
      </c>
      <c r="M203">
        <f>IF(grocery_chain_data[[#This Row],[Final Amount]]&lt;0,0,grocery_chain_data[[#This Row],[Final Amount]])</f>
        <v>97</v>
      </c>
    </row>
    <row r="204" spans="1:13" x14ac:dyDescent="0.3">
      <c r="A204">
        <v>1832</v>
      </c>
      <c r="B204" t="s">
        <v>13</v>
      </c>
      <c r="C204" s="1">
        <v>45216</v>
      </c>
      <c r="D204" s="1" t="str">
        <f t="shared" si="3"/>
        <v>Produce</v>
      </c>
      <c r="E204" t="s">
        <v>24</v>
      </c>
      <c r="F204" s="2">
        <v>3</v>
      </c>
      <c r="G204" s="3">
        <v>8</v>
      </c>
      <c r="H204" s="3">
        <f>grocery_chain_data[[#This Row],[Quantity]]*grocery_chain_data[[#This Row],[Unit Price]]</f>
        <v>24</v>
      </c>
      <c r="I204" s="3">
        <v>5</v>
      </c>
      <c r="J204" s="3">
        <f>grocery_chain_data[[#This Row],[Total Amount]]-grocery_chain_data[[#This Row],[Discount Amount]]</f>
        <v>19</v>
      </c>
      <c r="K204">
        <v>41</v>
      </c>
      <c r="L204" t="str">
        <f>IF(grocery_chain_data[[#This Row],[Final Amount]]&lt;0,"Return","Sale")</f>
        <v>Sale</v>
      </c>
      <c r="M204">
        <f>IF(grocery_chain_data[[#This Row],[Final Amount]]&lt;0,0,grocery_chain_data[[#This Row],[Final Amount]])</f>
        <v>19</v>
      </c>
    </row>
    <row r="205" spans="1:13" x14ac:dyDescent="0.3">
      <c r="A205">
        <v>7939</v>
      </c>
      <c r="B205" t="s">
        <v>13</v>
      </c>
      <c r="C205" s="1">
        <v>45789</v>
      </c>
      <c r="D205" s="1" t="str">
        <f t="shared" si="3"/>
        <v>Meat &amp; Seafood</v>
      </c>
      <c r="E205" t="s">
        <v>26</v>
      </c>
      <c r="F205" s="2">
        <v>3</v>
      </c>
      <c r="G205" s="3">
        <v>24</v>
      </c>
      <c r="H205" s="3">
        <f>grocery_chain_data[[#This Row],[Quantity]]*grocery_chain_data[[#This Row],[Unit Price]]</f>
        <v>72</v>
      </c>
      <c r="I205" s="3">
        <v>11</v>
      </c>
      <c r="J205" s="3">
        <f>grocery_chain_data[[#This Row],[Total Amount]]-grocery_chain_data[[#This Row],[Discount Amount]]</f>
        <v>61</v>
      </c>
      <c r="K205">
        <v>70</v>
      </c>
      <c r="L205" t="str">
        <f>IF(grocery_chain_data[[#This Row],[Final Amount]]&lt;0,"Return","Sale")</f>
        <v>Sale</v>
      </c>
      <c r="M205">
        <f>IF(grocery_chain_data[[#This Row],[Final Amount]]&lt;0,0,grocery_chain_data[[#This Row],[Final Amount]])</f>
        <v>61</v>
      </c>
    </row>
    <row r="206" spans="1:13" x14ac:dyDescent="0.3">
      <c r="A206">
        <v>5533</v>
      </c>
      <c r="B206" t="s">
        <v>10</v>
      </c>
      <c r="C206" s="1">
        <v>45179</v>
      </c>
      <c r="D206" s="1" t="str">
        <f t="shared" si="3"/>
        <v>Produce</v>
      </c>
      <c r="E206" t="s">
        <v>25</v>
      </c>
      <c r="F206" s="2">
        <v>4</v>
      </c>
      <c r="G206" s="3">
        <v>19</v>
      </c>
      <c r="H206" s="3">
        <f>grocery_chain_data[[#This Row],[Quantity]]*grocery_chain_data[[#This Row],[Unit Price]]</f>
        <v>76</v>
      </c>
      <c r="I206" s="3">
        <v>2</v>
      </c>
      <c r="J206" s="3">
        <f>grocery_chain_data[[#This Row],[Total Amount]]-grocery_chain_data[[#This Row],[Discount Amount]]</f>
        <v>74</v>
      </c>
      <c r="K206">
        <v>463</v>
      </c>
      <c r="L206" t="str">
        <f>IF(grocery_chain_data[[#This Row],[Final Amount]]&lt;0,"Return","Sale")</f>
        <v>Sale</v>
      </c>
      <c r="M206">
        <f>IF(grocery_chain_data[[#This Row],[Final Amount]]&lt;0,0,grocery_chain_data[[#This Row],[Final Amount]])</f>
        <v>74</v>
      </c>
    </row>
    <row r="207" spans="1:13" x14ac:dyDescent="0.3">
      <c r="A207">
        <v>1058</v>
      </c>
      <c r="B207" t="s">
        <v>5</v>
      </c>
      <c r="C207" s="1">
        <v>45404</v>
      </c>
      <c r="D207" s="1" t="str">
        <f t="shared" si="3"/>
        <v>Produce</v>
      </c>
      <c r="E207" t="s">
        <v>24</v>
      </c>
      <c r="F207" s="2">
        <v>4</v>
      </c>
      <c r="G207" s="3">
        <v>4</v>
      </c>
      <c r="H207" s="3">
        <f>grocery_chain_data[[#This Row],[Quantity]]*grocery_chain_data[[#This Row],[Unit Price]]</f>
        <v>16</v>
      </c>
      <c r="I207" s="3">
        <v>3</v>
      </c>
      <c r="J207" s="3">
        <f>grocery_chain_data[[#This Row],[Total Amount]]-grocery_chain_data[[#This Row],[Discount Amount]]</f>
        <v>13</v>
      </c>
      <c r="K207">
        <v>147</v>
      </c>
      <c r="L207" t="str">
        <f>IF(grocery_chain_data[[#This Row],[Final Amount]]&lt;0,"Return","Sale")</f>
        <v>Sale</v>
      </c>
      <c r="M207">
        <f>IF(grocery_chain_data[[#This Row],[Final Amount]]&lt;0,0,grocery_chain_data[[#This Row],[Final Amount]])</f>
        <v>13</v>
      </c>
    </row>
    <row r="208" spans="1:13" x14ac:dyDescent="0.3">
      <c r="A208">
        <v>3143</v>
      </c>
      <c r="B208" t="s">
        <v>0</v>
      </c>
      <c r="C208" s="1">
        <v>45639</v>
      </c>
      <c r="D208" s="1" t="str">
        <f t="shared" si="3"/>
        <v>Meat &amp; Seafood</v>
      </c>
      <c r="E208" t="s">
        <v>9</v>
      </c>
      <c r="F208" s="2">
        <v>4</v>
      </c>
      <c r="G208" s="3">
        <v>20</v>
      </c>
      <c r="H208" s="3">
        <f>grocery_chain_data[[#This Row],[Quantity]]*grocery_chain_data[[#This Row],[Unit Price]]</f>
        <v>80</v>
      </c>
      <c r="I208" s="3">
        <v>1</v>
      </c>
      <c r="J208" s="3">
        <f>grocery_chain_data[[#This Row],[Total Amount]]-grocery_chain_data[[#This Row],[Discount Amount]]</f>
        <v>79</v>
      </c>
      <c r="K208">
        <v>318</v>
      </c>
      <c r="L208" t="str">
        <f>IF(grocery_chain_data[[#This Row],[Final Amount]]&lt;0,"Return","Sale")</f>
        <v>Sale</v>
      </c>
      <c r="M208">
        <f>IF(grocery_chain_data[[#This Row],[Final Amount]]&lt;0,0,grocery_chain_data[[#This Row],[Final Amount]])</f>
        <v>79</v>
      </c>
    </row>
    <row r="209" spans="1:13" x14ac:dyDescent="0.3">
      <c r="A209">
        <v>5291</v>
      </c>
      <c r="B209" t="s">
        <v>10</v>
      </c>
      <c r="C209" s="1">
        <v>45270</v>
      </c>
      <c r="D209" s="1" t="str">
        <f t="shared" si="3"/>
        <v>Produce</v>
      </c>
      <c r="E209" t="s">
        <v>4</v>
      </c>
      <c r="F209" s="2">
        <v>1</v>
      </c>
      <c r="G209" s="3">
        <v>19</v>
      </c>
      <c r="H209" s="3">
        <f>grocery_chain_data[[#This Row],[Quantity]]*grocery_chain_data[[#This Row],[Unit Price]]</f>
        <v>19</v>
      </c>
      <c r="I209" s="3">
        <v>0</v>
      </c>
      <c r="J209" s="3">
        <f>grocery_chain_data[[#This Row],[Total Amount]]-grocery_chain_data[[#This Row],[Discount Amount]]</f>
        <v>19</v>
      </c>
      <c r="K209">
        <v>294</v>
      </c>
      <c r="L209" t="str">
        <f>IF(grocery_chain_data[[#This Row],[Final Amount]]&lt;0,"Return","Sale")</f>
        <v>Sale</v>
      </c>
      <c r="M209">
        <f>IF(grocery_chain_data[[#This Row],[Final Amount]]&lt;0,0,grocery_chain_data[[#This Row],[Final Amount]])</f>
        <v>19</v>
      </c>
    </row>
    <row r="210" spans="1:13" x14ac:dyDescent="0.3">
      <c r="A210">
        <v>8239</v>
      </c>
      <c r="B210" t="s">
        <v>5</v>
      </c>
      <c r="C210" s="1">
        <v>45573</v>
      </c>
      <c r="D210" s="1" t="str">
        <f t="shared" si="3"/>
        <v>Dairy</v>
      </c>
      <c r="E210" t="s">
        <v>3</v>
      </c>
      <c r="F210" s="2">
        <v>1</v>
      </c>
      <c r="G210" s="3">
        <v>19</v>
      </c>
      <c r="H210" s="3">
        <f>grocery_chain_data[[#This Row],[Quantity]]*grocery_chain_data[[#This Row],[Unit Price]]</f>
        <v>19</v>
      </c>
      <c r="I210" s="3">
        <v>4</v>
      </c>
      <c r="J210" s="3">
        <f>grocery_chain_data[[#This Row],[Total Amount]]-grocery_chain_data[[#This Row],[Discount Amount]]</f>
        <v>15</v>
      </c>
      <c r="K210">
        <v>123</v>
      </c>
      <c r="L210" t="str">
        <f>IF(grocery_chain_data[[#This Row],[Final Amount]]&lt;0,"Return","Sale")</f>
        <v>Sale</v>
      </c>
      <c r="M210">
        <f>IF(grocery_chain_data[[#This Row],[Final Amount]]&lt;0,0,grocery_chain_data[[#This Row],[Final Amount]])</f>
        <v>15</v>
      </c>
    </row>
    <row r="211" spans="1:13" x14ac:dyDescent="0.3">
      <c r="A211">
        <v>8007</v>
      </c>
      <c r="B211" t="s">
        <v>0</v>
      </c>
      <c r="C211" s="1">
        <v>45580</v>
      </c>
      <c r="D211" s="1" t="str">
        <f t="shared" si="3"/>
        <v>Beverages</v>
      </c>
      <c r="E211" t="s">
        <v>7</v>
      </c>
      <c r="F211" s="2">
        <v>1</v>
      </c>
      <c r="G211" s="3">
        <v>29</v>
      </c>
      <c r="H211" s="3">
        <f>grocery_chain_data[[#This Row],[Quantity]]*grocery_chain_data[[#This Row],[Unit Price]]</f>
        <v>29</v>
      </c>
      <c r="I211" s="3">
        <v>3</v>
      </c>
      <c r="J211" s="3">
        <f>grocery_chain_data[[#This Row],[Total Amount]]-grocery_chain_data[[#This Row],[Discount Amount]]</f>
        <v>26</v>
      </c>
      <c r="K211">
        <v>278</v>
      </c>
      <c r="L211" t="str">
        <f>IF(grocery_chain_data[[#This Row],[Final Amount]]&lt;0,"Return","Sale")</f>
        <v>Sale</v>
      </c>
      <c r="M211">
        <f>IF(grocery_chain_data[[#This Row],[Final Amount]]&lt;0,0,grocery_chain_data[[#This Row],[Final Amount]])</f>
        <v>26</v>
      </c>
    </row>
    <row r="212" spans="1:13" x14ac:dyDescent="0.3">
      <c r="A212">
        <v>1158</v>
      </c>
      <c r="B212" t="s">
        <v>10</v>
      </c>
      <c r="C212" s="1">
        <v>45231</v>
      </c>
      <c r="D212" s="1" t="str">
        <f t="shared" si="3"/>
        <v>Produce</v>
      </c>
      <c r="E212" t="s">
        <v>14</v>
      </c>
      <c r="F212" s="2">
        <v>3</v>
      </c>
      <c r="G212" s="3">
        <v>8</v>
      </c>
      <c r="H212" s="3">
        <f>grocery_chain_data[[#This Row],[Quantity]]*grocery_chain_data[[#This Row],[Unit Price]]</f>
        <v>24</v>
      </c>
      <c r="I212" s="3">
        <v>2</v>
      </c>
      <c r="J212" s="3">
        <f>grocery_chain_data[[#This Row],[Total Amount]]-grocery_chain_data[[#This Row],[Discount Amount]]</f>
        <v>22</v>
      </c>
      <c r="K212">
        <v>8</v>
      </c>
      <c r="L212" t="str">
        <f>IF(grocery_chain_data[[#This Row],[Final Amount]]&lt;0,"Return","Sale")</f>
        <v>Sale</v>
      </c>
      <c r="M212">
        <f>IF(grocery_chain_data[[#This Row],[Final Amount]]&lt;0,0,grocery_chain_data[[#This Row],[Final Amount]])</f>
        <v>22</v>
      </c>
    </row>
    <row r="213" spans="1:13" x14ac:dyDescent="0.3">
      <c r="A213">
        <v>2232</v>
      </c>
      <c r="B213" t="s">
        <v>0</v>
      </c>
      <c r="C213" s="1">
        <v>45830</v>
      </c>
      <c r="D213" s="1" t="str">
        <f t="shared" si="3"/>
        <v>Pantry</v>
      </c>
      <c r="E213" t="s">
        <v>6</v>
      </c>
      <c r="F213" s="2">
        <v>2</v>
      </c>
      <c r="G213" s="3">
        <v>2</v>
      </c>
      <c r="H213" s="3">
        <f>grocery_chain_data[[#This Row],[Quantity]]*grocery_chain_data[[#This Row],[Unit Price]]</f>
        <v>4</v>
      </c>
      <c r="I213" s="3">
        <v>0</v>
      </c>
      <c r="J213" s="3">
        <f>grocery_chain_data[[#This Row],[Total Amount]]-grocery_chain_data[[#This Row],[Discount Amount]]</f>
        <v>4</v>
      </c>
      <c r="K213">
        <v>279</v>
      </c>
      <c r="L213" t="str">
        <f>IF(grocery_chain_data[[#This Row],[Final Amount]]&lt;0,"Return","Sale")</f>
        <v>Sale</v>
      </c>
      <c r="M213">
        <f>IF(grocery_chain_data[[#This Row],[Final Amount]]&lt;0,0,grocery_chain_data[[#This Row],[Final Amount]])</f>
        <v>4</v>
      </c>
    </row>
    <row r="214" spans="1:13" x14ac:dyDescent="0.3">
      <c r="A214">
        <v>3442</v>
      </c>
      <c r="B214" t="s">
        <v>5</v>
      </c>
      <c r="C214" s="1">
        <v>45568</v>
      </c>
      <c r="D214" s="1" t="str">
        <f t="shared" si="3"/>
        <v>Meat &amp; Seafood</v>
      </c>
      <c r="E214" t="s">
        <v>15</v>
      </c>
      <c r="F214" s="2">
        <v>4</v>
      </c>
      <c r="G214" s="3">
        <v>19</v>
      </c>
      <c r="H214" s="3">
        <f>grocery_chain_data[[#This Row],[Quantity]]*grocery_chain_data[[#This Row],[Unit Price]]</f>
        <v>76</v>
      </c>
      <c r="I214" s="3">
        <v>4</v>
      </c>
      <c r="J214" s="3">
        <f>grocery_chain_data[[#This Row],[Total Amount]]-grocery_chain_data[[#This Row],[Discount Amount]]</f>
        <v>72</v>
      </c>
      <c r="K214">
        <v>415</v>
      </c>
      <c r="L214" t="str">
        <f>IF(grocery_chain_data[[#This Row],[Final Amount]]&lt;0,"Return","Sale")</f>
        <v>Sale</v>
      </c>
      <c r="M214">
        <f>IF(grocery_chain_data[[#This Row],[Final Amount]]&lt;0,0,grocery_chain_data[[#This Row],[Final Amount]])</f>
        <v>72</v>
      </c>
    </row>
    <row r="215" spans="1:13" x14ac:dyDescent="0.3">
      <c r="A215">
        <v>1590</v>
      </c>
      <c r="B215" t="s">
        <v>10</v>
      </c>
      <c r="C215" s="1">
        <v>45793</v>
      </c>
      <c r="D215" s="1" t="str">
        <f t="shared" si="3"/>
        <v>Produce</v>
      </c>
      <c r="E215" t="s">
        <v>17</v>
      </c>
      <c r="F215" s="2">
        <v>2</v>
      </c>
      <c r="G215" s="3">
        <v>2</v>
      </c>
      <c r="H215" s="3">
        <f>grocery_chain_data[[#This Row],[Quantity]]*grocery_chain_data[[#This Row],[Unit Price]]</f>
        <v>4</v>
      </c>
      <c r="I215" s="3">
        <v>1</v>
      </c>
      <c r="J215" s="3">
        <f>grocery_chain_data[[#This Row],[Total Amount]]-grocery_chain_data[[#This Row],[Discount Amount]]</f>
        <v>3</v>
      </c>
      <c r="K215">
        <v>102</v>
      </c>
      <c r="L215" t="str">
        <f>IF(grocery_chain_data[[#This Row],[Final Amount]]&lt;0,"Return","Sale")</f>
        <v>Sale</v>
      </c>
      <c r="M215">
        <f>IF(grocery_chain_data[[#This Row],[Final Amount]]&lt;0,0,grocery_chain_data[[#This Row],[Final Amount]])</f>
        <v>3</v>
      </c>
    </row>
    <row r="216" spans="1:13" x14ac:dyDescent="0.3">
      <c r="A216">
        <v>7049</v>
      </c>
      <c r="B216" t="s">
        <v>12</v>
      </c>
      <c r="C216" s="1">
        <v>45597</v>
      </c>
      <c r="D216" s="1" t="str">
        <f t="shared" si="3"/>
        <v>Produce</v>
      </c>
      <c r="E216" t="s">
        <v>14</v>
      </c>
      <c r="F216" s="2">
        <v>5</v>
      </c>
      <c r="G216" s="3">
        <v>15</v>
      </c>
      <c r="H216" s="3">
        <f>grocery_chain_data[[#This Row],[Quantity]]*grocery_chain_data[[#This Row],[Unit Price]]</f>
        <v>75</v>
      </c>
      <c r="I216" s="3">
        <v>11</v>
      </c>
      <c r="J216" s="3">
        <f>grocery_chain_data[[#This Row],[Total Amount]]-grocery_chain_data[[#This Row],[Discount Amount]]</f>
        <v>64</v>
      </c>
      <c r="K216">
        <v>18</v>
      </c>
      <c r="L216" t="str">
        <f>IF(grocery_chain_data[[#This Row],[Final Amount]]&lt;0,"Return","Sale")</f>
        <v>Sale</v>
      </c>
      <c r="M216">
        <f>IF(grocery_chain_data[[#This Row],[Final Amount]]&lt;0,0,grocery_chain_data[[#This Row],[Final Amount]])</f>
        <v>64</v>
      </c>
    </row>
    <row r="217" spans="1:13" x14ac:dyDescent="0.3">
      <c r="A217">
        <v>3426</v>
      </c>
      <c r="B217" t="s">
        <v>16</v>
      </c>
      <c r="C217" s="1">
        <v>45478</v>
      </c>
      <c r="D217" s="1" t="str">
        <f t="shared" si="3"/>
        <v>Pantry</v>
      </c>
      <c r="E217" t="s">
        <v>6</v>
      </c>
      <c r="F217" s="2">
        <v>3</v>
      </c>
      <c r="G217" s="3">
        <v>5</v>
      </c>
      <c r="H217" s="3">
        <f>grocery_chain_data[[#This Row],[Quantity]]*grocery_chain_data[[#This Row],[Unit Price]]</f>
        <v>15</v>
      </c>
      <c r="I217" s="3">
        <v>1</v>
      </c>
      <c r="J217" s="3">
        <f>grocery_chain_data[[#This Row],[Total Amount]]-grocery_chain_data[[#This Row],[Discount Amount]]</f>
        <v>14</v>
      </c>
      <c r="K217">
        <v>188</v>
      </c>
      <c r="L217" t="str">
        <f>IF(grocery_chain_data[[#This Row],[Final Amount]]&lt;0,"Return","Sale")</f>
        <v>Sale</v>
      </c>
      <c r="M217">
        <f>IF(grocery_chain_data[[#This Row],[Final Amount]]&lt;0,0,grocery_chain_data[[#This Row],[Final Amount]])</f>
        <v>14</v>
      </c>
    </row>
    <row r="218" spans="1:13" x14ac:dyDescent="0.3">
      <c r="A218">
        <v>3088</v>
      </c>
      <c r="B218" t="s">
        <v>10</v>
      </c>
      <c r="C218" s="1">
        <v>45177</v>
      </c>
      <c r="D218" s="1" t="str">
        <f t="shared" si="3"/>
        <v>Pantry</v>
      </c>
      <c r="E218" t="s">
        <v>6</v>
      </c>
      <c r="F218" s="2">
        <v>2</v>
      </c>
      <c r="G218" s="3">
        <v>15</v>
      </c>
      <c r="H218" s="3">
        <f>grocery_chain_data[[#This Row],[Quantity]]*grocery_chain_data[[#This Row],[Unit Price]]</f>
        <v>30</v>
      </c>
      <c r="I218" s="3">
        <v>2</v>
      </c>
      <c r="J218" s="3">
        <f>grocery_chain_data[[#This Row],[Total Amount]]-grocery_chain_data[[#This Row],[Discount Amount]]</f>
        <v>28</v>
      </c>
      <c r="K218">
        <v>254</v>
      </c>
      <c r="L218" t="str">
        <f>IF(grocery_chain_data[[#This Row],[Final Amount]]&lt;0,"Return","Sale")</f>
        <v>Sale</v>
      </c>
      <c r="M218">
        <f>IF(grocery_chain_data[[#This Row],[Final Amount]]&lt;0,0,grocery_chain_data[[#This Row],[Final Amount]])</f>
        <v>28</v>
      </c>
    </row>
    <row r="219" spans="1:13" x14ac:dyDescent="0.3">
      <c r="A219">
        <v>6050</v>
      </c>
      <c r="B219" t="s">
        <v>0</v>
      </c>
      <c r="C219" s="1">
        <v>45428</v>
      </c>
      <c r="D219" s="1" t="str">
        <f t="shared" si="3"/>
        <v>Bakery</v>
      </c>
      <c r="E219" t="s">
        <v>22</v>
      </c>
      <c r="F219" s="2">
        <v>4</v>
      </c>
      <c r="G219" s="3">
        <v>18</v>
      </c>
      <c r="H219" s="3">
        <f>grocery_chain_data[[#This Row],[Quantity]]*grocery_chain_data[[#This Row],[Unit Price]]</f>
        <v>72</v>
      </c>
      <c r="I219" s="3">
        <v>2</v>
      </c>
      <c r="J219" s="3">
        <f>grocery_chain_data[[#This Row],[Total Amount]]-grocery_chain_data[[#This Row],[Discount Amount]]</f>
        <v>70</v>
      </c>
      <c r="K219">
        <v>421</v>
      </c>
      <c r="L219" t="str">
        <f>IF(grocery_chain_data[[#This Row],[Final Amount]]&lt;0,"Return","Sale")</f>
        <v>Sale</v>
      </c>
      <c r="M219">
        <f>IF(grocery_chain_data[[#This Row],[Final Amount]]&lt;0,0,grocery_chain_data[[#This Row],[Final Amount]])</f>
        <v>70</v>
      </c>
    </row>
    <row r="220" spans="1:13" x14ac:dyDescent="0.3">
      <c r="A220">
        <v>1653</v>
      </c>
      <c r="B220" t="s">
        <v>0</v>
      </c>
      <c r="C220" s="1">
        <v>45843</v>
      </c>
      <c r="D220" s="1" t="str">
        <f t="shared" si="3"/>
        <v>Pantry</v>
      </c>
      <c r="E220" t="s">
        <v>6</v>
      </c>
      <c r="F220" s="2">
        <v>3</v>
      </c>
      <c r="G220" s="3">
        <v>10</v>
      </c>
      <c r="H220" s="3">
        <f>grocery_chain_data[[#This Row],[Quantity]]*grocery_chain_data[[#This Row],[Unit Price]]</f>
        <v>30</v>
      </c>
      <c r="I220" s="3">
        <v>6</v>
      </c>
      <c r="J220" s="3">
        <f>grocery_chain_data[[#This Row],[Total Amount]]-grocery_chain_data[[#This Row],[Discount Amount]]</f>
        <v>24</v>
      </c>
      <c r="K220">
        <v>308</v>
      </c>
      <c r="L220" t="str">
        <f>IF(grocery_chain_data[[#This Row],[Final Amount]]&lt;0,"Return","Sale")</f>
        <v>Sale</v>
      </c>
      <c r="M220">
        <f>IF(grocery_chain_data[[#This Row],[Final Amount]]&lt;0,0,grocery_chain_data[[#This Row],[Final Amount]])</f>
        <v>24</v>
      </c>
    </row>
    <row r="221" spans="1:13" x14ac:dyDescent="0.3">
      <c r="A221">
        <v>6862</v>
      </c>
      <c r="B221" t="s">
        <v>10</v>
      </c>
      <c r="C221" s="1">
        <v>45308</v>
      </c>
      <c r="D221" s="1" t="str">
        <f t="shared" si="3"/>
        <v>Meat &amp; Seafood</v>
      </c>
      <c r="E221" t="s">
        <v>15</v>
      </c>
      <c r="F221" s="2">
        <v>1</v>
      </c>
      <c r="G221" s="3">
        <v>22</v>
      </c>
      <c r="H221" s="3">
        <f>grocery_chain_data[[#This Row],[Quantity]]*grocery_chain_data[[#This Row],[Unit Price]]</f>
        <v>22</v>
      </c>
      <c r="I221" s="3">
        <v>5</v>
      </c>
      <c r="J221" s="3">
        <f>grocery_chain_data[[#This Row],[Total Amount]]-grocery_chain_data[[#This Row],[Discount Amount]]</f>
        <v>17</v>
      </c>
      <c r="K221">
        <v>466</v>
      </c>
      <c r="L221" t="str">
        <f>IF(grocery_chain_data[[#This Row],[Final Amount]]&lt;0,"Return","Sale")</f>
        <v>Sale</v>
      </c>
      <c r="M221">
        <f>IF(grocery_chain_data[[#This Row],[Final Amount]]&lt;0,0,grocery_chain_data[[#This Row],[Final Amount]])</f>
        <v>17</v>
      </c>
    </row>
    <row r="222" spans="1:13" x14ac:dyDescent="0.3">
      <c r="A222">
        <v>5088</v>
      </c>
      <c r="B222" t="s">
        <v>12</v>
      </c>
      <c r="C222" s="1">
        <v>45663</v>
      </c>
      <c r="D222" s="1" t="str">
        <f t="shared" si="3"/>
        <v>Dairy</v>
      </c>
      <c r="E222" t="s">
        <v>19</v>
      </c>
      <c r="F222" s="2">
        <v>1</v>
      </c>
      <c r="G222" s="3">
        <v>20</v>
      </c>
      <c r="H222" s="3">
        <f>grocery_chain_data[[#This Row],[Quantity]]*grocery_chain_data[[#This Row],[Unit Price]]</f>
        <v>20</v>
      </c>
      <c r="I222" s="3">
        <v>4</v>
      </c>
      <c r="J222" s="3">
        <f>grocery_chain_data[[#This Row],[Total Amount]]-grocery_chain_data[[#This Row],[Discount Amount]]</f>
        <v>16</v>
      </c>
      <c r="K222">
        <v>207</v>
      </c>
      <c r="L222" t="str">
        <f>IF(grocery_chain_data[[#This Row],[Final Amount]]&lt;0,"Return","Sale")</f>
        <v>Sale</v>
      </c>
      <c r="M222">
        <f>IF(grocery_chain_data[[#This Row],[Final Amount]]&lt;0,0,grocery_chain_data[[#This Row],[Final Amount]])</f>
        <v>16</v>
      </c>
    </row>
    <row r="223" spans="1:13" x14ac:dyDescent="0.3">
      <c r="A223">
        <v>2684</v>
      </c>
      <c r="B223" t="s">
        <v>5</v>
      </c>
      <c r="C223" s="1">
        <v>45419</v>
      </c>
      <c r="D223" s="1" t="str">
        <f t="shared" si="3"/>
        <v>Dairy</v>
      </c>
      <c r="E223" t="s">
        <v>20</v>
      </c>
      <c r="F223" s="2">
        <v>5</v>
      </c>
      <c r="G223" s="3">
        <v>21</v>
      </c>
      <c r="H223" s="3">
        <f>grocery_chain_data[[#This Row],[Quantity]]*grocery_chain_data[[#This Row],[Unit Price]]</f>
        <v>105</v>
      </c>
      <c r="I223" s="3">
        <v>21</v>
      </c>
      <c r="J223" s="3">
        <f>grocery_chain_data[[#This Row],[Total Amount]]-grocery_chain_data[[#This Row],[Discount Amount]]</f>
        <v>84</v>
      </c>
      <c r="K223">
        <v>224</v>
      </c>
      <c r="L223" t="str">
        <f>IF(grocery_chain_data[[#This Row],[Final Amount]]&lt;0,"Return","Sale")</f>
        <v>Sale</v>
      </c>
      <c r="M223">
        <f>IF(grocery_chain_data[[#This Row],[Final Amount]]&lt;0,0,grocery_chain_data[[#This Row],[Final Amount]])</f>
        <v>84</v>
      </c>
    </row>
    <row r="224" spans="1:13" x14ac:dyDescent="0.3">
      <c r="A224">
        <v>7658</v>
      </c>
      <c r="B224" t="s">
        <v>0</v>
      </c>
      <c r="C224" s="1">
        <v>45627</v>
      </c>
      <c r="D224" s="1" t="str">
        <f t="shared" si="3"/>
        <v>Beverages</v>
      </c>
      <c r="E224" t="s">
        <v>7</v>
      </c>
      <c r="F224" s="2">
        <v>3</v>
      </c>
      <c r="G224" s="3">
        <v>12</v>
      </c>
      <c r="H224" s="3">
        <f>grocery_chain_data[[#This Row],[Quantity]]*grocery_chain_data[[#This Row],[Unit Price]]</f>
        <v>36</v>
      </c>
      <c r="I224" s="3">
        <v>2</v>
      </c>
      <c r="J224" s="3">
        <f>grocery_chain_data[[#This Row],[Total Amount]]-grocery_chain_data[[#This Row],[Discount Amount]]</f>
        <v>34</v>
      </c>
      <c r="K224">
        <v>290</v>
      </c>
      <c r="L224" t="str">
        <f>IF(grocery_chain_data[[#This Row],[Final Amount]]&lt;0,"Return","Sale")</f>
        <v>Sale</v>
      </c>
      <c r="M224">
        <f>IF(grocery_chain_data[[#This Row],[Final Amount]]&lt;0,0,grocery_chain_data[[#This Row],[Final Amount]])</f>
        <v>34</v>
      </c>
    </row>
    <row r="225" spans="1:13" x14ac:dyDescent="0.3">
      <c r="A225">
        <v>3532</v>
      </c>
      <c r="B225" t="s">
        <v>10</v>
      </c>
      <c r="C225" s="1">
        <v>45864</v>
      </c>
      <c r="D225" s="1" t="str">
        <f t="shared" si="3"/>
        <v>Beverages</v>
      </c>
      <c r="E225" t="s">
        <v>7</v>
      </c>
      <c r="F225" s="2">
        <v>4</v>
      </c>
      <c r="G225" s="3">
        <v>23</v>
      </c>
      <c r="H225" s="3">
        <f>grocery_chain_data[[#This Row],[Quantity]]*grocery_chain_data[[#This Row],[Unit Price]]</f>
        <v>92</v>
      </c>
      <c r="I225" s="3">
        <v>2</v>
      </c>
      <c r="J225" s="3">
        <f>grocery_chain_data[[#This Row],[Total Amount]]-grocery_chain_data[[#This Row],[Discount Amount]]</f>
        <v>90</v>
      </c>
      <c r="K225">
        <v>293</v>
      </c>
      <c r="L225" t="str">
        <f>IF(grocery_chain_data[[#This Row],[Final Amount]]&lt;0,"Return","Sale")</f>
        <v>Sale</v>
      </c>
      <c r="M225">
        <f>IF(grocery_chain_data[[#This Row],[Final Amount]]&lt;0,0,grocery_chain_data[[#This Row],[Final Amount]])</f>
        <v>90</v>
      </c>
    </row>
    <row r="226" spans="1:13" x14ac:dyDescent="0.3">
      <c r="A226">
        <v>4878</v>
      </c>
      <c r="B226" t="s">
        <v>16</v>
      </c>
      <c r="C226" s="1">
        <v>45816</v>
      </c>
      <c r="D226" s="1" t="str">
        <f t="shared" si="3"/>
        <v>Pantry</v>
      </c>
      <c r="E226" t="s">
        <v>1</v>
      </c>
      <c r="F226" s="2">
        <v>2</v>
      </c>
      <c r="G226" s="3">
        <v>29</v>
      </c>
      <c r="H226" s="3">
        <f>grocery_chain_data[[#This Row],[Quantity]]*grocery_chain_data[[#This Row],[Unit Price]]</f>
        <v>58</v>
      </c>
      <c r="I226" s="3">
        <v>6</v>
      </c>
      <c r="J226" s="3">
        <f>grocery_chain_data[[#This Row],[Total Amount]]-grocery_chain_data[[#This Row],[Discount Amount]]</f>
        <v>52</v>
      </c>
      <c r="K226">
        <v>13</v>
      </c>
      <c r="L226" t="str">
        <f>IF(grocery_chain_data[[#This Row],[Final Amount]]&lt;0,"Return","Sale")</f>
        <v>Sale</v>
      </c>
      <c r="M226">
        <f>IF(grocery_chain_data[[#This Row],[Final Amount]]&lt;0,0,grocery_chain_data[[#This Row],[Final Amount]])</f>
        <v>52</v>
      </c>
    </row>
    <row r="227" spans="1:13" x14ac:dyDescent="0.3">
      <c r="A227">
        <v>3662</v>
      </c>
      <c r="B227" t="s">
        <v>2</v>
      </c>
      <c r="C227" s="1">
        <v>45766</v>
      </c>
      <c r="D227" s="1" t="str">
        <f t="shared" si="3"/>
        <v>Produce</v>
      </c>
      <c r="E227" t="s">
        <v>4</v>
      </c>
      <c r="F227" s="2">
        <v>1</v>
      </c>
      <c r="G227" s="3">
        <v>9</v>
      </c>
      <c r="H227" s="3">
        <f>grocery_chain_data[[#This Row],[Quantity]]*grocery_chain_data[[#This Row],[Unit Price]]</f>
        <v>9</v>
      </c>
      <c r="I227" s="3">
        <v>2</v>
      </c>
      <c r="J227" s="3">
        <f>grocery_chain_data[[#This Row],[Total Amount]]-grocery_chain_data[[#This Row],[Discount Amount]]</f>
        <v>7</v>
      </c>
      <c r="K227">
        <v>133</v>
      </c>
      <c r="L227" t="str">
        <f>IF(grocery_chain_data[[#This Row],[Final Amount]]&lt;0,"Return","Sale")</f>
        <v>Sale</v>
      </c>
      <c r="M227">
        <f>IF(grocery_chain_data[[#This Row],[Final Amount]]&lt;0,0,grocery_chain_data[[#This Row],[Final Amount]])</f>
        <v>7</v>
      </c>
    </row>
    <row r="228" spans="1:13" x14ac:dyDescent="0.3">
      <c r="A228">
        <v>3900</v>
      </c>
      <c r="B228" t="s">
        <v>12</v>
      </c>
      <c r="C228" s="1">
        <v>45829</v>
      </c>
      <c r="D228" s="1" t="str">
        <f t="shared" si="3"/>
        <v>Dairy</v>
      </c>
      <c r="E228" t="s">
        <v>23</v>
      </c>
      <c r="F228" s="2">
        <v>1</v>
      </c>
      <c r="G228" s="3">
        <v>5</v>
      </c>
      <c r="H228" s="3">
        <f>grocery_chain_data[[#This Row],[Quantity]]*grocery_chain_data[[#This Row],[Unit Price]]</f>
        <v>5</v>
      </c>
      <c r="I228" s="3">
        <v>1</v>
      </c>
      <c r="J228" s="3">
        <f>grocery_chain_data[[#This Row],[Total Amount]]-grocery_chain_data[[#This Row],[Discount Amount]]</f>
        <v>4</v>
      </c>
      <c r="K228">
        <v>37</v>
      </c>
      <c r="L228" t="str">
        <f>IF(grocery_chain_data[[#This Row],[Final Amount]]&lt;0,"Return","Sale")</f>
        <v>Sale</v>
      </c>
      <c r="M228">
        <f>IF(grocery_chain_data[[#This Row],[Final Amount]]&lt;0,0,grocery_chain_data[[#This Row],[Final Amount]])</f>
        <v>4</v>
      </c>
    </row>
    <row r="229" spans="1:13" x14ac:dyDescent="0.3">
      <c r="A229">
        <v>7755</v>
      </c>
      <c r="B229" t="s">
        <v>10</v>
      </c>
      <c r="C229" s="1">
        <v>45164</v>
      </c>
      <c r="D229" s="1" t="str">
        <f t="shared" si="3"/>
        <v>Pantry</v>
      </c>
      <c r="E229" t="s">
        <v>6</v>
      </c>
      <c r="F229" s="2">
        <v>3</v>
      </c>
      <c r="G229" s="3">
        <v>22</v>
      </c>
      <c r="H229" s="3">
        <f>grocery_chain_data[[#This Row],[Quantity]]*grocery_chain_data[[#This Row],[Unit Price]]</f>
        <v>66</v>
      </c>
      <c r="I229" s="3">
        <v>10</v>
      </c>
      <c r="J229" s="3">
        <f>grocery_chain_data[[#This Row],[Total Amount]]-grocery_chain_data[[#This Row],[Discount Amount]]</f>
        <v>56</v>
      </c>
      <c r="K229">
        <v>281</v>
      </c>
      <c r="L229" t="str">
        <f>IF(grocery_chain_data[[#This Row],[Final Amount]]&lt;0,"Return","Sale")</f>
        <v>Sale</v>
      </c>
      <c r="M229">
        <f>IF(grocery_chain_data[[#This Row],[Final Amount]]&lt;0,0,grocery_chain_data[[#This Row],[Final Amount]])</f>
        <v>56</v>
      </c>
    </row>
    <row r="230" spans="1:13" x14ac:dyDescent="0.3">
      <c r="A230">
        <v>3938</v>
      </c>
      <c r="B230" t="s">
        <v>5</v>
      </c>
      <c r="C230" s="1">
        <v>45717</v>
      </c>
      <c r="D230" s="1" t="str">
        <f t="shared" si="3"/>
        <v>Produce</v>
      </c>
      <c r="E230" t="s">
        <v>11</v>
      </c>
      <c r="F230" s="2">
        <v>3</v>
      </c>
      <c r="G230" s="3">
        <v>16</v>
      </c>
      <c r="H230" s="3">
        <f>grocery_chain_data[[#This Row],[Quantity]]*grocery_chain_data[[#This Row],[Unit Price]]</f>
        <v>48</v>
      </c>
      <c r="I230" s="3">
        <v>9</v>
      </c>
      <c r="J230" s="3">
        <f>grocery_chain_data[[#This Row],[Total Amount]]-grocery_chain_data[[#This Row],[Discount Amount]]</f>
        <v>39</v>
      </c>
      <c r="K230">
        <v>62</v>
      </c>
      <c r="L230" t="str">
        <f>IF(grocery_chain_data[[#This Row],[Final Amount]]&lt;0,"Return","Sale")</f>
        <v>Sale</v>
      </c>
      <c r="M230">
        <f>IF(grocery_chain_data[[#This Row],[Final Amount]]&lt;0,0,grocery_chain_data[[#This Row],[Final Amount]])</f>
        <v>39</v>
      </c>
    </row>
    <row r="231" spans="1:13" x14ac:dyDescent="0.3">
      <c r="A231">
        <v>6442</v>
      </c>
      <c r="B231" t="s">
        <v>21</v>
      </c>
      <c r="C231" s="1">
        <v>45752</v>
      </c>
      <c r="D231" s="1" t="str">
        <f t="shared" si="3"/>
        <v>Produce</v>
      </c>
      <c r="E231" t="s">
        <v>18</v>
      </c>
      <c r="F231" s="2">
        <v>3</v>
      </c>
      <c r="G231" s="3">
        <v>17</v>
      </c>
      <c r="H231" s="3">
        <f>grocery_chain_data[[#This Row],[Quantity]]*grocery_chain_data[[#This Row],[Unit Price]]</f>
        <v>51</v>
      </c>
      <c r="I231" s="3">
        <v>2</v>
      </c>
      <c r="J231" s="3">
        <f>grocery_chain_data[[#This Row],[Total Amount]]-grocery_chain_data[[#This Row],[Discount Amount]]</f>
        <v>49</v>
      </c>
      <c r="K231">
        <v>188</v>
      </c>
      <c r="L231" t="str">
        <f>IF(grocery_chain_data[[#This Row],[Final Amount]]&lt;0,"Return","Sale")</f>
        <v>Sale</v>
      </c>
      <c r="M231">
        <f>IF(grocery_chain_data[[#This Row],[Final Amount]]&lt;0,0,grocery_chain_data[[#This Row],[Final Amount]])</f>
        <v>49</v>
      </c>
    </row>
    <row r="232" spans="1:13" x14ac:dyDescent="0.3">
      <c r="A232">
        <v>7745</v>
      </c>
      <c r="B232" t="s">
        <v>0</v>
      </c>
      <c r="C232" s="1">
        <v>45768</v>
      </c>
      <c r="D232" s="1" t="str">
        <f t="shared" si="3"/>
        <v>Produce</v>
      </c>
      <c r="E232" t="s">
        <v>17</v>
      </c>
      <c r="F232" s="2">
        <v>4</v>
      </c>
      <c r="G232" s="3">
        <v>30</v>
      </c>
      <c r="H232" s="3">
        <f>grocery_chain_data[[#This Row],[Quantity]]*grocery_chain_data[[#This Row],[Unit Price]]</f>
        <v>120</v>
      </c>
      <c r="I232" s="3">
        <v>3</v>
      </c>
      <c r="J232" s="3">
        <f>grocery_chain_data[[#This Row],[Total Amount]]-grocery_chain_data[[#This Row],[Discount Amount]]</f>
        <v>117</v>
      </c>
      <c r="K232">
        <v>368</v>
      </c>
      <c r="L232" t="str">
        <f>IF(grocery_chain_data[[#This Row],[Final Amount]]&lt;0,"Return","Sale")</f>
        <v>Sale</v>
      </c>
      <c r="M232">
        <f>IF(grocery_chain_data[[#This Row],[Final Amount]]&lt;0,0,grocery_chain_data[[#This Row],[Final Amount]])</f>
        <v>117</v>
      </c>
    </row>
    <row r="233" spans="1:13" x14ac:dyDescent="0.3">
      <c r="A233">
        <v>5065</v>
      </c>
      <c r="B233" t="s">
        <v>8</v>
      </c>
      <c r="C233" s="1">
        <v>45352</v>
      </c>
      <c r="D233" s="1" t="str">
        <f t="shared" si="3"/>
        <v>Bakery</v>
      </c>
      <c r="E233" t="s">
        <v>22</v>
      </c>
      <c r="F233" s="2">
        <v>2</v>
      </c>
      <c r="G233" s="3">
        <v>29</v>
      </c>
      <c r="H233" s="3">
        <f>grocery_chain_data[[#This Row],[Quantity]]*grocery_chain_data[[#This Row],[Unit Price]]</f>
        <v>58</v>
      </c>
      <c r="I233" s="3">
        <v>6</v>
      </c>
      <c r="J233" s="3">
        <f>grocery_chain_data[[#This Row],[Total Amount]]-grocery_chain_data[[#This Row],[Discount Amount]]</f>
        <v>52</v>
      </c>
      <c r="K233">
        <v>328</v>
      </c>
      <c r="L233" t="str">
        <f>IF(grocery_chain_data[[#This Row],[Final Amount]]&lt;0,"Return","Sale")</f>
        <v>Sale</v>
      </c>
      <c r="M233">
        <f>IF(grocery_chain_data[[#This Row],[Final Amount]]&lt;0,0,grocery_chain_data[[#This Row],[Final Amount]])</f>
        <v>52</v>
      </c>
    </row>
    <row r="234" spans="1:13" x14ac:dyDescent="0.3">
      <c r="A234">
        <v>3608</v>
      </c>
      <c r="B234" t="s">
        <v>10</v>
      </c>
      <c r="C234" s="1">
        <v>45756</v>
      </c>
      <c r="D234" s="1" t="str">
        <f t="shared" si="3"/>
        <v>Produce</v>
      </c>
      <c r="E234" t="s">
        <v>24</v>
      </c>
      <c r="F234" s="2">
        <v>3</v>
      </c>
      <c r="G234" s="3">
        <v>5</v>
      </c>
      <c r="H234" s="3">
        <f>grocery_chain_data[[#This Row],[Quantity]]*grocery_chain_data[[#This Row],[Unit Price]]</f>
        <v>15</v>
      </c>
      <c r="I234" s="3">
        <v>3</v>
      </c>
      <c r="J234" s="3">
        <f>grocery_chain_data[[#This Row],[Total Amount]]-grocery_chain_data[[#This Row],[Discount Amount]]</f>
        <v>12</v>
      </c>
      <c r="K234">
        <v>424</v>
      </c>
      <c r="L234" t="str">
        <f>IF(grocery_chain_data[[#This Row],[Final Amount]]&lt;0,"Return","Sale")</f>
        <v>Sale</v>
      </c>
      <c r="M234">
        <f>IF(grocery_chain_data[[#This Row],[Final Amount]]&lt;0,0,grocery_chain_data[[#This Row],[Final Amount]])</f>
        <v>12</v>
      </c>
    </row>
    <row r="235" spans="1:13" x14ac:dyDescent="0.3">
      <c r="A235">
        <v>2771</v>
      </c>
      <c r="B235" t="s">
        <v>8</v>
      </c>
      <c r="C235" s="1">
        <v>45442</v>
      </c>
      <c r="D235" s="1" t="str">
        <f t="shared" si="3"/>
        <v>Dairy</v>
      </c>
      <c r="E235" t="s">
        <v>19</v>
      </c>
      <c r="F235" s="2">
        <v>1</v>
      </c>
      <c r="G235" s="3">
        <v>16</v>
      </c>
      <c r="H235" s="3">
        <f>grocery_chain_data[[#This Row],[Quantity]]*grocery_chain_data[[#This Row],[Unit Price]]</f>
        <v>16</v>
      </c>
      <c r="I235" s="3">
        <v>3</v>
      </c>
      <c r="J235" s="3">
        <f>grocery_chain_data[[#This Row],[Total Amount]]-grocery_chain_data[[#This Row],[Discount Amount]]</f>
        <v>13</v>
      </c>
      <c r="K235">
        <v>155</v>
      </c>
      <c r="L235" t="str">
        <f>IF(grocery_chain_data[[#This Row],[Final Amount]]&lt;0,"Return","Sale")</f>
        <v>Sale</v>
      </c>
      <c r="M235">
        <f>IF(grocery_chain_data[[#This Row],[Final Amount]]&lt;0,0,grocery_chain_data[[#This Row],[Final Amount]])</f>
        <v>13</v>
      </c>
    </row>
    <row r="236" spans="1:13" x14ac:dyDescent="0.3">
      <c r="A236">
        <v>1634</v>
      </c>
      <c r="B236" t="s">
        <v>16</v>
      </c>
      <c r="C236" s="1">
        <v>45811</v>
      </c>
      <c r="D236" s="1" t="str">
        <f t="shared" si="3"/>
        <v>Beverages</v>
      </c>
      <c r="E236" t="s">
        <v>7</v>
      </c>
      <c r="F236" s="2">
        <v>5</v>
      </c>
      <c r="G236" s="3">
        <v>27</v>
      </c>
      <c r="H236" s="3">
        <f>grocery_chain_data[[#This Row],[Quantity]]*grocery_chain_data[[#This Row],[Unit Price]]</f>
        <v>135</v>
      </c>
      <c r="I236" s="3">
        <v>20</v>
      </c>
      <c r="J236" s="3">
        <f>grocery_chain_data[[#This Row],[Total Amount]]-grocery_chain_data[[#This Row],[Discount Amount]]</f>
        <v>115</v>
      </c>
      <c r="K236">
        <v>433</v>
      </c>
      <c r="L236" t="str">
        <f>IF(grocery_chain_data[[#This Row],[Final Amount]]&lt;0,"Return","Sale")</f>
        <v>Sale</v>
      </c>
      <c r="M236">
        <f>IF(grocery_chain_data[[#This Row],[Final Amount]]&lt;0,0,grocery_chain_data[[#This Row],[Final Amount]])</f>
        <v>115</v>
      </c>
    </row>
    <row r="237" spans="1:13" x14ac:dyDescent="0.3">
      <c r="A237">
        <v>8711</v>
      </c>
      <c r="B237" t="s">
        <v>21</v>
      </c>
      <c r="C237" s="1">
        <v>45317</v>
      </c>
      <c r="D237" s="1" t="str">
        <f t="shared" si="3"/>
        <v>Produce</v>
      </c>
      <c r="E237" t="s">
        <v>4</v>
      </c>
      <c r="F237" s="2">
        <v>3</v>
      </c>
      <c r="G237" s="3">
        <v>5</v>
      </c>
      <c r="H237" s="3">
        <f>grocery_chain_data[[#This Row],[Quantity]]*grocery_chain_data[[#This Row],[Unit Price]]</f>
        <v>15</v>
      </c>
      <c r="I237" s="3">
        <v>4</v>
      </c>
      <c r="J237" s="3">
        <f>grocery_chain_data[[#This Row],[Total Amount]]-grocery_chain_data[[#This Row],[Discount Amount]]</f>
        <v>11</v>
      </c>
      <c r="K237">
        <v>155</v>
      </c>
      <c r="L237" t="str">
        <f>IF(grocery_chain_data[[#This Row],[Final Amount]]&lt;0,"Return","Sale")</f>
        <v>Sale</v>
      </c>
      <c r="M237">
        <f>IF(grocery_chain_data[[#This Row],[Final Amount]]&lt;0,0,grocery_chain_data[[#This Row],[Final Amount]])</f>
        <v>11</v>
      </c>
    </row>
    <row r="238" spans="1:13" x14ac:dyDescent="0.3">
      <c r="A238">
        <v>4269</v>
      </c>
      <c r="B238" t="s">
        <v>5</v>
      </c>
      <c r="C238" s="1">
        <v>45779</v>
      </c>
      <c r="D238" s="1" t="str">
        <f t="shared" si="3"/>
        <v>Pantry</v>
      </c>
      <c r="E238" t="s">
        <v>6</v>
      </c>
      <c r="F238" s="2">
        <v>5</v>
      </c>
      <c r="G238" s="3">
        <v>2</v>
      </c>
      <c r="H238" s="3">
        <f>grocery_chain_data[[#This Row],[Quantity]]*grocery_chain_data[[#This Row],[Unit Price]]</f>
        <v>10</v>
      </c>
      <c r="I238" s="3">
        <v>1</v>
      </c>
      <c r="J238" s="3">
        <f>grocery_chain_data[[#This Row],[Total Amount]]-grocery_chain_data[[#This Row],[Discount Amount]]</f>
        <v>9</v>
      </c>
      <c r="K238">
        <v>442</v>
      </c>
      <c r="L238" t="str">
        <f>IF(grocery_chain_data[[#This Row],[Final Amount]]&lt;0,"Return","Sale")</f>
        <v>Sale</v>
      </c>
      <c r="M238">
        <f>IF(grocery_chain_data[[#This Row],[Final Amount]]&lt;0,0,grocery_chain_data[[#This Row],[Final Amount]])</f>
        <v>9</v>
      </c>
    </row>
    <row r="239" spans="1:13" x14ac:dyDescent="0.3">
      <c r="A239">
        <v>8541</v>
      </c>
      <c r="B239" t="s">
        <v>12</v>
      </c>
      <c r="C239" s="1">
        <v>45416</v>
      </c>
      <c r="D239" s="1" t="str">
        <f t="shared" si="3"/>
        <v>Dairy</v>
      </c>
      <c r="E239" t="s">
        <v>23</v>
      </c>
      <c r="F239" s="2">
        <v>5</v>
      </c>
      <c r="G239" s="3">
        <v>13</v>
      </c>
      <c r="H239" s="3">
        <f>grocery_chain_data[[#This Row],[Quantity]]*grocery_chain_data[[#This Row],[Unit Price]]</f>
        <v>65</v>
      </c>
      <c r="I239" s="3">
        <v>7</v>
      </c>
      <c r="J239" s="3">
        <f>grocery_chain_data[[#This Row],[Total Amount]]-grocery_chain_data[[#This Row],[Discount Amount]]</f>
        <v>58</v>
      </c>
      <c r="K239">
        <v>327</v>
      </c>
      <c r="L239" t="str">
        <f>IF(grocery_chain_data[[#This Row],[Final Amount]]&lt;0,"Return","Sale")</f>
        <v>Sale</v>
      </c>
      <c r="M239">
        <f>IF(grocery_chain_data[[#This Row],[Final Amount]]&lt;0,0,grocery_chain_data[[#This Row],[Final Amount]])</f>
        <v>58</v>
      </c>
    </row>
    <row r="240" spans="1:13" x14ac:dyDescent="0.3">
      <c r="A240">
        <v>6000</v>
      </c>
      <c r="B240" t="s">
        <v>2</v>
      </c>
      <c r="C240" s="1">
        <v>45782</v>
      </c>
      <c r="D240" s="1" t="str">
        <f t="shared" si="3"/>
        <v>Produce</v>
      </c>
      <c r="E240" t="s">
        <v>17</v>
      </c>
      <c r="F240" s="2">
        <v>4</v>
      </c>
      <c r="G240" s="3">
        <v>8</v>
      </c>
      <c r="H240" s="3">
        <f>grocery_chain_data[[#This Row],[Quantity]]*grocery_chain_data[[#This Row],[Unit Price]]</f>
        <v>32</v>
      </c>
      <c r="I240" s="3">
        <v>5</v>
      </c>
      <c r="J240" s="3">
        <f>grocery_chain_data[[#This Row],[Total Amount]]-grocery_chain_data[[#This Row],[Discount Amount]]</f>
        <v>27</v>
      </c>
      <c r="K240">
        <v>413</v>
      </c>
      <c r="L240" t="str">
        <f>IF(grocery_chain_data[[#This Row],[Final Amount]]&lt;0,"Return","Sale")</f>
        <v>Sale</v>
      </c>
      <c r="M240">
        <f>IF(grocery_chain_data[[#This Row],[Final Amount]]&lt;0,0,grocery_chain_data[[#This Row],[Final Amount]])</f>
        <v>27</v>
      </c>
    </row>
    <row r="241" spans="1:13" x14ac:dyDescent="0.3">
      <c r="A241">
        <v>4728</v>
      </c>
      <c r="B241" t="s">
        <v>10</v>
      </c>
      <c r="C241" s="1">
        <v>45318</v>
      </c>
      <c r="D241" s="1" t="str">
        <f t="shared" si="3"/>
        <v>Dairy</v>
      </c>
      <c r="E241" t="s">
        <v>19</v>
      </c>
      <c r="F241" s="2">
        <v>2</v>
      </c>
      <c r="G241" s="3">
        <v>14</v>
      </c>
      <c r="H241" s="3">
        <f>grocery_chain_data[[#This Row],[Quantity]]*grocery_chain_data[[#This Row],[Unit Price]]</f>
        <v>28</v>
      </c>
      <c r="I241" s="3">
        <v>6</v>
      </c>
      <c r="J241" s="3">
        <f>grocery_chain_data[[#This Row],[Total Amount]]-grocery_chain_data[[#This Row],[Discount Amount]]</f>
        <v>22</v>
      </c>
      <c r="K241">
        <v>247</v>
      </c>
      <c r="L241" t="str">
        <f>IF(grocery_chain_data[[#This Row],[Final Amount]]&lt;0,"Return","Sale")</f>
        <v>Sale</v>
      </c>
      <c r="M241">
        <f>IF(grocery_chain_data[[#This Row],[Final Amount]]&lt;0,0,grocery_chain_data[[#This Row],[Final Amount]])</f>
        <v>22</v>
      </c>
    </row>
    <row r="242" spans="1:13" x14ac:dyDescent="0.3">
      <c r="A242">
        <v>1387</v>
      </c>
      <c r="B242" t="s">
        <v>16</v>
      </c>
      <c r="C242" s="1">
        <v>45657</v>
      </c>
      <c r="D242" s="1" t="str">
        <f t="shared" si="3"/>
        <v>Dairy</v>
      </c>
      <c r="E242" t="s">
        <v>20</v>
      </c>
      <c r="F242" s="2">
        <v>3</v>
      </c>
      <c r="G242" s="3">
        <v>26</v>
      </c>
      <c r="H242" s="3">
        <f>grocery_chain_data[[#This Row],[Quantity]]*grocery_chain_data[[#This Row],[Unit Price]]</f>
        <v>78</v>
      </c>
      <c r="I242" s="3">
        <v>8</v>
      </c>
      <c r="J242" s="3">
        <f>grocery_chain_data[[#This Row],[Total Amount]]-grocery_chain_data[[#This Row],[Discount Amount]]</f>
        <v>70</v>
      </c>
      <c r="K242">
        <v>163</v>
      </c>
      <c r="L242" t="str">
        <f>IF(grocery_chain_data[[#This Row],[Final Amount]]&lt;0,"Return","Sale")</f>
        <v>Sale</v>
      </c>
      <c r="M242">
        <f>IF(grocery_chain_data[[#This Row],[Final Amount]]&lt;0,0,grocery_chain_data[[#This Row],[Final Amount]])</f>
        <v>70</v>
      </c>
    </row>
    <row r="243" spans="1:13" x14ac:dyDescent="0.3">
      <c r="A243">
        <v>4164</v>
      </c>
      <c r="B243" t="s">
        <v>5</v>
      </c>
      <c r="C243" s="1">
        <v>45454</v>
      </c>
      <c r="D243" s="1" t="str">
        <f t="shared" si="3"/>
        <v>Produce</v>
      </c>
      <c r="E243" t="s">
        <v>24</v>
      </c>
      <c r="F243" s="2">
        <v>5</v>
      </c>
      <c r="G243" s="3">
        <v>4</v>
      </c>
      <c r="H243" s="3">
        <f>grocery_chain_data[[#This Row],[Quantity]]*grocery_chain_data[[#This Row],[Unit Price]]</f>
        <v>20</v>
      </c>
      <c r="I243" s="3">
        <v>2</v>
      </c>
      <c r="J243" s="3">
        <f>grocery_chain_data[[#This Row],[Total Amount]]-grocery_chain_data[[#This Row],[Discount Amount]]</f>
        <v>18</v>
      </c>
      <c r="K243">
        <v>123</v>
      </c>
      <c r="L243" t="str">
        <f>IF(grocery_chain_data[[#This Row],[Final Amount]]&lt;0,"Return","Sale")</f>
        <v>Sale</v>
      </c>
      <c r="M243">
        <f>IF(grocery_chain_data[[#This Row],[Final Amount]]&lt;0,0,grocery_chain_data[[#This Row],[Final Amount]])</f>
        <v>18</v>
      </c>
    </row>
    <row r="244" spans="1:13" x14ac:dyDescent="0.3">
      <c r="A244">
        <v>6378</v>
      </c>
      <c r="B244" t="s">
        <v>21</v>
      </c>
      <c r="C244" s="1">
        <v>45361</v>
      </c>
      <c r="D244" s="1" t="str">
        <f t="shared" si="3"/>
        <v>Meat &amp; Seafood</v>
      </c>
      <c r="E244" t="s">
        <v>26</v>
      </c>
      <c r="F244" s="2">
        <v>1</v>
      </c>
      <c r="G244" s="3">
        <v>9</v>
      </c>
      <c r="H244" s="3">
        <f>grocery_chain_data[[#This Row],[Quantity]]*grocery_chain_data[[#This Row],[Unit Price]]</f>
        <v>9</v>
      </c>
      <c r="I244" s="3">
        <v>2</v>
      </c>
      <c r="J244" s="3">
        <f>grocery_chain_data[[#This Row],[Total Amount]]-grocery_chain_data[[#This Row],[Discount Amount]]</f>
        <v>7</v>
      </c>
      <c r="K244">
        <v>196</v>
      </c>
      <c r="L244" t="str">
        <f>IF(grocery_chain_data[[#This Row],[Final Amount]]&lt;0,"Return","Sale")</f>
        <v>Sale</v>
      </c>
      <c r="M244">
        <f>IF(grocery_chain_data[[#This Row],[Final Amount]]&lt;0,0,grocery_chain_data[[#This Row],[Final Amount]])</f>
        <v>7</v>
      </c>
    </row>
    <row r="245" spans="1:13" x14ac:dyDescent="0.3">
      <c r="A245">
        <v>2137</v>
      </c>
      <c r="B245" t="s">
        <v>5</v>
      </c>
      <c r="C245" s="1">
        <v>45745</v>
      </c>
      <c r="D245" s="1" t="str">
        <f t="shared" si="3"/>
        <v>Pantry</v>
      </c>
      <c r="E245" t="s">
        <v>6</v>
      </c>
      <c r="F245" s="2">
        <v>2</v>
      </c>
      <c r="G245" s="3">
        <v>23</v>
      </c>
      <c r="H245" s="3">
        <f>grocery_chain_data[[#This Row],[Quantity]]*grocery_chain_data[[#This Row],[Unit Price]]</f>
        <v>46</v>
      </c>
      <c r="I245" s="3">
        <v>5</v>
      </c>
      <c r="J245" s="3">
        <f>grocery_chain_data[[#This Row],[Total Amount]]-grocery_chain_data[[#This Row],[Discount Amount]]</f>
        <v>41</v>
      </c>
      <c r="K245">
        <v>255</v>
      </c>
      <c r="L245" t="str">
        <f>IF(grocery_chain_data[[#This Row],[Final Amount]]&lt;0,"Return","Sale")</f>
        <v>Sale</v>
      </c>
      <c r="M245">
        <f>IF(grocery_chain_data[[#This Row],[Final Amount]]&lt;0,0,grocery_chain_data[[#This Row],[Final Amount]])</f>
        <v>41</v>
      </c>
    </row>
    <row r="246" spans="1:13" x14ac:dyDescent="0.3">
      <c r="A246">
        <v>5573</v>
      </c>
      <c r="B246" t="s">
        <v>12</v>
      </c>
      <c r="C246" s="1">
        <v>45417</v>
      </c>
      <c r="D246" s="1" t="str">
        <f t="shared" si="3"/>
        <v>Produce</v>
      </c>
      <c r="E246" t="s">
        <v>18</v>
      </c>
      <c r="F246" s="2">
        <v>1</v>
      </c>
      <c r="G246" s="3">
        <v>28</v>
      </c>
      <c r="H246" s="3">
        <f>grocery_chain_data[[#This Row],[Quantity]]*grocery_chain_data[[#This Row],[Unit Price]]</f>
        <v>28</v>
      </c>
      <c r="I246" s="3">
        <v>6</v>
      </c>
      <c r="J246" s="3">
        <f>grocery_chain_data[[#This Row],[Total Amount]]-grocery_chain_data[[#This Row],[Discount Amount]]</f>
        <v>22</v>
      </c>
      <c r="K246">
        <v>258</v>
      </c>
      <c r="L246" t="str">
        <f>IF(grocery_chain_data[[#This Row],[Final Amount]]&lt;0,"Return","Sale")</f>
        <v>Sale</v>
      </c>
      <c r="M246">
        <f>IF(grocery_chain_data[[#This Row],[Final Amount]]&lt;0,0,grocery_chain_data[[#This Row],[Final Amount]])</f>
        <v>22</v>
      </c>
    </row>
    <row r="247" spans="1:13" x14ac:dyDescent="0.3">
      <c r="A247">
        <v>9346</v>
      </c>
      <c r="B247" t="s">
        <v>21</v>
      </c>
      <c r="C247" s="1">
        <v>45455</v>
      </c>
      <c r="D247" s="1" t="str">
        <f t="shared" si="3"/>
        <v>Beverages</v>
      </c>
      <c r="E247" t="s">
        <v>7</v>
      </c>
      <c r="F247" s="2">
        <v>1</v>
      </c>
      <c r="G247" s="3">
        <v>2</v>
      </c>
      <c r="H247" s="3">
        <f>grocery_chain_data[[#This Row],[Quantity]]*grocery_chain_data[[#This Row],[Unit Price]]</f>
        <v>2</v>
      </c>
      <c r="I247" s="3">
        <v>0</v>
      </c>
      <c r="J247" s="3">
        <f>grocery_chain_data[[#This Row],[Total Amount]]-grocery_chain_data[[#This Row],[Discount Amount]]</f>
        <v>2</v>
      </c>
      <c r="K247">
        <v>253</v>
      </c>
      <c r="L247" t="str">
        <f>IF(grocery_chain_data[[#This Row],[Final Amount]]&lt;0,"Return","Sale")</f>
        <v>Sale</v>
      </c>
      <c r="M247">
        <f>IF(grocery_chain_data[[#This Row],[Final Amount]]&lt;0,0,grocery_chain_data[[#This Row],[Final Amount]])</f>
        <v>2</v>
      </c>
    </row>
    <row r="248" spans="1:13" x14ac:dyDescent="0.3">
      <c r="A248">
        <v>9785</v>
      </c>
      <c r="B248" t="s">
        <v>2</v>
      </c>
      <c r="C248" s="1">
        <v>45402</v>
      </c>
      <c r="D248" s="1" t="str">
        <f t="shared" si="3"/>
        <v>Meat &amp; Seafood</v>
      </c>
      <c r="E248" t="s">
        <v>26</v>
      </c>
      <c r="F248" s="2">
        <v>4</v>
      </c>
      <c r="G248" s="3">
        <v>5</v>
      </c>
      <c r="H248" s="3">
        <f>grocery_chain_data[[#This Row],[Quantity]]*grocery_chain_data[[#This Row],[Unit Price]]</f>
        <v>20</v>
      </c>
      <c r="I248" s="3">
        <v>2</v>
      </c>
      <c r="J248" s="3">
        <f>grocery_chain_data[[#This Row],[Total Amount]]-grocery_chain_data[[#This Row],[Discount Amount]]</f>
        <v>18</v>
      </c>
      <c r="K248">
        <v>135</v>
      </c>
      <c r="L248" t="str">
        <f>IF(grocery_chain_data[[#This Row],[Final Amount]]&lt;0,"Return","Sale")</f>
        <v>Sale</v>
      </c>
      <c r="M248">
        <f>IF(grocery_chain_data[[#This Row],[Final Amount]]&lt;0,0,grocery_chain_data[[#This Row],[Final Amount]])</f>
        <v>18</v>
      </c>
    </row>
    <row r="249" spans="1:13" x14ac:dyDescent="0.3">
      <c r="A249">
        <v>1452</v>
      </c>
      <c r="B249" t="s">
        <v>16</v>
      </c>
      <c r="C249" s="1">
        <v>45234</v>
      </c>
      <c r="D249" s="1" t="str">
        <f t="shared" si="3"/>
        <v>Produce</v>
      </c>
      <c r="E249" t="s">
        <v>14</v>
      </c>
      <c r="F249" s="2">
        <v>1</v>
      </c>
      <c r="G249" s="3">
        <v>18</v>
      </c>
      <c r="H249" s="3">
        <f>grocery_chain_data[[#This Row],[Quantity]]*grocery_chain_data[[#This Row],[Unit Price]]</f>
        <v>18</v>
      </c>
      <c r="I249" s="3">
        <v>2</v>
      </c>
      <c r="J249" s="3">
        <f>grocery_chain_data[[#This Row],[Total Amount]]-grocery_chain_data[[#This Row],[Discount Amount]]</f>
        <v>16</v>
      </c>
      <c r="K249">
        <v>99</v>
      </c>
      <c r="L249" t="str">
        <f>IF(grocery_chain_data[[#This Row],[Final Amount]]&lt;0,"Return","Sale")</f>
        <v>Sale</v>
      </c>
      <c r="M249">
        <f>IF(grocery_chain_data[[#This Row],[Final Amount]]&lt;0,0,grocery_chain_data[[#This Row],[Final Amount]])</f>
        <v>16</v>
      </c>
    </row>
    <row r="250" spans="1:13" x14ac:dyDescent="0.3">
      <c r="A250">
        <v>5279</v>
      </c>
      <c r="B250" t="s">
        <v>8</v>
      </c>
      <c r="C250" s="1">
        <v>45283</v>
      </c>
      <c r="D250" s="1" t="str">
        <f t="shared" si="3"/>
        <v>Meat &amp; Seafood</v>
      </c>
      <c r="E250" t="s">
        <v>15</v>
      </c>
      <c r="F250" s="2">
        <v>5</v>
      </c>
      <c r="G250" s="3">
        <v>9</v>
      </c>
      <c r="H250" s="3">
        <f>grocery_chain_data[[#This Row],[Quantity]]*grocery_chain_data[[#This Row],[Unit Price]]</f>
        <v>45</v>
      </c>
      <c r="I250" s="3">
        <v>9</v>
      </c>
      <c r="J250" s="3">
        <f>grocery_chain_data[[#This Row],[Total Amount]]-grocery_chain_data[[#This Row],[Discount Amount]]</f>
        <v>36</v>
      </c>
      <c r="K250">
        <v>319</v>
      </c>
      <c r="L250" t="str">
        <f>IF(grocery_chain_data[[#This Row],[Final Amount]]&lt;0,"Return","Sale")</f>
        <v>Sale</v>
      </c>
      <c r="M250">
        <f>IF(grocery_chain_data[[#This Row],[Final Amount]]&lt;0,0,grocery_chain_data[[#This Row],[Final Amount]])</f>
        <v>36</v>
      </c>
    </row>
    <row r="251" spans="1:13" x14ac:dyDescent="0.3">
      <c r="A251">
        <v>5349</v>
      </c>
      <c r="B251" t="s">
        <v>0</v>
      </c>
      <c r="C251" s="1">
        <v>45174</v>
      </c>
      <c r="D251" s="1" t="str">
        <f t="shared" si="3"/>
        <v>Beverages</v>
      </c>
      <c r="E251" t="s">
        <v>7</v>
      </c>
      <c r="F251" s="2">
        <v>3</v>
      </c>
      <c r="G251" s="3">
        <v>17</v>
      </c>
      <c r="H251" s="3">
        <f>grocery_chain_data[[#This Row],[Quantity]]*grocery_chain_data[[#This Row],[Unit Price]]</f>
        <v>51</v>
      </c>
      <c r="I251" s="3">
        <v>10</v>
      </c>
      <c r="J251" s="3">
        <f>grocery_chain_data[[#This Row],[Total Amount]]-grocery_chain_data[[#This Row],[Discount Amount]]</f>
        <v>41</v>
      </c>
      <c r="K251">
        <v>187</v>
      </c>
      <c r="L251" t="str">
        <f>IF(grocery_chain_data[[#This Row],[Final Amount]]&lt;0,"Return","Sale")</f>
        <v>Sale</v>
      </c>
      <c r="M251">
        <f>IF(grocery_chain_data[[#This Row],[Final Amount]]&lt;0,0,grocery_chain_data[[#This Row],[Final Amount]])</f>
        <v>41</v>
      </c>
    </row>
    <row r="252" spans="1:13" x14ac:dyDescent="0.3">
      <c r="A252">
        <v>2776</v>
      </c>
      <c r="B252" t="s">
        <v>2</v>
      </c>
      <c r="C252" s="1">
        <v>45608</v>
      </c>
      <c r="D252" s="1" t="str">
        <f t="shared" si="3"/>
        <v>Produce</v>
      </c>
      <c r="E252" t="s">
        <v>24</v>
      </c>
      <c r="F252" s="2">
        <v>1</v>
      </c>
      <c r="G252" s="3">
        <v>2</v>
      </c>
      <c r="H252" s="3">
        <f>grocery_chain_data[[#This Row],[Quantity]]*grocery_chain_data[[#This Row],[Unit Price]]</f>
        <v>2</v>
      </c>
      <c r="I252" s="3">
        <v>0</v>
      </c>
      <c r="J252" s="3">
        <f>grocery_chain_data[[#This Row],[Total Amount]]-grocery_chain_data[[#This Row],[Discount Amount]]</f>
        <v>2</v>
      </c>
      <c r="K252">
        <v>70</v>
      </c>
      <c r="L252" t="str">
        <f>IF(grocery_chain_data[[#This Row],[Final Amount]]&lt;0,"Return","Sale")</f>
        <v>Sale</v>
      </c>
      <c r="M252">
        <f>IF(grocery_chain_data[[#This Row],[Final Amount]]&lt;0,0,grocery_chain_data[[#This Row],[Final Amount]])</f>
        <v>2</v>
      </c>
    </row>
    <row r="253" spans="1:13" x14ac:dyDescent="0.3">
      <c r="A253">
        <v>8119</v>
      </c>
      <c r="B253" t="s">
        <v>2</v>
      </c>
      <c r="C253" s="1">
        <v>45413</v>
      </c>
      <c r="D253" s="1" t="str">
        <f t="shared" si="3"/>
        <v>Dairy</v>
      </c>
      <c r="E253" t="s">
        <v>20</v>
      </c>
      <c r="F253" s="2">
        <v>5</v>
      </c>
      <c r="G253" s="3">
        <v>27</v>
      </c>
      <c r="H253" s="3">
        <f>grocery_chain_data[[#This Row],[Quantity]]*grocery_chain_data[[#This Row],[Unit Price]]</f>
        <v>135</v>
      </c>
      <c r="I253" s="3">
        <v>2</v>
      </c>
      <c r="J253" s="3">
        <f>grocery_chain_data[[#This Row],[Total Amount]]-grocery_chain_data[[#This Row],[Discount Amount]]</f>
        <v>133</v>
      </c>
      <c r="K253">
        <v>71</v>
      </c>
      <c r="L253" t="str">
        <f>IF(grocery_chain_data[[#This Row],[Final Amount]]&lt;0,"Return","Sale")</f>
        <v>Sale</v>
      </c>
      <c r="M253">
        <f>IF(grocery_chain_data[[#This Row],[Final Amount]]&lt;0,0,grocery_chain_data[[#This Row],[Final Amount]])</f>
        <v>133</v>
      </c>
    </row>
    <row r="254" spans="1:13" x14ac:dyDescent="0.3">
      <c r="A254">
        <v>6139</v>
      </c>
      <c r="B254" t="s">
        <v>8</v>
      </c>
      <c r="C254" s="1">
        <v>45483</v>
      </c>
      <c r="D254" s="1" t="str">
        <f t="shared" si="3"/>
        <v>Produce</v>
      </c>
      <c r="E254" t="s">
        <v>17</v>
      </c>
      <c r="F254" s="2">
        <v>5</v>
      </c>
      <c r="G254" s="3">
        <v>11</v>
      </c>
      <c r="H254" s="3">
        <f>grocery_chain_data[[#This Row],[Quantity]]*grocery_chain_data[[#This Row],[Unit Price]]</f>
        <v>55</v>
      </c>
      <c r="I254" s="3">
        <v>0</v>
      </c>
      <c r="J254" s="3">
        <f>grocery_chain_data[[#This Row],[Total Amount]]-grocery_chain_data[[#This Row],[Discount Amount]]</f>
        <v>55</v>
      </c>
      <c r="K254">
        <v>424</v>
      </c>
      <c r="L254" t="str">
        <f>IF(grocery_chain_data[[#This Row],[Final Amount]]&lt;0,"Return","Sale")</f>
        <v>Sale</v>
      </c>
      <c r="M254">
        <f>IF(grocery_chain_data[[#This Row],[Final Amount]]&lt;0,0,grocery_chain_data[[#This Row],[Final Amount]])</f>
        <v>55</v>
      </c>
    </row>
    <row r="255" spans="1:13" x14ac:dyDescent="0.3">
      <c r="A255">
        <v>9379</v>
      </c>
      <c r="B255" t="s">
        <v>12</v>
      </c>
      <c r="C255" s="1">
        <v>45234</v>
      </c>
      <c r="D255" s="1" t="str">
        <f t="shared" si="3"/>
        <v>Produce</v>
      </c>
      <c r="E255" t="s">
        <v>18</v>
      </c>
      <c r="F255" s="2">
        <v>3</v>
      </c>
      <c r="G255" s="3">
        <v>11</v>
      </c>
      <c r="H255" s="3">
        <f>grocery_chain_data[[#This Row],[Quantity]]*grocery_chain_data[[#This Row],[Unit Price]]</f>
        <v>33</v>
      </c>
      <c r="I255" s="3">
        <v>2</v>
      </c>
      <c r="J255" s="3">
        <f>grocery_chain_data[[#This Row],[Total Amount]]-grocery_chain_data[[#This Row],[Discount Amount]]</f>
        <v>31</v>
      </c>
      <c r="K255">
        <v>56</v>
      </c>
      <c r="L255" t="str">
        <f>IF(grocery_chain_data[[#This Row],[Final Amount]]&lt;0,"Return","Sale")</f>
        <v>Sale</v>
      </c>
      <c r="M255">
        <f>IF(grocery_chain_data[[#This Row],[Final Amount]]&lt;0,0,grocery_chain_data[[#This Row],[Final Amount]])</f>
        <v>31</v>
      </c>
    </row>
    <row r="256" spans="1:13" x14ac:dyDescent="0.3">
      <c r="A256">
        <v>7311</v>
      </c>
      <c r="B256" t="s">
        <v>13</v>
      </c>
      <c r="C256" s="1">
        <v>45843</v>
      </c>
      <c r="D256" s="1" t="str">
        <f t="shared" si="3"/>
        <v>Produce</v>
      </c>
      <c r="E256" t="s">
        <v>25</v>
      </c>
      <c r="F256" s="2">
        <v>3</v>
      </c>
      <c r="G256" s="3">
        <v>29</v>
      </c>
      <c r="H256" s="3">
        <f>grocery_chain_data[[#This Row],[Quantity]]*grocery_chain_data[[#This Row],[Unit Price]]</f>
        <v>87</v>
      </c>
      <c r="I256" s="3">
        <v>0</v>
      </c>
      <c r="J256" s="3">
        <f>grocery_chain_data[[#This Row],[Total Amount]]-grocery_chain_data[[#This Row],[Discount Amount]]</f>
        <v>87</v>
      </c>
      <c r="K256">
        <v>400</v>
      </c>
      <c r="L256" t="str">
        <f>IF(grocery_chain_data[[#This Row],[Final Amount]]&lt;0,"Return","Sale")</f>
        <v>Sale</v>
      </c>
      <c r="M256">
        <f>IF(grocery_chain_data[[#This Row],[Final Amount]]&lt;0,0,grocery_chain_data[[#This Row],[Final Amount]])</f>
        <v>87</v>
      </c>
    </row>
    <row r="257" spans="1:13" x14ac:dyDescent="0.3">
      <c r="A257">
        <v>4114</v>
      </c>
      <c r="B257" t="s">
        <v>13</v>
      </c>
      <c r="C257" s="1">
        <v>45342</v>
      </c>
      <c r="D257" s="1" t="str">
        <f t="shared" si="3"/>
        <v>Produce</v>
      </c>
      <c r="E257" t="s">
        <v>25</v>
      </c>
      <c r="F257" s="2">
        <v>2</v>
      </c>
      <c r="G257" s="3">
        <v>16</v>
      </c>
      <c r="H257" s="3">
        <f>grocery_chain_data[[#This Row],[Quantity]]*grocery_chain_data[[#This Row],[Unit Price]]</f>
        <v>32</v>
      </c>
      <c r="I257" s="3">
        <v>6</v>
      </c>
      <c r="J257" s="3">
        <f>grocery_chain_data[[#This Row],[Total Amount]]-grocery_chain_data[[#This Row],[Discount Amount]]</f>
        <v>26</v>
      </c>
      <c r="K257">
        <v>369</v>
      </c>
      <c r="L257" t="str">
        <f>IF(grocery_chain_data[[#This Row],[Final Amount]]&lt;0,"Return","Sale")</f>
        <v>Sale</v>
      </c>
      <c r="M257">
        <f>IF(grocery_chain_data[[#This Row],[Final Amount]]&lt;0,0,grocery_chain_data[[#This Row],[Final Amount]])</f>
        <v>26</v>
      </c>
    </row>
    <row r="258" spans="1:13" x14ac:dyDescent="0.3">
      <c r="A258">
        <v>1727</v>
      </c>
      <c r="B258" t="s">
        <v>21</v>
      </c>
      <c r="C258" s="1">
        <v>45695</v>
      </c>
      <c r="D258" s="1" t="str">
        <f t="shared" ref="D258:D321" si="4">IF(E258="Pasta","Pantry",
IF(E258="Cheese","Dairy",
IF(E258="Onions","Produce",
IF(E258="Cereal","Pantry",
IF(E258="Orange Juice","Beverages",
IF(E258="Ground Beef","Meat &amp; Seafood",
IF(E258="Apples","Produce",
IF(E258="Milk","Dairy",
IF(E258="Bananas","Produce",
IF(E258="Bread","Bakery",
IF(E258="Carrots","Produce",
IF(E258="Chicken Breast","Meat &amp; Seafood",
IF(E258="Eggs","Dairy",
IF(E258="Potatoes","Produce",
IF(E258="Rice","Produce",
IF(E258="Salmon","Meat &amp; Seafood",
IF(E258="Tomatoes","Produce",
IF(E258="Yogurt","Dairy",
"Others"))))))))))))))))))</f>
        <v>Meat &amp; Seafood</v>
      </c>
      <c r="E258" t="s">
        <v>26</v>
      </c>
      <c r="F258" s="2">
        <v>2</v>
      </c>
      <c r="G258" s="3">
        <v>2</v>
      </c>
      <c r="H258" s="3">
        <f>grocery_chain_data[[#This Row],[Quantity]]*grocery_chain_data[[#This Row],[Unit Price]]</f>
        <v>4</v>
      </c>
      <c r="I258" s="3">
        <v>1</v>
      </c>
      <c r="J258" s="3">
        <f>grocery_chain_data[[#This Row],[Total Amount]]-grocery_chain_data[[#This Row],[Discount Amount]]</f>
        <v>3</v>
      </c>
      <c r="K258">
        <v>160</v>
      </c>
      <c r="L258" t="str">
        <f>IF(grocery_chain_data[[#This Row],[Final Amount]]&lt;0,"Return","Sale")</f>
        <v>Sale</v>
      </c>
      <c r="M258">
        <f>IF(grocery_chain_data[[#This Row],[Final Amount]]&lt;0,0,grocery_chain_data[[#This Row],[Final Amount]])</f>
        <v>3</v>
      </c>
    </row>
    <row r="259" spans="1:13" x14ac:dyDescent="0.3">
      <c r="A259">
        <v>8144</v>
      </c>
      <c r="B259" t="s">
        <v>8</v>
      </c>
      <c r="C259" s="1">
        <v>45146</v>
      </c>
      <c r="D259" s="1" t="str">
        <f t="shared" si="4"/>
        <v>Dairy</v>
      </c>
      <c r="E259" t="s">
        <v>3</v>
      </c>
      <c r="F259" s="2">
        <v>5</v>
      </c>
      <c r="G259" s="3">
        <v>23</v>
      </c>
      <c r="H259" s="3">
        <f>grocery_chain_data[[#This Row],[Quantity]]*grocery_chain_data[[#This Row],[Unit Price]]</f>
        <v>115</v>
      </c>
      <c r="I259" s="3">
        <v>0</v>
      </c>
      <c r="J259" s="3">
        <f>grocery_chain_data[[#This Row],[Total Amount]]-grocery_chain_data[[#This Row],[Discount Amount]]</f>
        <v>115</v>
      </c>
      <c r="K259">
        <v>471</v>
      </c>
      <c r="L259" t="str">
        <f>IF(grocery_chain_data[[#This Row],[Final Amount]]&lt;0,"Return","Sale")</f>
        <v>Sale</v>
      </c>
      <c r="M259">
        <f>IF(grocery_chain_data[[#This Row],[Final Amount]]&lt;0,0,grocery_chain_data[[#This Row],[Final Amount]])</f>
        <v>115</v>
      </c>
    </row>
    <row r="260" spans="1:13" x14ac:dyDescent="0.3">
      <c r="A260">
        <v>9518</v>
      </c>
      <c r="B260" t="s">
        <v>13</v>
      </c>
      <c r="C260" s="1">
        <v>45863</v>
      </c>
      <c r="D260" s="1" t="str">
        <f t="shared" si="4"/>
        <v>Produce</v>
      </c>
      <c r="E260" t="s">
        <v>24</v>
      </c>
      <c r="F260" s="2">
        <v>2</v>
      </c>
      <c r="G260" s="3">
        <v>17</v>
      </c>
      <c r="H260" s="3">
        <f>grocery_chain_data[[#This Row],[Quantity]]*grocery_chain_data[[#This Row],[Unit Price]]</f>
        <v>34</v>
      </c>
      <c r="I260" s="3">
        <v>3</v>
      </c>
      <c r="J260" s="3">
        <f>grocery_chain_data[[#This Row],[Total Amount]]-grocery_chain_data[[#This Row],[Discount Amount]]</f>
        <v>31</v>
      </c>
      <c r="K260">
        <v>339</v>
      </c>
      <c r="L260" t="str">
        <f>IF(grocery_chain_data[[#This Row],[Final Amount]]&lt;0,"Return","Sale")</f>
        <v>Sale</v>
      </c>
      <c r="M260">
        <f>IF(grocery_chain_data[[#This Row],[Final Amount]]&lt;0,0,grocery_chain_data[[#This Row],[Final Amount]])</f>
        <v>31</v>
      </c>
    </row>
    <row r="261" spans="1:13" x14ac:dyDescent="0.3">
      <c r="A261">
        <v>9821</v>
      </c>
      <c r="B261" t="s">
        <v>5</v>
      </c>
      <c r="C261" s="1">
        <v>45678</v>
      </c>
      <c r="D261" s="1" t="str">
        <f t="shared" si="4"/>
        <v>Produce</v>
      </c>
      <c r="E261" t="s">
        <v>4</v>
      </c>
      <c r="F261" s="2">
        <v>3</v>
      </c>
      <c r="G261" s="3">
        <v>17</v>
      </c>
      <c r="H261" s="3">
        <f>grocery_chain_data[[#This Row],[Quantity]]*grocery_chain_data[[#This Row],[Unit Price]]</f>
        <v>51</v>
      </c>
      <c r="I261" s="3">
        <v>3</v>
      </c>
      <c r="J261" s="3">
        <f>grocery_chain_data[[#This Row],[Total Amount]]-grocery_chain_data[[#This Row],[Discount Amount]]</f>
        <v>48</v>
      </c>
      <c r="K261">
        <v>346</v>
      </c>
      <c r="L261" t="str">
        <f>IF(grocery_chain_data[[#This Row],[Final Amount]]&lt;0,"Return","Sale")</f>
        <v>Sale</v>
      </c>
      <c r="M261">
        <f>IF(grocery_chain_data[[#This Row],[Final Amount]]&lt;0,0,grocery_chain_data[[#This Row],[Final Amount]])</f>
        <v>48</v>
      </c>
    </row>
    <row r="262" spans="1:13" x14ac:dyDescent="0.3">
      <c r="A262">
        <v>4228</v>
      </c>
      <c r="B262" t="s">
        <v>21</v>
      </c>
      <c r="C262" s="1">
        <v>45427</v>
      </c>
      <c r="D262" s="1" t="str">
        <f t="shared" si="4"/>
        <v>Produce</v>
      </c>
      <c r="E262" t="s">
        <v>4</v>
      </c>
      <c r="F262" s="2">
        <v>3</v>
      </c>
      <c r="G262" s="3">
        <v>8</v>
      </c>
      <c r="H262" s="3">
        <f>grocery_chain_data[[#This Row],[Quantity]]*grocery_chain_data[[#This Row],[Unit Price]]</f>
        <v>24</v>
      </c>
      <c r="I262" s="3">
        <v>3</v>
      </c>
      <c r="J262" s="3">
        <f>grocery_chain_data[[#This Row],[Total Amount]]-grocery_chain_data[[#This Row],[Discount Amount]]</f>
        <v>21</v>
      </c>
      <c r="K262">
        <v>498</v>
      </c>
      <c r="L262" t="str">
        <f>IF(grocery_chain_data[[#This Row],[Final Amount]]&lt;0,"Return","Sale")</f>
        <v>Sale</v>
      </c>
      <c r="M262">
        <f>IF(grocery_chain_data[[#This Row],[Final Amount]]&lt;0,0,grocery_chain_data[[#This Row],[Final Amount]])</f>
        <v>21</v>
      </c>
    </row>
    <row r="263" spans="1:13" x14ac:dyDescent="0.3">
      <c r="A263">
        <v>8066</v>
      </c>
      <c r="B263" t="s">
        <v>21</v>
      </c>
      <c r="C263" s="1">
        <v>45199</v>
      </c>
      <c r="D263" s="1" t="str">
        <f t="shared" si="4"/>
        <v>Pantry</v>
      </c>
      <c r="E263" t="s">
        <v>6</v>
      </c>
      <c r="F263" s="2">
        <v>4</v>
      </c>
      <c r="G263" s="3">
        <v>11</v>
      </c>
      <c r="H263" s="3">
        <f>grocery_chain_data[[#This Row],[Quantity]]*grocery_chain_data[[#This Row],[Unit Price]]</f>
        <v>44</v>
      </c>
      <c r="I263" s="3">
        <v>7</v>
      </c>
      <c r="J263" s="3">
        <f>grocery_chain_data[[#This Row],[Total Amount]]-grocery_chain_data[[#This Row],[Discount Amount]]</f>
        <v>37</v>
      </c>
      <c r="K263">
        <v>478</v>
      </c>
      <c r="L263" t="str">
        <f>IF(grocery_chain_data[[#This Row],[Final Amount]]&lt;0,"Return","Sale")</f>
        <v>Sale</v>
      </c>
      <c r="M263">
        <f>IF(grocery_chain_data[[#This Row],[Final Amount]]&lt;0,0,grocery_chain_data[[#This Row],[Final Amount]])</f>
        <v>37</v>
      </c>
    </row>
    <row r="264" spans="1:13" x14ac:dyDescent="0.3">
      <c r="A264">
        <v>6409</v>
      </c>
      <c r="B264" t="s">
        <v>0</v>
      </c>
      <c r="C264" s="1">
        <v>45629</v>
      </c>
      <c r="D264" s="1" t="str">
        <f t="shared" si="4"/>
        <v>Produce</v>
      </c>
      <c r="E264" t="s">
        <v>4</v>
      </c>
      <c r="F264" s="2">
        <v>4</v>
      </c>
      <c r="G264" s="3">
        <v>27</v>
      </c>
      <c r="H264" s="3">
        <f>grocery_chain_data[[#This Row],[Quantity]]*grocery_chain_data[[#This Row],[Unit Price]]</f>
        <v>108</v>
      </c>
      <c r="I264" s="3">
        <v>22</v>
      </c>
      <c r="J264" s="3">
        <f>grocery_chain_data[[#This Row],[Total Amount]]-grocery_chain_data[[#This Row],[Discount Amount]]</f>
        <v>86</v>
      </c>
      <c r="K264">
        <v>202</v>
      </c>
      <c r="L264" t="str">
        <f>IF(grocery_chain_data[[#This Row],[Final Amount]]&lt;0,"Return","Sale")</f>
        <v>Sale</v>
      </c>
      <c r="M264">
        <f>IF(grocery_chain_data[[#This Row],[Final Amount]]&lt;0,0,grocery_chain_data[[#This Row],[Final Amount]])</f>
        <v>86</v>
      </c>
    </row>
    <row r="265" spans="1:13" x14ac:dyDescent="0.3">
      <c r="A265">
        <v>6143</v>
      </c>
      <c r="B265" t="s">
        <v>12</v>
      </c>
      <c r="C265" s="1">
        <v>45660</v>
      </c>
      <c r="D265" s="1" t="str">
        <f t="shared" si="4"/>
        <v>Produce</v>
      </c>
      <c r="E265" t="s">
        <v>17</v>
      </c>
      <c r="F265" s="2">
        <v>1</v>
      </c>
      <c r="G265" s="3">
        <v>11</v>
      </c>
      <c r="H265" s="3">
        <f>grocery_chain_data[[#This Row],[Quantity]]*grocery_chain_data[[#This Row],[Unit Price]]</f>
        <v>11</v>
      </c>
      <c r="I265" s="3">
        <v>0</v>
      </c>
      <c r="J265" s="3">
        <f>grocery_chain_data[[#This Row],[Total Amount]]-grocery_chain_data[[#This Row],[Discount Amount]]</f>
        <v>11</v>
      </c>
      <c r="K265">
        <v>226</v>
      </c>
      <c r="L265" t="str">
        <f>IF(grocery_chain_data[[#This Row],[Final Amount]]&lt;0,"Return","Sale")</f>
        <v>Sale</v>
      </c>
      <c r="M265">
        <f>IF(grocery_chain_data[[#This Row],[Final Amount]]&lt;0,0,grocery_chain_data[[#This Row],[Final Amount]])</f>
        <v>11</v>
      </c>
    </row>
    <row r="266" spans="1:13" x14ac:dyDescent="0.3">
      <c r="A266">
        <v>3041</v>
      </c>
      <c r="B266" t="s">
        <v>10</v>
      </c>
      <c r="C266" s="1">
        <v>45704</v>
      </c>
      <c r="D266" s="1" t="str">
        <f t="shared" si="4"/>
        <v>Dairy</v>
      </c>
      <c r="E266" t="s">
        <v>23</v>
      </c>
      <c r="F266" s="2">
        <v>5</v>
      </c>
      <c r="G266" s="3">
        <v>9</v>
      </c>
      <c r="H266" s="3">
        <f>grocery_chain_data[[#This Row],[Quantity]]*grocery_chain_data[[#This Row],[Unit Price]]</f>
        <v>45</v>
      </c>
      <c r="I266" s="3">
        <v>9</v>
      </c>
      <c r="J266" s="3">
        <f>grocery_chain_data[[#This Row],[Total Amount]]-grocery_chain_data[[#This Row],[Discount Amount]]</f>
        <v>36</v>
      </c>
      <c r="K266">
        <v>287</v>
      </c>
      <c r="L266" t="str">
        <f>IF(grocery_chain_data[[#This Row],[Final Amount]]&lt;0,"Return","Sale")</f>
        <v>Sale</v>
      </c>
      <c r="M266">
        <f>IF(grocery_chain_data[[#This Row],[Final Amount]]&lt;0,0,grocery_chain_data[[#This Row],[Final Amount]])</f>
        <v>36</v>
      </c>
    </row>
    <row r="267" spans="1:13" x14ac:dyDescent="0.3">
      <c r="A267">
        <v>5920</v>
      </c>
      <c r="B267" t="s">
        <v>0</v>
      </c>
      <c r="C267" s="1">
        <v>45538</v>
      </c>
      <c r="D267" s="1" t="str">
        <f t="shared" si="4"/>
        <v>Meat &amp; Seafood</v>
      </c>
      <c r="E267" t="s">
        <v>9</v>
      </c>
      <c r="F267" s="2">
        <v>2</v>
      </c>
      <c r="G267" s="3">
        <v>2</v>
      </c>
      <c r="H267" s="3">
        <f>grocery_chain_data[[#This Row],[Quantity]]*grocery_chain_data[[#This Row],[Unit Price]]</f>
        <v>4</v>
      </c>
      <c r="I267" s="3">
        <v>0</v>
      </c>
      <c r="J267" s="3">
        <f>grocery_chain_data[[#This Row],[Total Amount]]-grocery_chain_data[[#This Row],[Discount Amount]]</f>
        <v>4</v>
      </c>
      <c r="K267">
        <v>463</v>
      </c>
      <c r="L267" t="str">
        <f>IF(grocery_chain_data[[#This Row],[Final Amount]]&lt;0,"Return","Sale")</f>
        <v>Sale</v>
      </c>
      <c r="M267">
        <f>IF(grocery_chain_data[[#This Row],[Final Amount]]&lt;0,0,grocery_chain_data[[#This Row],[Final Amount]])</f>
        <v>4</v>
      </c>
    </row>
    <row r="268" spans="1:13" x14ac:dyDescent="0.3">
      <c r="A268">
        <v>6067</v>
      </c>
      <c r="B268" t="s">
        <v>21</v>
      </c>
      <c r="C268" s="1">
        <v>45662</v>
      </c>
      <c r="D268" s="1" t="str">
        <f t="shared" si="4"/>
        <v>Meat &amp; Seafood</v>
      </c>
      <c r="E268" t="s">
        <v>26</v>
      </c>
      <c r="F268" s="2">
        <v>4</v>
      </c>
      <c r="G268" s="3">
        <v>11</v>
      </c>
      <c r="H268" s="3">
        <f>grocery_chain_data[[#This Row],[Quantity]]*grocery_chain_data[[#This Row],[Unit Price]]</f>
        <v>44</v>
      </c>
      <c r="I268" s="3">
        <v>0</v>
      </c>
      <c r="J268" s="3">
        <f>grocery_chain_data[[#This Row],[Total Amount]]-grocery_chain_data[[#This Row],[Discount Amount]]</f>
        <v>44</v>
      </c>
      <c r="K268">
        <v>241</v>
      </c>
      <c r="L268" t="str">
        <f>IF(grocery_chain_data[[#This Row],[Final Amount]]&lt;0,"Return","Sale")</f>
        <v>Sale</v>
      </c>
      <c r="M268">
        <f>IF(grocery_chain_data[[#This Row],[Final Amount]]&lt;0,0,grocery_chain_data[[#This Row],[Final Amount]])</f>
        <v>44</v>
      </c>
    </row>
    <row r="269" spans="1:13" x14ac:dyDescent="0.3">
      <c r="A269">
        <v>7691</v>
      </c>
      <c r="B269" t="s">
        <v>5</v>
      </c>
      <c r="C269" s="1">
        <v>45398</v>
      </c>
      <c r="D269" s="1" t="str">
        <f t="shared" si="4"/>
        <v>Produce</v>
      </c>
      <c r="E269" t="s">
        <v>4</v>
      </c>
      <c r="F269" s="2">
        <v>2</v>
      </c>
      <c r="G269" s="3">
        <v>13</v>
      </c>
      <c r="H269" s="3">
        <f>grocery_chain_data[[#This Row],[Quantity]]*grocery_chain_data[[#This Row],[Unit Price]]</f>
        <v>26</v>
      </c>
      <c r="I269" s="3">
        <v>3</v>
      </c>
      <c r="J269" s="3">
        <f>grocery_chain_data[[#This Row],[Total Amount]]-grocery_chain_data[[#This Row],[Discount Amount]]</f>
        <v>23</v>
      </c>
      <c r="K269">
        <v>478</v>
      </c>
      <c r="L269" t="str">
        <f>IF(grocery_chain_data[[#This Row],[Final Amount]]&lt;0,"Return","Sale")</f>
        <v>Sale</v>
      </c>
      <c r="M269">
        <f>IF(grocery_chain_data[[#This Row],[Final Amount]]&lt;0,0,grocery_chain_data[[#This Row],[Final Amount]])</f>
        <v>23</v>
      </c>
    </row>
    <row r="270" spans="1:13" x14ac:dyDescent="0.3">
      <c r="A270">
        <v>7592</v>
      </c>
      <c r="B270" t="s">
        <v>21</v>
      </c>
      <c r="C270" s="1">
        <v>45686</v>
      </c>
      <c r="D270" s="1" t="str">
        <f t="shared" si="4"/>
        <v>Pantry</v>
      </c>
      <c r="E270" t="s">
        <v>6</v>
      </c>
      <c r="F270" s="2">
        <v>3</v>
      </c>
      <c r="G270" s="3">
        <v>20</v>
      </c>
      <c r="H270" s="3">
        <f>grocery_chain_data[[#This Row],[Quantity]]*grocery_chain_data[[#This Row],[Unit Price]]</f>
        <v>60</v>
      </c>
      <c r="I270" s="3">
        <v>0</v>
      </c>
      <c r="J270" s="3">
        <f>grocery_chain_data[[#This Row],[Total Amount]]-grocery_chain_data[[#This Row],[Discount Amount]]</f>
        <v>60</v>
      </c>
      <c r="K270">
        <v>464</v>
      </c>
      <c r="L270" t="str">
        <f>IF(grocery_chain_data[[#This Row],[Final Amount]]&lt;0,"Return","Sale")</f>
        <v>Sale</v>
      </c>
      <c r="M270">
        <f>IF(grocery_chain_data[[#This Row],[Final Amount]]&lt;0,0,grocery_chain_data[[#This Row],[Final Amount]])</f>
        <v>60</v>
      </c>
    </row>
    <row r="271" spans="1:13" x14ac:dyDescent="0.3">
      <c r="A271">
        <v>5844</v>
      </c>
      <c r="B271" t="s">
        <v>21</v>
      </c>
      <c r="C271" s="1">
        <v>45575</v>
      </c>
      <c r="D271" s="1" t="str">
        <f t="shared" si="4"/>
        <v>Dairy</v>
      </c>
      <c r="E271" t="s">
        <v>19</v>
      </c>
      <c r="F271" s="2">
        <v>2</v>
      </c>
      <c r="G271" s="3">
        <v>13</v>
      </c>
      <c r="H271" s="3">
        <f>grocery_chain_data[[#This Row],[Quantity]]*grocery_chain_data[[#This Row],[Unit Price]]</f>
        <v>26</v>
      </c>
      <c r="I271" s="3">
        <v>5</v>
      </c>
      <c r="J271" s="3">
        <f>grocery_chain_data[[#This Row],[Total Amount]]-grocery_chain_data[[#This Row],[Discount Amount]]</f>
        <v>21</v>
      </c>
      <c r="K271">
        <v>428</v>
      </c>
      <c r="L271" t="str">
        <f>IF(grocery_chain_data[[#This Row],[Final Amount]]&lt;0,"Return","Sale")</f>
        <v>Sale</v>
      </c>
      <c r="M271">
        <f>IF(grocery_chain_data[[#This Row],[Final Amount]]&lt;0,0,grocery_chain_data[[#This Row],[Final Amount]])</f>
        <v>21</v>
      </c>
    </row>
    <row r="272" spans="1:13" x14ac:dyDescent="0.3">
      <c r="A272">
        <v>3085</v>
      </c>
      <c r="B272" t="s">
        <v>8</v>
      </c>
      <c r="C272" s="1">
        <v>45294</v>
      </c>
      <c r="D272" s="1" t="str">
        <f t="shared" si="4"/>
        <v>Produce</v>
      </c>
      <c r="E272" t="s">
        <v>11</v>
      </c>
      <c r="F272" s="2">
        <v>3</v>
      </c>
      <c r="G272" s="3">
        <v>26</v>
      </c>
      <c r="H272" s="3">
        <f>grocery_chain_data[[#This Row],[Quantity]]*grocery_chain_data[[#This Row],[Unit Price]]</f>
        <v>78</v>
      </c>
      <c r="I272" s="3">
        <v>3</v>
      </c>
      <c r="J272" s="3">
        <f>grocery_chain_data[[#This Row],[Total Amount]]-grocery_chain_data[[#This Row],[Discount Amount]]</f>
        <v>75</v>
      </c>
      <c r="K272">
        <v>4</v>
      </c>
      <c r="L272" t="str">
        <f>IF(grocery_chain_data[[#This Row],[Final Amount]]&lt;0,"Return","Sale")</f>
        <v>Sale</v>
      </c>
      <c r="M272">
        <f>IF(grocery_chain_data[[#This Row],[Final Amount]]&lt;0,0,grocery_chain_data[[#This Row],[Final Amount]])</f>
        <v>75</v>
      </c>
    </row>
    <row r="273" spans="1:13" x14ac:dyDescent="0.3">
      <c r="A273">
        <v>7888</v>
      </c>
      <c r="B273" t="s">
        <v>16</v>
      </c>
      <c r="C273" s="1">
        <v>45661</v>
      </c>
      <c r="D273" s="1" t="str">
        <f t="shared" si="4"/>
        <v>Meat &amp; Seafood</v>
      </c>
      <c r="E273" t="s">
        <v>15</v>
      </c>
      <c r="F273" s="2">
        <v>5</v>
      </c>
      <c r="G273" s="3">
        <v>16</v>
      </c>
      <c r="H273" s="3">
        <f>grocery_chain_data[[#This Row],[Quantity]]*grocery_chain_data[[#This Row],[Unit Price]]</f>
        <v>80</v>
      </c>
      <c r="I273" s="3">
        <v>3</v>
      </c>
      <c r="J273" s="3">
        <f>grocery_chain_data[[#This Row],[Total Amount]]-grocery_chain_data[[#This Row],[Discount Amount]]</f>
        <v>77</v>
      </c>
      <c r="K273">
        <v>455</v>
      </c>
      <c r="L273" t="str">
        <f>IF(grocery_chain_data[[#This Row],[Final Amount]]&lt;0,"Return","Sale")</f>
        <v>Sale</v>
      </c>
      <c r="M273">
        <f>IF(grocery_chain_data[[#This Row],[Final Amount]]&lt;0,0,grocery_chain_data[[#This Row],[Final Amount]])</f>
        <v>77</v>
      </c>
    </row>
    <row r="274" spans="1:13" x14ac:dyDescent="0.3">
      <c r="A274">
        <v>7211</v>
      </c>
      <c r="B274" t="s">
        <v>21</v>
      </c>
      <c r="C274" s="1">
        <v>45671</v>
      </c>
      <c r="D274" s="1" t="str">
        <f t="shared" si="4"/>
        <v>Pantry</v>
      </c>
      <c r="E274" t="s">
        <v>6</v>
      </c>
      <c r="F274" s="2">
        <v>2</v>
      </c>
      <c r="G274" s="3">
        <v>22</v>
      </c>
      <c r="H274" s="3">
        <f>grocery_chain_data[[#This Row],[Quantity]]*grocery_chain_data[[#This Row],[Unit Price]]</f>
        <v>44</v>
      </c>
      <c r="I274" s="3">
        <v>0</v>
      </c>
      <c r="J274" s="3">
        <f>grocery_chain_data[[#This Row],[Total Amount]]-grocery_chain_data[[#This Row],[Discount Amount]]</f>
        <v>44</v>
      </c>
      <c r="K274">
        <v>331</v>
      </c>
      <c r="L274" t="str">
        <f>IF(grocery_chain_data[[#This Row],[Final Amount]]&lt;0,"Return","Sale")</f>
        <v>Sale</v>
      </c>
      <c r="M274">
        <f>IF(grocery_chain_data[[#This Row],[Final Amount]]&lt;0,0,grocery_chain_data[[#This Row],[Final Amount]])</f>
        <v>44</v>
      </c>
    </row>
    <row r="275" spans="1:13" x14ac:dyDescent="0.3">
      <c r="A275">
        <v>3851</v>
      </c>
      <c r="B275" t="s">
        <v>5</v>
      </c>
      <c r="C275" s="1">
        <v>45623</v>
      </c>
      <c r="D275" s="1" t="str">
        <f t="shared" si="4"/>
        <v>Pantry</v>
      </c>
      <c r="E275" t="s">
        <v>6</v>
      </c>
      <c r="F275" s="2">
        <v>3</v>
      </c>
      <c r="G275" s="3">
        <v>17</v>
      </c>
      <c r="H275" s="3">
        <f>grocery_chain_data[[#This Row],[Quantity]]*grocery_chain_data[[#This Row],[Unit Price]]</f>
        <v>51</v>
      </c>
      <c r="I275" s="3">
        <v>10</v>
      </c>
      <c r="J275" s="3">
        <f>grocery_chain_data[[#This Row],[Total Amount]]-grocery_chain_data[[#This Row],[Discount Amount]]</f>
        <v>41</v>
      </c>
      <c r="K275">
        <v>387</v>
      </c>
      <c r="L275" t="str">
        <f>IF(grocery_chain_data[[#This Row],[Final Amount]]&lt;0,"Return","Sale")</f>
        <v>Sale</v>
      </c>
      <c r="M275">
        <f>IF(grocery_chain_data[[#This Row],[Final Amount]]&lt;0,0,grocery_chain_data[[#This Row],[Final Amount]])</f>
        <v>41</v>
      </c>
    </row>
    <row r="276" spans="1:13" x14ac:dyDescent="0.3">
      <c r="A276">
        <v>5930</v>
      </c>
      <c r="B276" t="s">
        <v>8</v>
      </c>
      <c r="C276" s="1">
        <v>45460</v>
      </c>
      <c r="D276" s="1" t="str">
        <f t="shared" si="4"/>
        <v>Produce</v>
      </c>
      <c r="E276" t="s">
        <v>24</v>
      </c>
      <c r="F276" s="2">
        <v>3</v>
      </c>
      <c r="G276" s="3">
        <v>4</v>
      </c>
      <c r="H276" s="3">
        <f>grocery_chain_data[[#This Row],[Quantity]]*grocery_chain_data[[#This Row],[Unit Price]]</f>
        <v>12</v>
      </c>
      <c r="I276" s="3">
        <v>2</v>
      </c>
      <c r="J276" s="3">
        <f>grocery_chain_data[[#This Row],[Total Amount]]-grocery_chain_data[[#This Row],[Discount Amount]]</f>
        <v>10</v>
      </c>
      <c r="K276">
        <v>342</v>
      </c>
      <c r="L276" t="str">
        <f>IF(grocery_chain_data[[#This Row],[Final Amount]]&lt;0,"Return","Sale")</f>
        <v>Sale</v>
      </c>
      <c r="M276">
        <f>IF(grocery_chain_data[[#This Row],[Final Amount]]&lt;0,0,grocery_chain_data[[#This Row],[Final Amount]])</f>
        <v>10</v>
      </c>
    </row>
    <row r="277" spans="1:13" x14ac:dyDescent="0.3">
      <c r="A277">
        <v>9977</v>
      </c>
      <c r="B277" t="s">
        <v>5</v>
      </c>
      <c r="C277" s="1">
        <v>45792</v>
      </c>
      <c r="D277" s="1" t="str">
        <f t="shared" si="4"/>
        <v>Pantry</v>
      </c>
      <c r="E277" t="s">
        <v>6</v>
      </c>
      <c r="F277" s="2">
        <v>2</v>
      </c>
      <c r="G277" s="3">
        <v>1</v>
      </c>
      <c r="H277" s="3">
        <f>grocery_chain_data[[#This Row],[Quantity]]*grocery_chain_data[[#This Row],[Unit Price]]</f>
        <v>2</v>
      </c>
      <c r="I277" s="3">
        <v>0</v>
      </c>
      <c r="J277" s="3">
        <f>grocery_chain_data[[#This Row],[Total Amount]]-grocery_chain_data[[#This Row],[Discount Amount]]</f>
        <v>2</v>
      </c>
      <c r="K277">
        <v>196</v>
      </c>
      <c r="L277" t="str">
        <f>IF(grocery_chain_data[[#This Row],[Final Amount]]&lt;0,"Return","Sale")</f>
        <v>Sale</v>
      </c>
      <c r="M277">
        <f>IF(grocery_chain_data[[#This Row],[Final Amount]]&lt;0,0,grocery_chain_data[[#This Row],[Final Amount]])</f>
        <v>2</v>
      </c>
    </row>
    <row r="278" spans="1:13" x14ac:dyDescent="0.3">
      <c r="A278">
        <v>1006</v>
      </c>
      <c r="B278" t="s">
        <v>12</v>
      </c>
      <c r="C278" s="1">
        <v>45381</v>
      </c>
      <c r="D278" s="1" t="str">
        <f t="shared" si="4"/>
        <v>Produce</v>
      </c>
      <c r="E278" t="s">
        <v>17</v>
      </c>
      <c r="F278" s="2">
        <v>5</v>
      </c>
      <c r="G278" s="3">
        <v>22</v>
      </c>
      <c r="H278" s="3">
        <f>grocery_chain_data[[#This Row],[Quantity]]*grocery_chain_data[[#This Row],[Unit Price]]</f>
        <v>110</v>
      </c>
      <c r="I278" s="3">
        <v>0</v>
      </c>
      <c r="J278" s="3">
        <f>grocery_chain_data[[#This Row],[Total Amount]]-grocery_chain_data[[#This Row],[Discount Amount]]</f>
        <v>110</v>
      </c>
      <c r="K278">
        <v>5</v>
      </c>
      <c r="L278" t="str">
        <f>IF(grocery_chain_data[[#This Row],[Final Amount]]&lt;0,"Return","Sale")</f>
        <v>Sale</v>
      </c>
      <c r="M278">
        <f>IF(grocery_chain_data[[#This Row],[Final Amount]]&lt;0,0,grocery_chain_data[[#This Row],[Final Amount]])</f>
        <v>110</v>
      </c>
    </row>
    <row r="279" spans="1:13" x14ac:dyDescent="0.3">
      <c r="A279">
        <v>5700</v>
      </c>
      <c r="B279" t="s">
        <v>16</v>
      </c>
      <c r="C279" s="1">
        <v>45308</v>
      </c>
      <c r="D279" s="1" t="str">
        <f t="shared" si="4"/>
        <v>Dairy</v>
      </c>
      <c r="E279" t="s">
        <v>19</v>
      </c>
      <c r="F279" s="2">
        <v>1</v>
      </c>
      <c r="G279" s="3">
        <v>14</v>
      </c>
      <c r="H279" s="3">
        <f>grocery_chain_data[[#This Row],[Quantity]]*grocery_chain_data[[#This Row],[Unit Price]]</f>
        <v>14</v>
      </c>
      <c r="I279" s="3">
        <v>0</v>
      </c>
      <c r="J279" s="3">
        <f>grocery_chain_data[[#This Row],[Total Amount]]-grocery_chain_data[[#This Row],[Discount Amount]]</f>
        <v>14</v>
      </c>
      <c r="K279">
        <v>81</v>
      </c>
      <c r="L279" t="str">
        <f>IF(grocery_chain_data[[#This Row],[Final Amount]]&lt;0,"Return","Sale")</f>
        <v>Sale</v>
      </c>
      <c r="M279">
        <f>IF(grocery_chain_data[[#This Row],[Final Amount]]&lt;0,0,grocery_chain_data[[#This Row],[Final Amount]])</f>
        <v>14</v>
      </c>
    </row>
    <row r="280" spans="1:13" x14ac:dyDescent="0.3">
      <c r="A280">
        <v>8043</v>
      </c>
      <c r="B280" t="s">
        <v>2</v>
      </c>
      <c r="C280" s="1">
        <v>45755</v>
      </c>
      <c r="D280" s="1" t="str">
        <f t="shared" si="4"/>
        <v>Meat &amp; Seafood</v>
      </c>
      <c r="E280" t="s">
        <v>26</v>
      </c>
      <c r="F280" s="2">
        <v>3</v>
      </c>
      <c r="G280" s="3">
        <v>12</v>
      </c>
      <c r="H280" s="3">
        <f>grocery_chain_data[[#This Row],[Quantity]]*grocery_chain_data[[#This Row],[Unit Price]]</f>
        <v>36</v>
      </c>
      <c r="I280" s="3">
        <v>7</v>
      </c>
      <c r="J280" s="3">
        <f>grocery_chain_data[[#This Row],[Total Amount]]-grocery_chain_data[[#This Row],[Discount Amount]]</f>
        <v>29</v>
      </c>
      <c r="K280">
        <v>113</v>
      </c>
      <c r="L280" t="str">
        <f>IF(grocery_chain_data[[#This Row],[Final Amount]]&lt;0,"Return","Sale")</f>
        <v>Sale</v>
      </c>
      <c r="M280">
        <f>IF(grocery_chain_data[[#This Row],[Final Amount]]&lt;0,0,grocery_chain_data[[#This Row],[Final Amount]])</f>
        <v>29</v>
      </c>
    </row>
    <row r="281" spans="1:13" x14ac:dyDescent="0.3">
      <c r="A281">
        <v>6279</v>
      </c>
      <c r="B281" t="s">
        <v>10</v>
      </c>
      <c r="C281" s="1">
        <v>45506</v>
      </c>
      <c r="D281" s="1" t="str">
        <f t="shared" si="4"/>
        <v>Meat &amp; Seafood</v>
      </c>
      <c r="E281" t="s">
        <v>15</v>
      </c>
      <c r="F281" s="2">
        <v>5</v>
      </c>
      <c r="G281" s="3">
        <v>12</v>
      </c>
      <c r="H281" s="3">
        <f>grocery_chain_data[[#This Row],[Quantity]]*grocery_chain_data[[#This Row],[Unit Price]]</f>
        <v>60</v>
      </c>
      <c r="I281" s="3">
        <v>4</v>
      </c>
      <c r="J281" s="3">
        <f>grocery_chain_data[[#This Row],[Total Amount]]-grocery_chain_data[[#This Row],[Discount Amount]]</f>
        <v>56</v>
      </c>
      <c r="K281">
        <v>359</v>
      </c>
      <c r="L281" t="str">
        <f>IF(grocery_chain_data[[#This Row],[Final Amount]]&lt;0,"Return","Sale")</f>
        <v>Sale</v>
      </c>
      <c r="M281">
        <f>IF(grocery_chain_data[[#This Row],[Final Amount]]&lt;0,0,grocery_chain_data[[#This Row],[Final Amount]])</f>
        <v>56</v>
      </c>
    </row>
    <row r="282" spans="1:13" x14ac:dyDescent="0.3">
      <c r="A282">
        <v>8238</v>
      </c>
      <c r="B282" t="s">
        <v>21</v>
      </c>
      <c r="C282" s="1">
        <v>45488</v>
      </c>
      <c r="D282" s="1" t="str">
        <f t="shared" si="4"/>
        <v>Bakery</v>
      </c>
      <c r="E282" t="s">
        <v>22</v>
      </c>
      <c r="F282" s="2">
        <v>5</v>
      </c>
      <c r="G282" s="3">
        <v>14</v>
      </c>
      <c r="H282" s="3">
        <f>grocery_chain_data[[#This Row],[Quantity]]*grocery_chain_data[[#This Row],[Unit Price]]</f>
        <v>70</v>
      </c>
      <c r="I282" s="3">
        <v>5</v>
      </c>
      <c r="J282" s="3">
        <f>grocery_chain_data[[#This Row],[Total Amount]]-grocery_chain_data[[#This Row],[Discount Amount]]</f>
        <v>65</v>
      </c>
      <c r="K282">
        <v>360</v>
      </c>
      <c r="L282" t="str">
        <f>IF(grocery_chain_data[[#This Row],[Final Amount]]&lt;0,"Return","Sale")</f>
        <v>Sale</v>
      </c>
      <c r="M282">
        <f>IF(grocery_chain_data[[#This Row],[Final Amount]]&lt;0,0,grocery_chain_data[[#This Row],[Final Amount]])</f>
        <v>65</v>
      </c>
    </row>
    <row r="283" spans="1:13" x14ac:dyDescent="0.3">
      <c r="A283">
        <v>4501</v>
      </c>
      <c r="B283" t="s">
        <v>0</v>
      </c>
      <c r="C283" s="1">
        <v>45542</v>
      </c>
      <c r="D283" s="1" t="str">
        <f t="shared" si="4"/>
        <v>Produce</v>
      </c>
      <c r="E283" t="s">
        <v>4</v>
      </c>
      <c r="F283" s="2">
        <v>5</v>
      </c>
      <c r="G283" s="3">
        <v>7</v>
      </c>
      <c r="H283" s="3">
        <f>grocery_chain_data[[#This Row],[Quantity]]*grocery_chain_data[[#This Row],[Unit Price]]</f>
        <v>35</v>
      </c>
      <c r="I283" s="3">
        <v>7</v>
      </c>
      <c r="J283" s="3">
        <f>grocery_chain_data[[#This Row],[Total Amount]]-grocery_chain_data[[#This Row],[Discount Amount]]</f>
        <v>28</v>
      </c>
      <c r="K283">
        <v>274</v>
      </c>
      <c r="L283" t="str">
        <f>IF(grocery_chain_data[[#This Row],[Final Amount]]&lt;0,"Return","Sale")</f>
        <v>Sale</v>
      </c>
      <c r="M283">
        <f>IF(grocery_chain_data[[#This Row],[Final Amount]]&lt;0,0,grocery_chain_data[[#This Row],[Final Amount]])</f>
        <v>28</v>
      </c>
    </row>
    <row r="284" spans="1:13" x14ac:dyDescent="0.3">
      <c r="A284">
        <v>8752</v>
      </c>
      <c r="B284" t="s">
        <v>16</v>
      </c>
      <c r="C284" s="1">
        <v>45761</v>
      </c>
      <c r="D284" s="1" t="str">
        <f t="shared" si="4"/>
        <v>Meat &amp; Seafood</v>
      </c>
      <c r="E284" t="s">
        <v>15</v>
      </c>
      <c r="F284" s="2">
        <v>1</v>
      </c>
      <c r="G284" s="3">
        <v>21</v>
      </c>
      <c r="H284" s="3">
        <f>grocery_chain_data[[#This Row],[Quantity]]*grocery_chain_data[[#This Row],[Unit Price]]</f>
        <v>21</v>
      </c>
      <c r="I284" s="3">
        <v>5</v>
      </c>
      <c r="J284" s="3">
        <f>grocery_chain_data[[#This Row],[Total Amount]]-grocery_chain_data[[#This Row],[Discount Amount]]</f>
        <v>16</v>
      </c>
      <c r="K284">
        <v>367</v>
      </c>
      <c r="L284" t="str">
        <f>IF(grocery_chain_data[[#This Row],[Final Amount]]&lt;0,"Return","Sale")</f>
        <v>Sale</v>
      </c>
      <c r="M284">
        <f>IF(grocery_chain_data[[#This Row],[Final Amount]]&lt;0,0,grocery_chain_data[[#This Row],[Final Amount]])</f>
        <v>16</v>
      </c>
    </row>
    <row r="285" spans="1:13" x14ac:dyDescent="0.3">
      <c r="A285">
        <v>3780</v>
      </c>
      <c r="B285" t="s">
        <v>10</v>
      </c>
      <c r="C285" s="1">
        <v>45656</v>
      </c>
      <c r="D285" s="1" t="str">
        <f t="shared" si="4"/>
        <v>Meat &amp; Seafood</v>
      </c>
      <c r="E285" t="s">
        <v>15</v>
      </c>
      <c r="F285" s="2">
        <v>2</v>
      </c>
      <c r="G285" s="3">
        <v>16</v>
      </c>
      <c r="H285" s="3">
        <f>grocery_chain_data[[#This Row],[Quantity]]*grocery_chain_data[[#This Row],[Unit Price]]</f>
        <v>32</v>
      </c>
      <c r="I285" s="3">
        <v>3</v>
      </c>
      <c r="J285" s="3">
        <f>grocery_chain_data[[#This Row],[Total Amount]]-grocery_chain_data[[#This Row],[Discount Amount]]</f>
        <v>29</v>
      </c>
      <c r="K285">
        <v>233</v>
      </c>
      <c r="L285" t="str">
        <f>IF(grocery_chain_data[[#This Row],[Final Amount]]&lt;0,"Return","Sale")</f>
        <v>Sale</v>
      </c>
      <c r="M285">
        <f>IF(grocery_chain_data[[#This Row],[Final Amount]]&lt;0,0,grocery_chain_data[[#This Row],[Final Amount]])</f>
        <v>29</v>
      </c>
    </row>
    <row r="286" spans="1:13" x14ac:dyDescent="0.3">
      <c r="A286">
        <v>2389</v>
      </c>
      <c r="B286" t="s">
        <v>12</v>
      </c>
      <c r="C286" s="1">
        <v>45365</v>
      </c>
      <c r="D286" s="1" t="str">
        <f t="shared" si="4"/>
        <v>Produce</v>
      </c>
      <c r="E286" t="s">
        <v>14</v>
      </c>
      <c r="F286" s="2">
        <v>3</v>
      </c>
      <c r="G286" s="3">
        <v>25</v>
      </c>
      <c r="H286" s="3">
        <f>grocery_chain_data[[#This Row],[Quantity]]*grocery_chain_data[[#This Row],[Unit Price]]</f>
        <v>75</v>
      </c>
      <c r="I286" s="3">
        <v>1</v>
      </c>
      <c r="J286" s="3">
        <f>grocery_chain_data[[#This Row],[Total Amount]]-grocery_chain_data[[#This Row],[Discount Amount]]</f>
        <v>74</v>
      </c>
      <c r="K286">
        <v>381</v>
      </c>
      <c r="L286" t="str">
        <f>IF(grocery_chain_data[[#This Row],[Final Amount]]&lt;0,"Return","Sale")</f>
        <v>Sale</v>
      </c>
      <c r="M286">
        <f>IF(grocery_chain_data[[#This Row],[Final Amount]]&lt;0,0,grocery_chain_data[[#This Row],[Final Amount]])</f>
        <v>74</v>
      </c>
    </row>
    <row r="287" spans="1:13" x14ac:dyDescent="0.3">
      <c r="A287">
        <v>9445</v>
      </c>
      <c r="B287" t="s">
        <v>27</v>
      </c>
      <c r="C287" s="1">
        <v>45660</v>
      </c>
      <c r="D287" s="1" t="str">
        <f t="shared" si="4"/>
        <v>Bakery</v>
      </c>
      <c r="E287" t="s">
        <v>22</v>
      </c>
      <c r="F287" s="2">
        <v>5</v>
      </c>
      <c r="G287" s="3">
        <v>30</v>
      </c>
      <c r="H287" s="3">
        <f>grocery_chain_data[[#This Row],[Quantity]]*grocery_chain_data[[#This Row],[Unit Price]]</f>
        <v>150</v>
      </c>
      <c r="I287" s="3">
        <v>15</v>
      </c>
      <c r="J287" s="3">
        <f>grocery_chain_data[[#This Row],[Total Amount]]-grocery_chain_data[[#This Row],[Discount Amount]]</f>
        <v>135</v>
      </c>
      <c r="K287">
        <v>478</v>
      </c>
      <c r="L287" t="str">
        <f>IF(grocery_chain_data[[#This Row],[Final Amount]]&lt;0,"Return","Sale")</f>
        <v>Sale</v>
      </c>
      <c r="M287">
        <f>IF(grocery_chain_data[[#This Row],[Final Amount]]&lt;0,0,grocery_chain_data[[#This Row],[Final Amount]])</f>
        <v>135</v>
      </c>
    </row>
    <row r="288" spans="1:13" x14ac:dyDescent="0.3">
      <c r="A288">
        <v>6491</v>
      </c>
      <c r="B288" t="s">
        <v>13</v>
      </c>
      <c r="C288" s="1">
        <v>45217</v>
      </c>
      <c r="D288" s="1" t="str">
        <f t="shared" si="4"/>
        <v>Dairy</v>
      </c>
      <c r="E288" t="s">
        <v>3</v>
      </c>
      <c r="F288" s="2">
        <v>2</v>
      </c>
      <c r="G288" s="3">
        <v>23</v>
      </c>
      <c r="H288" s="3">
        <f>grocery_chain_data[[#This Row],[Quantity]]*grocery_chain_data[[#This Row],[Unit Price]]</f>
        <v>46</v>
      </c>
      <c r="I288" s="3">
        <v>7</v>
      </c>
      <c r="J288" s="3">
        <f>grocery_chain_data[[#This Row],[Total Amount]]-grocery_chain_data[[#This Row],[Discount Amount]]</f>
        <v>39</v>
      </c>
      <c r="K288">
        <v>392</v>
      </c>
      <c r="L288" t="str">
        <f>IF(grocery_chain_data[[#This Row],[Final Amount]]&lt;0,"Return","Sale")</f>
        <v>Sale</v>
      </c>
      <c r="M288">
        <f>IF(grocery_chain_data[[#This Row],[Final Amount]]&lt;0,0,grocery_chain_data[[#This Row],[Final Amount]])</f>
        <v>39</v>
      </c>
    </row>
    <row r="289" spans="1:13" x14ac:dyDescent="0.3">
      <c r="A289">
        <v>4848</v>
      </c>
      <c r="B289" t="s">
        <v>8</v>
      </c>
      <c r="C289" s="1">
        <v>45667</v>
      </c>
      <c r="D289" s="1" t="str">
        <f t="shared" si="4"/>
        <v>Produce</v>
      </c>
      <c r="E289" t="s">
        <v>14</v>
      </c>
      <c r="F289" s="2">
        <v>4</v>
      </c>
      <c r="G289" s="3">
        <v>3</v>
      </c>
      <c r="H289" s="3">
        <f>grocery_chain_data[[#This Row],[Quantity]]*grocery_chain_data[[#This Row],[Unit Price]]</f>
        <v>12</v>
      </c>
      <c r="I289" s="3">
        <v>0</v>
      </c>
      <c r="J289" s="3">
        <f>grocery_chain_data[[#This Row],[Total Amount]]-grocery_chain_data[[#This Row],[Discount Amount]]</f>
        <v>12</v>
      </c>
      <c r="K289">
        <v>493</v>
      </c>
      <c r="L289" t="str">
        <f>IF(grocery_chain_data[[#This Row],[Final Amount]]&lt;0,"Return","Sale")</f>
        <v>Sale</v>
      </c>
      <c r="M289">
        <f>IF(grocery_chain_data[[#This Row],[Final Amount]]&lt;0,0,grocery_chain_data[[#This Row],[Final Amount]])</f>
        <v>12</v>
      </c>
    </row>
    <row r="290" spans="1:13" x14ac:dyDescent="0.3">
      <c r="A290">
        <v>6085</v>
      </c>
      <c r="B290" t="s">
        <v>16</v>
      </c>
      <c r="C290" s="1">
        <v>45319</v>
      </c>
      <c r="D290" s="1" t="str">
        <f t="shared" si="4"/>
        <v>Produce</v>
      </c>
      <c r="E290" t="s">
        <v>11</v>
      </c>
      <c r="F290" s="2">
        <v>5</v>
      </c>
      <c r="G290" s="3">
        <v>12</v>
      </c>
      <c r="H290" s="3">
        <f>grocery_chain_data[[#This Row],[Quantity]]*grocery_chain_data[[#This Row],[Unit Price]]</f>
        <v>60</v>
      </c>
      <c r="I290" s="3">
        <v>4</v>
      </c>
      <c r="J290" s="3">
        <f>grocery_chain_data[[#This Row],[Total Amount]]-grocery_chain_data[[#This Row],[Discount Amount]]</f>
        <v>56</v>
      </c>
      <c r="K290">
        <v>65</v>
      </c>
      <c r="L290" t="str">
        <f>IF(grocery_chain_data[[#This Row],[Final Amount]]&lt;0,"Return","Sale")</f>
        <v>Sale</v>
      </c>
      <c r="M290">
        <f>IF(grocery_chain_data[[#This Row],[Final Amount]]&lt;0,0,grocery_chain_data[[#This Row],[Final Amount]])</f>
        <v>56</v>
      </c>
    </row>
    <row r="291" spans="1:13" x14ac:dyDescent="0.3">
      <c r="A291">
        <v>4262</v>
      </c>
      <c r="B291" t="s">
        <v>12</v>
      </c>
      <c r="C291" s="1">
        <v>45259</v>
      </c>
      <c r="D291" s="1" t="str">
        <f t="shared" si="4"/>
        <v>Produce</v>
      </c>
      <c r="E291" t="s">
        <v>4</v>
      </c>
      <c r="F291" s="2">
        <v>4</v>
      </c>
      <c r="G291" s="3">
        <v>16</v>
      </c>
      <c r="H291" s="3">
        <f>grocery_chain_data[[#This Row],[Quantity]]*grocery_chain_data[[#This Row],[Unit Price]]</f>
        <v>64</v>
      </c>
      <c r="I291" s="3">
        <v>13</v>
      </c>
      <c r="J291" s="3">
        <f>grocery_chain_data[[#This Row],[Total Amount]]-grocery_chain_data[[#This Row],[Discount Amount]]</f>
        <v>51</v>
      </c>
      <c r="K291">
        <v>421</v>
      </c>
      <c r="L291" t="str">
        <f>IF(grocery_chain_data[[#This Row],[Final Amount]]&lt;0,"Return","Sale")</f>
        <v>Sale</v>
      </c>
      <c r="M291">
        <f>IF(grocery_chain_data[[#This Row],[Final Amount]]&lt;0,0,grocery_chain_data[[#This Row],[Final Amount]])</f>
        <v>51</v>
      </c>
    </row>
    <row r="292" spans="1:13" x14ac:dyDescent="0.3">
      <c r="A292">
        <v>1400</v>
      </c>
      <c r="B292" t="s">
        <v>10</v>
      </c>
      <c r="C292" s="1">
        <v>45180</v>
      </c>
      <c r="D292" s="1" t="str">
        <f t="shared" si="4"/>
        <v>Dairy</v>
      </c>
      <c r="E292" t="s">
        <v>20</v>
      </c>
      <c r="F292" s="2">
        <v>3</v>
      </c>
      <c r="G292" s="3">
        <v>6</v>
      </c>
      <c r="H292" s="3">
        <f>grocery_chain_data[[#This Row],[Quantity]]*grocery_chain_data[[#This Row],[Unit Price]]</f>
        <v>18</v>
      </c>
      <c r="I292" s="3">
        <v>4</v>
      </c>
      <c r="J292" s="3">
        <f>grocery_chain_data[[#This Row],[Total Amount]]-grocery_chain_data[[#This Row],[Discount Amount]]</f>
        <v>14</v>
      </c>
      <c r="K292">
        <v>448</v>
      </c>
      <c r="L292" t="str">
        <f>IF(grocery_chain_data[[#This Row],[Final Amount]]&lt;0,"Return","Sale")</f>
        <v>Sale</v>
      </c>
      <c r="M292">
        <f>IF(grocery_chain_data[[#This Row],[Final Amount]]&lt;0,0,grocery_chain_data[[#This Row],[Final Amount]])</f>
        <v>14</v>
      </c>
    </row>
    <row r="293" spans="1:13" x14ac:dyDescent="0.3">
      <c r="A293">
        <v>5011</v>
      </c>
      <c r="B293" t="s">
        <v>8</v>
      </c>
      <c r="C293" s="1">
        <v>45514</v>
      </c>
      <c r="D293" s="1" t="str">
        <f t="shared" si="4"/>
        <v>Produce</v>
      </c>
      <c r="E293" t="s">
        <v>18</v>
      </c>
      <c r="F293" s="2">
        <v>2</v>
      </c>
      <c r="G293" s="3">
        <v>7</v>
      </c>
      <c r="H293" s="3">
        <f>grocery_chain_data[[#This Row],[Quantity]]*grocery_chain_data[[#This Row],[Unit Price]]</f>
        <v>14</v>
      </c>
      <c r="I293" s="3">
        <v>1</v>
      </c>
      <c r="J293" s="3">
        <f>grocery_chain_data[[#This Row],[Total Amount]]-grocery_chain_data[[#This Row],[Discount Amount]]</f>
        <v>13</v>
      </c>
      <c r="K293">
        <v>51</v>
      </c>
      <c r="L293" t="str">
        <f>IF(grocery_chain_data[[#This Row],[Final Amount]]&lt;0,"Return","Sale")</f>
        <v>Sale</v>
      </c>
      <c r="M293">
        <f>IF(grocery_chain_data[[#This Row],[Final Amount]]&lt;0,0,grocery_chain_data[[#This Row],[Final Amount]])</f>
        <v>13</v>
      </c>
    </row>
    <row r="294" spans="1:13" x14ac:dyDescent="0.3">
      <c r="A294">
        <v>2193</v>
      </c>
      <c r="B294" t="s">
        <v>13</v>
      </c>
      <c r="C294" s="1">
        <v>45498</v>
      </c>
      <c r="D294" s="1" t="str">
        <f t="shared" si="4"/>
        <v>Dairy</v>
      </c>
      <c r="E294" t="s">
        <v>19</v>
      </c>
      <c r="F294" s="2">
        <v>4</v>
      </c>
      <c r="G294" s="3">
        <v>14</v>
      </c>
      <c r="H294" s="3">
        <f>grocery_chain_data[[#This Row],[Quantity]]*grocery_chain_data[[#This Row],[Unit Price]]</f>
        <v>56</v>
      </c>
      <c r="I294" s="3">
        <v>2</v>
      </c>
      <c r="J294" s="3">
        <f>grocery_chain_data[[#This Row],[Total Amount]]-grocery_chain_data[[#This Row],[Discount Amount]]</f>
        <v>54</v>
      </c>
      <c r="K294">
        <v>276</v>
      </c>
      <c r="L294" t="str">
        <f>IF(grocery_chain_data[[#This Row],[Final Amount]]&lt;0,"Return","Sale")</f>
        <v>Sale</v>
      </c>
      <c r="M294">
        <f>IF(grocery_chain_data[[#This Row],[Final Amount]]&lt;0,0,grocery_chain_data[[#This Row],[Final Amount]])</f>
        <v>54</v>
      </c>
    </row>
    <row r="295" spans="1:13" x14ac:dyDescent="0.3">
      <c r="A295">
        <v>7790</v>
      </c>
      <c r="B295" t="s">
        <v>12</v>
      </c>
      <c r="C295" s="1">
        <v>45833</v>
      </c>
      <c r="D295" s="1" t="str">
        <f t="shared" si="4"/>
        <v>Pantry</v>
      </c>
      <c r="E295" t="s">
        <v>6</v>
      </c>
      <c r="F295" s="2">
        <v>5</v>
      </c>
      <c r="G295" s="3">
        <v>18</v>
      </c>
      <c r="H295" s="3">
        <f>grocery_chain_data[[#This Row],[Quantity]]*grocery_chain_data[[#This Row],[Unit Price]]</f>
        <v>90</v>
      </c>
      <c r="I295" s="3">
        <v>18</v>
      </c>
      <c r="J295" s="3">
        <f>grocery_chain_data[[#This Row],[Total Amount]]-grocery_chain_data[[#This Row],[Discount Amount]]</f>
        <v>72</v>
      </c>
      <c r="K295">
        <v>344</v>
      </c>
      <c r="L295" t="str">
        <f>IF(grocery_chain_data[[#This Row],[Final Amount]]&lt;0,"Return","Sale")</f>
        <v>Sale</v>
      </c>
      <c r="M295">
        <f>IF(grocery_chain_data[[#This Row],[Final Amount]]&lt;0,0,grocery_chain_data[[#This Row],[Final Amount]])</f>
        <v>72</v>
      </c>
    </row>
    <row r="296" spans="1:13" x14ac:dyDescent="0.3">
      <c r="A296">
        <v>4185</v>
      </c>
      <c r="B296" t="s">
        <v>12</v>
      </c>
      <c r="C296" s="1">
        <v>45702</v>
      </c>
      <c r="D296" s="1" t="str">
        <f t="shared" si="4"/>
        <v>Produce</v>
      </c>
      <c r="E296" t="s">
        <v>24</v>
      </c>
      <c r="F296" s="2">
        <v>2</v>
      </c>
      <c r="G296" s="3">
        <v>13</v>
      </c>
      <c r="H296" s="3">
        <f>grocery_chain_data[[#This Row],[Quantity]]*grocery_chain_data[[#This Row],[Unit Price]]</f>
        <v>26</v>
      </c>
      <c r="I296" s="3">
        <v>5</v>
      </c>
      <c r="J296" s="3">
        <f>grocery_chain_data[[#This Row],[Total Amount]]-grocery_chain_data[[#This Row],[Discount Amount]]</f>
        <v>21</v>
      </c>
      <c r="K296">
        <v>140</v>
      </c>
      <c r="L296" t="str">
        <f>IF(grocery_chain_data[[#This Row],[Final Amount]]&lt;0,"Return","Sale")</f>
        <v>Sale</v>
      </c>
      <c r="M296">
        <f>IF(grocery_chain_data[[#This Row],[Final Amount]]&lt;0,0,grocery_chain_data[[#This Row],[Final Amount]])</f>
        <v>21</v>
      </c>
    </row>
    <row r="297" spans="1:13" x14ac:dyDescent="0.3">
      <c r="A297">
        <v>7291</v>
      </c>
      <c r="B297" t="s">
        <v>5</v>
      </c>
      <c r="C297" s="1">
        <v>45528</v>
      </c>
      <c r="D297" s="1" t="str">
        <f t="shared" si="4"/>
        <v>Dairy</v>
      </c>
      <c r="E297" t="s">
        <v>3</v>
      </c>
      <c r="F297" s="2">
        <v>5</v>
      </c>
      <c r="G297" s="3">
        <v>15</v>
      </c>
      <c r="H297" s="3">
        <f>grocery_chain_data[[#This Row],[Quantity]]*grocery_chain_data[[#This Row],[Unit Price]]</f>
        <v>75</v>
      </c>
      <c r="I297" s="3">
        <v>0</v>
      </c>
      <c r="J297" s="3">
        <f>grocery_chain_data[[#This Row],[Total Amount]]-grocery_chain_data[[#This Row],[Discount Amount]]</f>
        <v>75</v>
      </c>
      <c r="K297">
        <v>497</v>
      </c>
      <c r="L297" t="str">
        <f>IF(grocery_chain_data[[#This Row],[Final Amount]]&lt;0,"Return","Sale")</f>
        <v>Sale</v>
      </c>
      <c r="M297">
        <f>IF(grocery_chain_data[[#This Row],[Final Amount]]&lt;0,0,grocery_chain_data[[#This Row],[Final Amount]])</f>
        <v>75</v>
      </c>
    </row>
    <row r="298" spans="1:13" x14ac:dyDescent="0.3">
      <c r="A298">
        <v>7547</v>
      </c>
      <c r="B298" t="s">
        <v>8</v>
      </c>
      <c r="C298" s="1">
        <v>45334</v>
      </c>
      <c r="D298" s="1" t="str">
        <f t="shared" si="4"/>
        <v>Pantry</v>
      </c>
      <c r="E298" t="s">
        <v>6</v>
      </c>
      <c r="F298" s="2">
        <v>4</v>
      </c>
      <c r="G298" s="3">
        <v>13</v>
      </c>
      <c r="H298" s="3">
        <f>grocery_chain_data[[#This Row],[Quantity]]*grocery_chain_data[[#This Row],[Unit Price]]</f>
        <v>52</v>
      </c>
      <c r="I298" s="3">
        <v>10</v>
      </c>
      <c r="J298" s="3">
        <f>grocery_chain_data[[#This Row],[Total Amount]]-grocery_chain_data[[#This Row],[Discount Amount]]</f>
        <v>42</v>
      </c>
      <c r="K298">
        <v>153</v>
      </c>
      <c r="L298" t="str">
        <f>IF(grocery_chain_data[[#This Row],[Final Amount]]&lt;0,"Return","Sale")</f>
        <v>Sale</v>
      </c>
      <c r="M298">
        <f>IF(grocery_chain_data[[#This Row],[Final Amount]]&lt;0,0,grocery_chain_data[[#This Row],[Final Amount]])</f>
        <v>42</v>
      </c>
    </row>
    <row r="299" spans="1:13" x14ac:dyDescent="0.3">
      <c r="A299">
        <v>3417</v>
      </c>
      <c r="B299" t="s">
        <v>2</v>
      </c>
      <c r="C299" s="1">
        <v>45654</v>
      </c>
      <c r="D299" s="1" t="str">
        <f t="shared" si="4"/>
        <v>Meat &amp; Seafood</v>
      </c>
      <c r="E299" t="s">
        <v>9</v>
      </c>
      <c r="F299" s="2">
        <v>2</v>
      </c>
      <c r="G299" s="3">
        <v>10</v>
      </c>
      <c r="H299" s="3">
        <f>grocery_chain_data[[#This Row],[Quantity]]*grocery_chain_data[[#This Row],[Unit Price]]</f>
        <v>20</v>
      </c>
      <c r="I299" s="3">
        <v>2</v>
      </c>
      <c r="J299" s="3">
        <f>grocery_chain_data[[#This Row],[Total Amount]]-grocery_chain_data[[#This Row],[Discount Amount]]</f>
        <v>18</v>
      </c>
      <c r="K299">
        <v>362</v>
      </c>
      <c r="L299" t="str">
        <f>IF(grocery_chain_data[[#This Row],[Final Amount]]&lt;0,"Return","Sale")</f>
        <v>Sale</v>
      </c>
      <c r="M299">
        <f>IF(grocery_chain_data[[#This Row],[Final Amount]]&lt;0,0,grocery_chain_data[[#This Row],[Final Amount]])</f>
        <v>18</v>
      </c>
    </row>
    <row r="300" spans="1:13" x14ac:dyDescent="0.3">
      <c r="A300">
        <v>1090</v>
      </c>
      <c r="B300" t="s">
        <v>13</v>
      </c>
      <c r="C300" s="1">
        <v>45838</v>
      </c>
      <c r="D300" s="1" t="str">
        <f t="shared" si="4"/>
        <v>Dairy</v>
      </c>
      <c r="E300" t="s">
        <v>3</v>
      </c>
      <c r="F300" s="2">
        <v>4</v>
      </c>
      <c r="G300" s="3">
        <v>17</v>
      </c>
      <c r="H300" s="3">
        <f>grocery_chain_data[[#This Row],[Quantity]]*grocery_chain_data[[#This Row],[Unit Price]]</f>
        <v>68</v>
      </c>
      <c r="I300" s="3">
        <v>14</v>
      </c>
      <c r="J300" s="3">
        <f>grocery_chain_data[[#This Row],[Total Amount]]-grocery_chain_data[[#This Row],[Discount Amount]]</f>
        <v>54</v>
      </c>
      <c r="K300">
        <v>68</v>
      </c>
      <c r="L300" t="str">
        <f>IF(grocery_chain_data[[#This Row],[Final Amount]]&lt;0,"Return","Sale")</f>
        <v>Sale</v>
      </c>
      <c r="M300">
        <f>IF(grocery_chain_data[[#This Row],[Final Amount]]&lt;0,0,grocery_chain_data[[#This Row],[Final Amount]])</f>
        <v>54</v>
      </c>
    </row>
    <row r="301" spans="1:13" x14ac:dyDescent="0.3">
      <c r="A301">
        <v>2746</v>
      </c>
      <c r="B301" t="s">
        <v>12</v>
      </c>
      <c r="C301" s="1">
        <v>45749</v>
      </c>
      <c r="D301" s="1" t="str">
        <f t="shared" si="4"/>
        <v>Pantry</v>
      </c>
      <c r="E301" t="s">
        <v>6</v>
      </c>
      <c r="F301" s="2">
        <v>1</v>
      </c>
      <c r="G301" s="3">
        <v>28</v>
      </c>
      <c r="H301" s="3">
        <f>grocery_chain_data[[#This Row],[Quantity]]*grocery_chain_data[[#This Row],[Unit Price]]</f>
        <v>28</v>
      </c>
      <c r="I301" s="3">
        <v>3</v>
      </c>
      <c r="J301" s="3">
        <f>grocery_chain_data[[#This Row],[Total Amount]]-grocery_chain_data[[#This Row],[Discount Amount]]</f>
        <v>25</v>
      </c>
      <c r="K301">
        <v>433</v>
      </c>
      <c r="L301" t="str">
        <f>IF(grocery_chain_data[[#This Row],[Final Amount]]&lt;0,"Return","Sale")</f>
        <v>Sale</v>
      </c>
      <c r="M301">
        <f>IF(grocery_chain_data[[#This Row],[Final Amount]]&lt;0,0,grocery_chain_data[[#This Row],[Final Amount]])</f>
        <v>25</v>
      </c>
    </row>
    <row r="302" spans="1:13" x14ac:dyDescent="0.3">
      <c r="A302">
        <v>7965</v>
      </c>
      <c r="B302" t="s">
        <v>21</v>
      </c>
      <c r="C302" s="1">
        <v>45314</v>
      </c>
      <c r="D302" s="1" t="str">
        <f t="shared" si="4"/>
        <v>Pantry</v>
      </c>
      <c r="E302" t="s">
        <v>1</v>
      </c>
      <c r="F302" s="2">
        <v>4</v>
      </c>
      <c r="G302" s="3">
        <v>21</v>
      </c>
      <c r="H302" s="3">
        <f>grocery_chain_data[[#This Row],[Quantity]]*grocery_chain_data[[#This Row],[Unit Price]]</f>
        <v>84</v>
      </c>
      <c r="I302" s="3">
        <v>2</v>
      </c>
      <c r="J302" s="3">
        <f>grocery_chain_data[[#This Row],[Total Amount]]-grocery_chain_data[[#This Row],[Discount Amount]]</f>
        <v>82</v>
      </c>
      <c r="K302">
        <v>308</v>
      </c>
      <c r="L302" t="str">
        <f>IF(grocery_chain_data[[#This Row],[Final Amount]]&lt;0,"Return","Sale")</f>
        <v>Sale</v>
      </c>
      <c r="M302">
        <f>IF(grocery_chain_data[[#This Row],[Final Amount]]&lt;0,0,grocery_chain_data[[#This Row],[Final Amount]])</f>
        <v>82</v>
      </c>
    </row>
    <row r="303" spans="1:13" x14ac:dyDescent="0.3">
      <c r="A303">
        <v>3881</v>
      </c>
      <c r="B303" t="s">
        <v>2</v>
      </c>
      <c r="C303" s="1">
        <v>45769</v>
      </c>
      <c r="D303" s="1" t="str">
        <f t="shared" si="4"/>
        <v>Produce</v>
      </c>
      <c r="E303" t="s">
        <v>25</v>
      </c>
      <c r="F303" s="2">
        <v>2</v>
      </c>
      <c r="G303" s="3">
        <v>26</v>
      </c>
      <c r="H303" s="3">
        <f>grocery_chain_data[[#This Row],[Quantity]]*grocery_chain_data[[#This Row],[Unit Price]]</f>
        <v>52</v>
      </c>
      <c r="I303" s="3">
        <v>2</v>
      </c>
      <c r="J303" s="3">
        <f>grocery_chain_data[[#This Row],[Total Amount]]-grocery_chain_data[[#This Row],[Discount Amount]]</f>
        <v>50</v>
      </c>
      <c r="K303">
        <v>170</v>
      </c>
      <c r="L303" t="str">
        <f>IF(grocery_chain_data[[#This Row],[Final Amount]]&lt;0,"Return","Sale")</f>
        <v>Sale</v>
      </c>
      <c r="M303">
        <f>IF(grocery_chain_data[[#This Row],[Final Amount]]&lt;0,0,grocery_chain_data[[#This Row],[Final Amount]])</f>
        <v>50</v>
      </c>
    </row>
    <row r="304" spans="1:13" x14ac:dyDescent="0.3">
      <c r="A304">
        <v>9486</v>
      </c>
      <c r="B304" t="s">
        <v>21</v>
      </c>
      <c r="C304" s="1">
        <v>45505</v>
      </c>
      <c r="D304" s="1" t="str">
        <f t="shared" si="4"/>
        <v>Produce</v>
      </c>
      <c r="E304" t="s">
        <v>25</v>
      </c>
      <c r="F304" s="2">
        <v>2</v>
      </c>
      <c r="G304" s="3">
        <v>21</v>
      </c>
      <c r="H304" s="3">
        <f>grocery_chain_data[[#This Row],[Quantity]]*grocery_chain_data[[#This Row],[Unit Price]]</f>
        <v>42</v>
      </c>
      <c r="I304" s="3">
        <v>4</v>
      </c>
      <c r="J304" s="3">
        <f>grocery_chain_data[[#This Row],[Total Amount]]-grocery_chain_data[[#This Row],[Discount Amount]]</f>
        <v>38</v>
      </c>
      <c r="K304">
        <v>360</v>
      </c>
      <c r="L304" t="str">
        <f>IF(grocery_chain_data[[#This Row],[Final Amount]]&lt;0,"Return","Sale")</f>
        <v>Sale</v>
      </c>
      <c r="M304">
        <f>IF(grocery_chain_data[[#This Row],[Final Amount]]&lt;0,0,grocery_chain_data[[#This Row],[Final Amount]])</f>
        <v>38</v>
      </c>
    </row>
    <row r="305" spans="1:13" x14ac:dyDescent="0.3">
      <c r="A305">
        <v>1822</v>
      </c>
      <c r="B305" t="s">
        <v>21</v>
      </c>
      <c r="C305" s="1">
        <v>45577</v>
      </c>
      <c r="D305" s="1" t="str">
        <f t="shared" si="4"/>
        <v>Pantry</v>
      </c>
      <c r="E305" t="s">
        <v>6</v>
      </c>
      <c r="F305" s="2">
        <v>3</v>
      </c>
      <c r="G305" s="3">
        <v>12</v>
      </c>
      <c r="H305" s="3">
        <f>grocery_chain_data[[#This Row],[Quantity]]*grocery_chain_data[[#This Row],[Unit Price]]</f>
        <v>36</v>
      </c>
      <c r="I305" s="3">
        <v>5</v>
      </c>
      <c r="J305" s="3">
        <f>grocery_chain_data[[#This Row],[Total Amount]]-grocery_chain_data[[#This Row],[Discount Amount]]</f>
        <v>31</v>
      </c>
      <c r="K305">
        <v>273</v>
      </c>
      <c r="L305" t="str">
        <f>IF(grocery_chain_data[[#This Row],[Final Amount]]&lt;0,"Return","Sale")</f>
        <v>Sale</v>
      </c>
      <c r="M305">
        <f>IF(grocery_chain_data[[#This Row],[Final Amount]]&lt;0,0,grocery_chain_data[[#This Row],[Final Amount]])</f>
        <v>31</v>
      </c>
    </row>
    <row r="306" spans="1:13" x14ac:dyDescent="0.3">
      <c r="A306">
        <v>5082</v>
      </c>
      <c r="B306" t="s">
        <v>12</v>
      </c>
      <c r="C306" s="1">
        <v>45857</v>
      </c>
      <c r="D306" s="1" t="str">
        <f t="shared" si="4"/>
        <v>Produce</v>
      </c>
      <c r="E306" t="s">
        <v>24</v>
      </c>
      <c r="F306" s="2">
        <v>4</v>
      </c>
      <c r="G306" s="3">
        <v>14</v>
      </c>
      <c r="H306" s="3">
        <f>grocery_chain_data[[#This Row],[Quantity]]*grocery_chain_data[[#This Row],[Unit Price]]</f>
        <v>56</v>
      </c>
      <c r="I306" s="3">
        <v>9</v>
      </c>
      <c r="J306" s="3">
        <f>grocery_chain_data[[#This Row],[Total Amount]]-grocery_chain_data[[#This Row],[Discount Amount]]</f>
        <v>47</v>
      </c>
      <c r="K306">
        <v>411</v>
      </c>
      <c r="L306" t="str">
        <f>IF(grocery_chain_data[[#This Row],[Final Amount]]&lt;0,"Return","Sale")</f>
        <v>Sale</v>
      </c>
      <c r="M306">
        <f>IF(grocery_chain_data[[#This Row],[Final Amount]]&lt;0,0,grocery_chain_data[[#This Row],[Final Amount]])</f>
        <v>47</v>
      </c>
    </row>
    <row r="307" spans="1:13" x14ac:dyDescent="0.3">
      <c r="A307">
        <v>2988</v>
      </c>
      <c r="B307" t="s">
        <v>21</v>
      </c>
      <c r="C307" s="1">
        <v>45499</v>
      </c>
      <c r="D307" s="1" t="str">
        <f t="shared" si="4"/>
        <v>Pantry</v>
      </c>
      <c r="E307" t="s">
        <v>6</v>
      </c>
      <c r="F307" s="2">
        <v>4</v>
      </c>
      <c r="G307" s="3">
        <v>2</v>
      </c>
      <c r="H307" s="3">
        <f>grocery_chain_data[[#This Row],[Quantity]]*grocery_chain_data[[#This Row],[Unit Price]]</f>
        <v>8</v>
      </c>
      <c r="I307" s="3">
        <v>0</v>
      </c>
      <c r="J307" s="3">
        <f>grocery_chain_data[[#This Row],[Total Amount]]-grocery_chain_data[[#This Row],[Discount Amount]]</f>
        <v>8</v>
      </c>
      <c r="K307">
        <v>442</v>
      </c>
      <c r="L307" t="str">
        <f>IF(grocery_chain_data[[#This Row],[Final Amount]]&lt;0,"Return","Sale")</f>
        <v>Sale</v>
      </c>
      <c r="M307">
        <f>IF(grocery_chain_data[[#This Row],[Final Amount]]&lt;0,0,grocery_chain_data[[#This Row],[Final Amount]])</f>
        <v>8</v>
      </c>
    </row>
    <row r="308" spans="1:13" x14ac:dyDescent="0.3">
      <c r="A308">
        <v>3184</v>
      </c>
      <c r="B308" t="s">
        <v>5</v>
      </c>
      <c r="C308" s="1">
        <v>45767</v>
      </c>
      <c r="D308" s="1" t="str">
        <f t="shared" si="4"/>
        <v>Pantry</v>
      </c>
      <c r="E308" t="s">
        <v>1</v>
      </c>
      <c r="F308" s="2">
        <v>5</v>
      </c>
      <c r="G308" s="3">
        <v>28</v>
      </c>
      <c r="H308" s="3">
        <f>grocery_chain_data[[#This Row],[Quantity]]*grocery_chain_data[[#This Row],[Unit Price]]</f>
        <v>140</v>
      </c>
      <c r="I308" s="3">
        <v>21</v>
      </c>
      <c r="J308" s="3">
        <f>grocery_chain_data[[#This Row],[Total Amount]]-grocery_chain_data[[#This Row],[Discount Amount]]</f>
        <v>119</v>
      </c>
      <c r="K308">
        <v>296</v>
      </c>
      <c r="L308" t="str">
        <f>IF(grocery_chain_data[[#This Row],[Final Amount]]&lt;0,"Return","Sale")</f>
        <v>Sale</v>
      </c>
      <c r="M308">
        <f>IF(grocery_chain_data[[#This Row],[Final Amount]]&lt;0,0,grocery_chain_data[[#This Row],[Final Amount]])</f>
        <v>119</v>
      </c>
    </row>
    <row r="309" spans="1:13" x14ac:dyDescent="0.3">
      <c r="A309">
        <v>8612</v>
      </c>
      <c r="B309" t="s">
        <v>5</v>
      </c>
      <c r="C309" s="1">
        <v>45663</v>
      </c>
      <c r="D309" s="1" t="str">
        <f t="shared" si="4"/>
        <v>Pantry</v>
      </c>
      <c r="E309" t="s">
        <v>6</v>
      </c>
      <c r="F309" s="2">
        <v>2</v>
      </c>
      <c r="G309" s="3">
        <v>12</v>
      </c>
      <c r="H309" s="3">
        <f>grocery_chain_data[[#This Row],[Quantity]]*grocery_chain_data[[#This Row],[Unit Price]]</f>
        <v>24</v>
      </c>
      <c r="I309" s="3">
        <v>2</v>
      </c>
      <c r="J309" s="3">
        <f>grocery_chain_data[[#This Row],[Total Amount]]-grocery_chain_data[[#This Row],[Discount Amount]]</f>
        <v>22</v>
      </c>
      <c r="K309">
        <v>426</v>
      </c>
      <c r="L309" t="str">
        <f>IF(grocery_chain_data[[#This Row],[Final Amount]]&lt;0,"Return","Sale")</f>
        <v>Sale</v>
      </c>
      <c r="M309">
        <f>IF(grocery_chain_data[[#This Row],[Final Amount]]&lt;0,0,grocery_chain_data[[#This Row],[Final Amount]])</f>
        <v>22</v>
      </c>
    </row>
    <row r="310" spans="1:13" x14ac:dyDescent="0.3">
      <c r="A310">
        <v>9702</v>
      </c>
      <c r="B310" t="s">
        <v>2</v>
      </c>
      <c r="C310" s="1">
        <v>45579</v>
      </c>
      <c r="D310" s="1" t="str">
        <f t="shared" si="4"/>
        <v>Pantry</v>
      </c>
      <c r="E310" t="s">
        <v>6</v>
      </c>
      <c r="F310" s="2">
        <v>3</v>
      </c>
      <c r="G310" s="3">
        <v>23</v>
      </c>
      <c r="H310" s="3">
        <f>grocery_chain_data[[#This Row],[Quantity]]*grocery_chain_data[[#This Row],[Unit Price]]</f>
        <v>69</v>
      </c>
      <c r="I310" s="3">
        <v>7</v>
      </c>
      <c r="J310" s="3">
        <f>grocery_chain_data[[#This Row],[Total Amount]]-grocery_chain_data[[#This Row],[Discount Amount]]</f>
        <v>62</v>
      </c>
      <c r="K310">
        <v>250</v>
      </c>
      <c r="L310" t="str">
        <f>IF(grocery_chain_data[[#This Row],[Final Amount]]&lt;0,"Return","Sale")</f>
        <v>Sale</v>
      </c>
      <c r="M310">
        <f>IF(grocery_chain_data[[#This Row],[Final Amount]]&lt;0,0,grocery_chain_data[[#This Row],[Final Amount]])</f>
        <v>62</v>
      </c>
    </row>
    <row r="311" spans="1:13" x14ac:dyDescent="0.3">
      <c r="A311">
        <v>6198</v>
      </c>
      <c r="B311" t="s">
        <v>5</v>
      </c>
      <c r="C311" s="1">
        <v>45731</v>
      </c>
      <c r="D311" s="1" t="str">
        <f t="shared" si="4"/>
        <v>Produce</v>
      </c>
      <c r="E311" t="s">
        <v>11</v>
      </c>
      <c r="F311" s="2">
        <v>2</v>
      </c>
      <c r="G311" s="3">
        <v>22</v>
      </c>
      <c r="H311" s="3">
        <f>grocery_chain_data[[#This Row],[Quantity]]*grocery_chain_data[[#This Row],[Unit Price]]</f>
        <v>44</v>
      </c>
      <c r="I311" s="3">
        <v>5</v>
      </c>
      <c r="J311" s="3">
        <f>grocery_chain_data[[#This Row],[Total Amount]]-grocery_chain_data[[#This Row],[Discount Amount]]</f>
        <v>39</v>
      </c>
      <c r="K311">
        <v>250</v>
      </c>
      <c r="L311" t="str">
        <f>IF(grocery_chain_data[[#This Row],[Final Amount]]&lt;0,"Return","Sale")</f>
        <v>Sale</v>
      </c>
      <c r="M311">
        <f>IF(grocery_chain_data[[#This Row],[Final Amount]]&lt;0,0,grocery_chain_data[[#This Row],[Final Amount]])</f>
        <v>39</v>
      </c>
    </row>
    <row r="312" spans="1:13" x14ac:dyDescent="0.3">
      <c r="A312">
        <v>8251</v>
      </c>
      <c r="B312" t="s">
        <v>13</v>
      </c>
      <c r="C312" s="1">
        <v>45620</v>
      </c>
      <c r="D312" s="1" t="str">
        <f t="shared" si="4"/>
        <v>Dairy</v>
      </c>
      <c r="E312" t="s">
        <v>19</v>
      </c>
      <c r="F312" s="2">
        <v>1</v>
      </c>
      <c r="G312" s="3">
        <v>28</v>
      </c>
      <c r="H312" s="3">
        <f>grocery_chain_data[[#This Row],[Quantity]]*grocery_chain_data[[#This Row],[Unit Price]]</f>
        <v>28</v>
      </c>
      <c r="I312" s="3">
        <v>3</v>
      </c>
      <c r="J312" s="3">
        <f>grocery_chain_data[[#This Row],[Total Amount]]-grocery_chain_data[[#This Row],[Discount Amount]]</f>
        <v>25</v>
      </c>
      <c r="K312">
        <v>342</v>
      </c>
      <c r="L312" t="str">
        <f>IF(grocery_chain_data[[#This Row],[Final Amount]]&lt;0,"Return","Sale")</f>
        <v>Sale</v>
      </c>
      <c r="M312">
        <f>IF(grocery_chain_data[[#This Row],[Final Amount]]&lt;0,0,grocery_chain_data[[#This Row],[Final Amount]])</f>
        <v>25</v>
      </c>
    </row>
    <row r="313" spans="1:13" x14ac:dyDescent="0.3">
      <c r="A313">
        <v>9270</v>
      </c>
      <c r="B313" t="s">
        <v>21</v>
      </c>
      <c r="C313" s="1">
        <v>45476</v>
      </c>
      <c r="D313" s="1" t="str">
        <f t="shared" si="4"/>
        <v>Dairy</v>
      </c>
      <c r="E313" t="s">
        <v>20</v>
      </c>
      <c r="F313" s="2">
        <v>1</v>
      </c>
      <c r="G313" s="3">
        <v>7</v>
      </c>
      <c r="H313" s="3">
        <f>grocery_chain_data[[#This Row],[Quantity]]*grocery_chain_data[[#This Row],[Unit Price]]</f>
        <v>7</v>
      </c>
      <c r="I313" s="3">
        <v>3</v>
      </c>
      <c r="J313" s="3">
        <f>grocery_chain_data[[#This Row],[Total Amount]]-grocery_chain_data[[#This Row],[Discount Amount]]</f>
        <v>4</v>
      </c>
      <c r="K313">
        <v>233</v>
      </c>
      <c r="L313" t="str">
        <f>IF(grocery_chain_data[[#This Row],[Final Amount]]&lt;0,"Return","Sale")</f>
        <v>Sale</v>
      </c>
      <c r="M313">
        <f>IF(grocery_chain_data[[#This Row],[Final Amount]]&lt;0,0,grocery_chain_data[[#This Row],[Final Amount]])</f>
        <v>4</v>
      </c>
    </row>
    <row r="314" spans="1:13" x14ac:dyDescent="0.3">
      <c r="A314">
        <v>9976</v>
      </c>
      <c r="B314" t="s">
        <v>10</v>
      </c>
      <c r="C314" s="1">
        <v>45491</v>
      </c>
      <c r="D314" s="1" t="str">
        <f t="shared" si="4"/>
        <v>Produce</v>
      </c>
      <c r="E314" t="s">
        <v>25</v>
      </c>
      <c r="F314" s="2">
        <v>1</v>
      </c>
      <c r="G314" s="3">
        <v>1</v>
      </c>
      <c r="H314" s="3">
        <f>grocery_chain_data[[#This Row],[Quantity]]*grocery_chain_data[[#This Row],[Unit Price]]</f>
        <v>1</v>
      </c>
      <c r="I314" s="3">
        <v>1</v>
      </c>
      <c r="J314" s="3">
        <f>grocery_chain_data[[#This Row],[Total Amount]]-grocery_chain_data[[#This Row],[Discount Amount]]</f>
        <v>0</v>
      </c>
      <c r="K314">
        <v>282</v>
      </c>
      <c r="L314" t="str">
        <f>IF(grocery_chain_data[[#This Row],[Final Amount]]&lt;0,"Return","Sale")</f>
        <v>Sale</v>
      </c>
      <c r="M314">
        <f>IF(grocery_chain_data[[#This Row],[Final Amount]]&lt;0,0,grocery_chain_data[[#This Row],[Final Amount]])</f>
        <v>0</v>
      </c>
    </row>
    <row r="315" spans="1:13" x14ac:dyDescent="0.3">
      <c r="A315">
        <v>3607</v>
      </c>
      <c r="B315" t="s">
        <v>12</v>
      </c>
      <c r="C315" s="1">
        <v>45722</v>
      </c>
      <c r="D315" s="1" t="str">
        <f t="shared" si="4"/>
        <v>Produce</v>
      </c>
      <c r="E315" t="s">
        <v>17</v>
      </c>
      <c r="F315" s="2">
        <v>1</v>
      </c>
      <c r="G315" s="3">
        <v>16</v>
      </c>
      <c r="H315" s="3">
        <f>grocery_chain_data[[#This Row],[Quantity]]*grocery_chain_data[[#This Row],[Unit Price]]</f>
        <v>16</v>
      </c>
      <c r="I315" s="3">
        <v>3</v>
      </c>
      <c r="J315" s="3">
        <f>grocery_chain_data[[#This Row],[Total Amount]]-grocery_chain_data[[#This Row],[Discount Amount]]</f>
        <v>13</v>
      </c>
      <c r="K315">
        <v>357</v>
      </c>
      <c r="L315" t="str">
        <f>IF(grocery_chain_data[[#This Row],[Final Amount]]&lt;0,"Return","Sale")</f>
        <v>Sale</v>
      </c>
      <c r="M315">
        <f>IF(grocery_chain_data[[#This Row],[Final Amount]]&lt;0,0,grocery_chain_data[[#This Row],[Final Amount]])</f>
        <v>13</v>
      </c>
    </row>
    <row r="316" spans="1:13" x14ac:dyDescent="0.3">
      <c r="A316">
        <v>8777</v>
      </c>
      <c r="B316" t="s">
        <v>0</v>
      </c>
      <c r="C316" s="1">
        <v>45494</v>
      </c>
      <c r="D316" s="1" t="str">
        <f t="shared" si="4"/>
        <v>Produce</v>
      </c>
      <c r="E316" t="s">
        <v>24</v>
      </c>
      <c r="F316" s="2">
        <v>2</v>
      </c>
      <c r="G316" s="3">
        <v>8</v>
      </c>
      <c r="H316" s="3">
        <f>grocery_chain_data[[#This Row],[Quantity]]*grocery_chain_data[[#This Row],[Unit Price]]</f>
        <v>16</v>
      </c>
      <c r="I316" s="3">
        <v>2</v>
      </c>
      <c r="J316" s="3">
        <f>grocery_chain_data[[#This Row],[Total Amount]]-grocery_chain_data[[#This Row],[Discount Amount]]</f>
        <v>14</v>
      </c>
      <c r="K316">
        <v>317</v>
      </c>
      <c r="L316" t="str">
        <f>IF(grocery_chain_data[[#This Row],[Final Amount]]&lt;0,"Return","Sale")</f>
        <v>Sale</v>
      </c>
      <c r="M316">
        <f>IF(grocery_chain_data[[#This Row],[Final Amount]]&lt;0,0,grocery_chain_data[[#This Row],[Final Amount]])</f>
        <v>14</v>
      </c>
    </row>
    <row r="317" spans="1:13" x14ac:dyDescent="0.3">
      <c r="A317">
        <v>5246</v>
      </c>
      <c r="B317" t="s">
        <v>12</v>
      </c>
      <c r="C317" s="1">
        <v>45728</v>
      </c>
      <c r="D317" s="1" t="str">
        <f t="shared" si="4"/>
        <v>Bakery</v>
      </c>
      <c r="E317" t="s">
        <v>22</v>
      </c>
      <c r="F317" s="2">
        <v>3</v>
      </c>
      <c r="G317" s="3">
        <v>29</v>
      </c>
      <c r="H317" s="3">
        <f>grocery_chain_data[[#This Row],[Quantity]]*grocery_chain_data[[#This Row],[Unit Price]]</f>
        <v>87</v>
      </c>
      <c r="I317" s="3">
        <v>0</v>
      </c>
      <c r="J317" s="3">
        <f>grocery_chain_data[[#This Row],[Total Amount]]-grocery_chain_data[[#This Row],[Discount Amount]]</f>
        <v>87</v>
      </c>
      <c r="K317">
        <v>235</v>
      </c>
      <c r="L317" t="str">
        <f>IF(grocery_chain_data[[#This Row],[Final Amount]]&lt;0,"Return","Sale")</f>
        <v>Sale</v>
      </c>
      <c r="M317">
        <f>IF(grocery_chain_data[[#This Row],[Final Amount]]&lt;0,0,grocery_chain_data[[#This Row],[Final Amount]])</f>
        <v>87</v>
      </c>
    </row>
    <row r="318" spans="1:13" x14ac:dyDescent="0.3">
      <c r="A318">
        <v>5050</v>
      </c>
      <c r="B318" t="s">
        <v>21</v>
      </c>
      <c r="C318" s="1">
        <v>45797</v>
      </c>
      <c r="D318" s="1" t="str">
        <f t="shared" si="4"/>
        <v>Bakery</v>
      </c>
      <c r="E318" t="s">
        <v>22</v>
      </c>
      <c r="F318" s="2">
        <v>1</v>
      </c>
      <c r="G318" s="3">
        <v>4</v>
      </c>
      <c r="H318" s="3">
        <f>grocery_chain_data[[#This Row],[Quantity]]*grocery_chain_data[[#This Row],[Unit Price]]</f>
        <v>4</v>
      </c>
      <c r="I318" s="3">
        <v>3</v>
      </c>
      <c r="J318" s="3">
        <f>grocery_chain_data[[#This Row],[Total Amount]]-grocery_chain_data[[#This Row],[Discount Amount]]</f>
        <v>1</v>
      </c>
      <c r="K318">
        <v>194</v>
      </c>
      <c r="L318" t="str">
        <f>IF(grocery_chain_data[[#This Row],[Final Amount]]&lt;0,"Return","Sale")</f>
        <v>Sale</v>
      </c>
      <c r="M318">
        <f>IF(grocery_chain_data[[#This Row],[Final Amount]]&lt;0,0,grocery_chain_data[[#This Row],[Final Amount]])</f>
        <v>1</v>
      </c>
    </row>
    <row r="319" spans="1:13" x14ac:dyDescent="0.3">
      <c r="A319">
        <v>5543</v>
      </c>
      <c r="B319" t="s">
        <v>13</v>
      </c>
      <c r="C319" s="1">
        <v>45739</v>
      </c>
      <c r="D319" s="1" t="str">
        <f t="shared" si="4"/>
        <v>Bakery</v>
      </c>
      <c r="E319" t="s">
        <v>22</v>
      </c>
      <c r="F319" s="2">
        <v>4</v>
      </c>
      <c r="G319" s="3">
        <v>26</v>
      </c>
      <c r="H319" s="3">
        <f>grocery_chain_data[[#This Row],[Quantity]]*grocery_chain_data[[#This Row],[Unit Price]]</f>
        <v>104</v>
      </c>
      <c r="I319" s="3">
        <v>5</v>
      </c>
      <c r="J319" s="3">
        <f>grocery_chain_data[[#This Row],[Total Amount]]-grocery_chain_data[[#This Row],[Discount Amount]]</f>
        <v>99</v>
      </c>
      <c r="K319">
        <v>330</v>
      </c>
      <c r="L319" t="str">
        <f>IF(grocery_chain_data[[#This Row],[Final Amount]]&lt;0,"Return","Sale")</f>
        <v>Sale</v>
      </c>
      <c r="M319">
        <f>IF(grocery_chain_data[[#This Row],[Final Amount]]&lt;0,0,grocery_chain_data[[#This Row],[Final Amount]])</f>
        <v>99</v>
      </c>
    </row>
    <row r="320" spans="1:13" x14ac:dyDescent="0.3">
      <c r="A320">
        <v>9540</v>
      </c>
      <c r="B320" t="s">
        <v>0</v>
      </c>
      <c r="C320" s="1">
        <v>45521</v>
      </c>
      <c r="D320" s="1" t="str">
        <f t="shared" si="4"/>
        <v>Dairy</v>
      </c>
      <c r="E320" t="s">
        <v>19</v>
      </c>
      <c r="F320" s="2">
        <v>2</v>
      </c>
      <c r="G320" s="3">
        <v>7</v>
      </c>
      <c r="H320" s="3">
        <f>grocery_chain_data[[#This Row],[Quantity]]*grocery_chain_data[[#This Row],[Unit Price]]</f>
        <v>14</v>
      </c>
      <c r="I320" s="3">
        <v>2</v>
      </c>
      <c r="J320" s="3">
        <f>grocery_chain_data[[#This Row],[Total Amount]]-grocery_chain_data[[#This Row],[Discount Amount]]</f>
        <v>12</v>
      </c>
      <c r="K320">
        <v>444</v>
      </c>
      <c r="L320" t="str">
        <f>IF(grocery_chain_data[[#This Row],[Final Amount]]&lt;0,"Return","Sale")</f>
        <v>Sale</v>
      </c>
      <c r="M320">
        <f>IF(grocery_chain_data[[#This Row],[Final Amount]]&lt;0,0,grocery_chain_data[[#This Row],[Final Amount]])</f>
        <v>12</v>
      </c>
    </row>
    <row r="321" spans="1:13" x14ac:dyDescent="0.3">
      <c r="A321">
        <v>4919</v>
      </c>
      <c r="B321" t="s">
        <v>13</v>
      </c>
      <c r="C321" s="1">
        <v>45358</v>
      </c>
      <c r="D321" s="1" t="str">
        <f t="shared" si="4"/>
        <v>Pantry</v>
      </c>
      <c r="E321" t="s">
        <v>1</v>
      </c>
      <c r="F321" s="2">
        <v>5</v>
      </c>
      <c r="G321" s="3">
        <v>17</v>
      </c>
      <c r="H321" s="3">
        <f>grocery_chain_data[[#This Row],[Quantity]]*grocery_chain_data[[#This Row],[Unit Price]]</f>
        <v>85</v>
      </c>
      <c r="I321" s="3">
        <v>13</v>
      </c>
      <c r="J321" s="3">
        <f>grocery_chain_data[[#This Row],[Total Amount]]-grocery_chain_data[[#This Row],[Discount Amount]]</f>
        <v>72</v>
      </c>
      <c r="K321">
        <v>16</v>
      </c>
      <c r="L321" t="str">
        <f>IF(grocery_chain_data[[#This Row],[Final Amount]]&lt;0,"Return","Sale")</f>
        <v>Sale</v>
      </c>
      <c r="M321">
        <f>IF(grocery_chain_data[[#This Row],[Final Amount]]&lt;0,0,grocery_chain_data[[#This Row],[Final Amount]])</f>
        <v>72</v>
      </c>
    </row>
    <row r="322" spans="1:13" x14ac:dyDescent="0.3">
      <c r="A322">
        <v>8206</v>
      </c>
      <c r="B322" t="s">
        <v>13</v>
      </c>
      <c r="C322" s="1">
        <v>45205</v>
      </c>
      <c r="D322" s="1" t="str">
        <f t="shared" ref="D322:D385" si="5">IF(E322="Pasta","Pantry",
IF(E322="Cheese","Dairy",
IF(E322="Onions","Produce",
IF(E322="Cereal","Pantry",
IF(E322="Orange Juice","Beverages",
IF(E322="Ground Beef","Meat &amp; Seafood",
IF(E322="Apples","Produce",
IF(E322="Milk","Dairy",
IF(E322="Bananas","Produce",
IF(E322="Bread","Bakery",
IF(E322="Carrots","Produce",
IF(E322="Chicken Breast","Meat &amp; Seafood",
IF(E322="Eggs","Dairy",
IF(E322="Potatoes","Produce",
IF(E322="Rice","Produce",
IF(E322="Salmon","Meat &amp; Seafood",
IF(E322="Tomatoes","Produce",
IF(E322="Yogurt","Dairy",
"Others"))))))))))))))))))</f>
        <v>Dairy</v>
      </c>
      <c r="E322" t="s">
        <v>20</v>
      </c>
      <c r="F322" s="2">
        <v>4</v>
      </c>
      <c r="G322" s="3">
        <v>28</v>
      </c>
      <c r="H322" s="3">
        <f>grocery_chain_data[[#This Row],[Quantity]]*grocery_chain_data[[#This Row],[Unit Price]]</f>
        <v>112</v>
      </c>
      <c r="I322" s="3">
        <v>2</v>
      </c>
      <c r="J322" s="3">
        <f>grocery_chain_data[[#This Row],[Total Amount]]-grocery_chain_data[[#This Row],[Discount Amount]]</f>
        <v>110</v>
      </c>
      <c r="K322">
        <v>153</v>
      </c>
      <c r="L322" t="str">
        <f>IF(grocery_chain_data[[#This Row],[Final Amount]]&lt;0,"Return","Sale")</f>
        <v>Sale</v>
      </c>
      <c r="M322">
        <f>IF(grocery_chain_data[[#This Row],[Final Amount]]&lt;0,0,grocery_chain_data[[#This Row],[Final Amount]])</f>
        <v>110</v>
      </c>
    </row>
    <row r="323" spans="1:13" x14ac:dyDescent="0.3">
      <c r="A323">
        <v>5681</v>
      </c>
      <c r="B323" t="s">
        <v>8</v>
      </c>
      <c r="C323" s="1">
        <v>45327</v>
      </c>
      <c r="D323" s="1" t="str">
        <f t="shared" si="5"/>
        <v>Produce</v>
      </c>
      <c r="E323" t="s">
        <v>4</v>
      </c>
      <c r="F323" s="2">
        <v>3</v>
      </c>
      <c r="G323" s="3">
        <v>12</v>
      </c>
      <c r="H323" s="3">
        <f>grocery_chain_data[[#This Row],[Quantity]]*grocery_chain_data[[#This Row],[Unit Price]]</f>
        <v>36</v>
      </c>
      <c r="I323" s="3">
        <v>0</v>
      </c>
      <c r="J323" s="3">
        <f>grocery_chain_data[[#This Row],[Total Amount]]-grocery_chain_data[[#This Row],[Discount Amount]]</f>
        <v>36</v>
      </c>
      <c r="K323">
        <v>378</v>
      </c>
      <c r="L323" t="str">
        <f>IF(grocery_chain_data[[#This Row],[Final Amount]]&lt;0,"Return","Sale")</f>
        <v>Sale</v>
      </c>
      <c r="M323">
        <f>IF(grocery_chain_data[[#This Row],[Final Amount]]&lt;0,0,grocery_chain_data[[#This Row],[Final Amount]])</f>
        <v>36</v>
      </c>
    </row>
    <row r="324" spans="1:13" x14ac:dyDescent="0.3">
      <c r="A324">
        <v>5451</v>
      </c>
      <c r="B324" t="s">
        <v>0</v>
      </c>
      <c r="C324" s="1">
        <v>45405</v>
      </c>
      <c r="D324" s="1" t="str">
        <f t="shared" si="5"/>
        <v>Beverages</v>
      </c>
      <c r="E324" t="s">
        <v>7</v>
      </c>
      <c r="F324" s="2">
        <v>1</v>
      </c>
      <c r="G324" s="3">
        <v>4</v>
      </c>
      <c r="H324" s="3">
        <f>grocery_chain_data[[#This Row],[Quantity]]*grocery_chain_data[[#This Row],[Unit Price]]</f>
        <v>4</v>
      </c>
      <c r="I324" s="3">
        <v>1</v>
      </c>
      <c r="J324" s="3">
        <f>grocery_chain_data[[#This Row],[Total Amount]]-grocery_chain_data[[#This Row],[Discount Amount]]</f>
        <v>3</v>
      </c>
      <c r="K324">
        <v>118</v>
      </c>
      <c r="L324" t="str">
        <f>IF(grocery_chain_data[[#This Row],[Final Amount]]&lt;0,"Return","Sale")</f>
        <v>Sale</v>
      </c>
      <c r="M324">
        <f>IF(grocery_chain_data[[#This Row],[Final Amount]]&lt;0,0,grocery_chain_data[[#This Row],[Final Amount]])</f>
        <v>3</v>
      </c>
    </row>
    <row r="325" spans="1:13" x14ac:dyDescent="0.3">
      <c r="A325">
        <v>6238</v>
      </c>
      <c r="B325" t="s">
        <v>8</v>
      </c>
      <c r="C325" s="1">
        <v>45838</v>
      </c>
      <c r="D325" s="1" t="str">
        <f t="shared" si="5"/>
        <v>Produce</v>
      </c>
      <c r="E325" t="s">
        <v>18</v>
      </c>
      <c r="F325" s="2">
        <v>3</v>
      </c>
      <c r="G325" s="3">
        <v>24</v>
      </c>
      <c r="H325" s="3">
        <f>grocery_chain_data[[#This Row],[Quantity]]*grocery_chain_data[[#This Row],[Unit Price]]</f>
        <v>72</v>
      </c>
      <c r="I325" s="3">
        <v>14</v>
      </c>
      <c r="J325" s="3">
        <f>grocery_chain_data[[#This Row],[Total Amount]]-grocery_chain_data[[#This Row],[Discount Amount]]</f>
        <v>58</v>
      </c>
      <c r="K325">
        <v>230</v>
      </c>
      <c r="L325" t="str">
        <f>IF(grocery_chain_data[[#This Row],[Final Amount]]&lt;0,"Return","Sale")</f>
        <v>Sale</v>
      </c>
      <c r="M325">
        <f>IF(grocery_chain_data[[#This Row],[Final Amount]]&lt;0,0,grocery_chain_data[[#This Row],[Final Amount]])</f>
        <v>58</v>
      </c>
    </row>
    <row r="326" spans="1:13" x14ac:dyDescent="0.3">
      <c r="A326">
        <v>9849</v>
      </c>
      <c r="B326" t="s">
        <v>16</v>
      </c>
      <c r="C326" s="1">
        <v>45207</v>
      </c>
      <c r="D326" s="1" t="str">
        <f t="shared" si="5"/>
        <v>Produce</v>
      </c>
      <c r="E326" t="s">
        <v>14</v>
      </c>
      <c r="F326" s="2">
        <v>4</v>
      </c>
      <c r="G326" s="3">
        <v>6</v>
      </c>
      <c r="H326" s="3">
        <f>grocery_chain_data[[#This Row],[Quantity]]*grocery_chain_data[[#This Row],[Unit Price]]</f>
        <v>24</v>
      </c>
      <c r="I326" s="3">
        <v>4</v>
      </c>
      <c r="J326" s="3">
        <f>grocery_chain_data[[#This Row],[Total Amount]]-grocery_chain_data[[#This Row],[Discount Amount]]</f>
        <v>20</v>
      </c>
      <c r="K326">
        <v>299</v>
      </c>
      <c r="L326" t="str">
        <f>IF(grocery_chain_data[[#This Row],[Final Amount]]&lt;0,"Return","Sale")</f>
        <v>Sale</v>
      </c>
      <c r="M326">
        <f>IF(grocery_chain_data[[#This Row],[Final Amount]]&lt;0,0,grocery_chain_data[[#This Row],[Final Amount]])</f>
        <v>20</v>
      </c>
    </row>
    <row r="327" spans="1:13" x14ac:dyDescent="0.3">
      <c r="A327">
        <v>3267</v>
      </c>
      <c r="B327" t="s">
        <v>12</v>
      </c>
      <c r="C327" s="1">
        <v>45262</v>
      </c>
      <c r="D327" s="1" t="str">
        <f t="shared" si="5"/>
        <v>Bakery</v>
      </c>
      <c r="E327" t="s">
        <v>22</v>
      </c>
      <c r="F327" s="2">
        <v>1</v>
      </c>
      <c r="G327" s="3">
        <v>9</v>
      </c>
      <c r="H327" s="3">
        <f>grocery_chain_data[[#This Row],[Quantity]]*grocery_chain_data[[#This Row],[Unit Price]]</f>
        <v>9</v>
      </c>
      <c r="I327" s="3">
        <v>0</v>
      </c>
      <c r="J327" s="3">
        <f>grocery_chain_data[[#This Row],[Total Amount]]-grocery_chain_data[[#This Row],[Discount Amount]]</f>
        <v>9</v>
      </c>
      <c r="K327">
        <v>194</v>
      </c>
      <c r="L327" t="str">
        <f>IF(grocery_chain_data[[#This Row],[Final Amount]]&lt;0,"Return","Sale")</f>
        <v>Sale</v>
      </c>
      <c r="M327">
        <f>IF(grocery_chain_data[[#This Row],[Final Amount]]&lt;0,0,grocery_chain_data[[#This Row],[Final Amount]])</f>
        <v>9</v>
      </c>
    </row>
    <row r="328" spans="1:13" x14ac:dyDescent="0.3">
      <c r="A328">
        <v>4788</v>
      </c>
      <c r="B328" t="s">
        <v>8</v>
      </c>
      <c r="C328" s="1">
        <v>45442</v>
      </c>
      <c r="D328" s="1" t="str">
        <f t="shared" si="5"/>
        <v>Beverages</v>
      </c>
      <c r="E328" t="s">
        <v>7</v>
      </c>
      <c r="F328" s="2">
        <v>1</v>
      </c>
      <c r="G328" s="3">
        <v>4</v>
      </c>
      <c r="H328" s="3">
        <f>grocery_chain_data[[#This Row],[Quantity]]*grocery_chain_data[[#This Row],[Unit Price]]</f>
        <v>4</v>
      </c>
      <c r="I328" s="3">
        <v>0</v>
      </c>
      <c r="J328" s="3">
        <f>grocery_chain_data[[#This Row],[Total Amount]]-grocery_chain_data[[#This Row],[Discount Amount]]</f>
        <v>4</v>
      </c>
      <c r="K328">
        <v>482</v>
      </c>
      <c r="L328" t="str">
        <f>IF(grocery_chain_data[[#This Row],[Final Amount]]&lt;0,"Return","Sale")</f>
        <v>Sale</v>
      </c>
      <c r="M328">
        <f>IF(grocery_chain_data[[#This Row],[Final Amount]]&lt;0,0,grocery_chain_data[[#This Row],[Final Amount]])</f>
        <v>4</v>
      </c>
    </row>
    <row r="329" spans="1:13" x14ac:dyDescent="0.3">
      <c r="A329">
        <v>3503</v>
      </c>
      <c r="B329" t="s">
        <v>16</v>
      </c>
      <c r="C329" s="1">
        <v>45693</v>
      </c>
      <c r="D329" s="1" t="str">
        <f t="shared" si="5"/>
        <v>Meat &amp; Seafood</v>
      </c>
      <c r="E329" t="s">
        <v>26</v>
      </c>
      <c r="F329" s="2">
        <v>2</v>
      </c>
      <c r="G329" s="3">
        <v>4</v>
      </c>
      <c r="H329" s="3">
        <f>grocery_chain_data[[#This Row],[Quantity]]*grocery_chain_data[[#This Row],[Unit Price]]</f>
        <v>8</v>
      </c>
      <c r="I329" s="3">
        <v>3</v>
      </c>
      <c r="J329" s="3">
        <f>grocery_chain_data[[#This Row],[Total Amount]]-grocery_chain_data[[#This Row],[Discount Amount]]</f>
        <v>5</v>
      </c>
      <c r="K329">
        <v>220</v>
      </c>
      <c r="L329" t="str">
        <f>IF(grocery_chain_data[[#This Row],[Final Amount]]&lt;0,"Return","Sale")</f>
        <v>Sale</v>
      </c>
      <c r="M329">
        <f>IF(grocery_chain_data[[#This Row],[Final Amount]]&lt;0,0,grocery_chain_data[[#This Row],[Final Amount]])</f>
        <v>5</v>
      </c>
    </row>
    <row r="330" spans="1:13" x14ac:dyDescent="0.3">
      <c r="A330">
        <v>4505</v>
      </c>
      <c r="B330" t="s">
        <v>8</v>
      </c>
      <c r="C330" s="1">
        <v>45194</v>
      </c>
      <c r="D330" s="1" t="str">
        <f t="shared" si="5"/>
        <v>Produce</v>
      </c>
      <c r="E330" t="s">
        <v>18</v>
      </c>
      <c r="F330" s="2">
        <v>1</v>
      </c>
      <c r="G330" s="3">
        <v>11</v>
      </c>
      <c r="H330" s="3">
        <f>grocery_chain_data[[#This Row],[Quantity]]*grocery_chain_data[[#This Row],[Unit Price]]</f>
        <v>11</v>
      </c>
      <c r="I330" s="3">
        <v>1</v>
      </c>
      <c r="J330" s="3">
        <f>grocery_chain_data[[#This Row],[Total Amount]]-grocery_chain_data[[#This Row],[Discount Amount]]</f>
        <v>10</v>
      </c>
      <c r="K330">
        <v>47</v>
      </c>
      <c r="L330" t="str">
        <f>IF(grocery_chain_data[[#This Row],[Final Amount]]&lt;0,"Return","Sale")</f>
        <v>Sale</v>
      </c>
      <c r="M330">
        <f>IF(grocery_chain_data[[#This Row],[Final Amount]]&lt;0,0,grocery_chain_data[[#This Row],[Final Amount]])</f>
        <v>10</v>
      </c>
    </row>
    <row r="331" spans="1:13" x14ac:dyDescent="0.3">
      <c r="A331">
        <v>7797</v>
      </c>
      <c r="B331" t="s">
        <v>13</v>
      </c>
      <c r="C331" s="1">
        <v>45461</v>
      </c>
      <c r="D331" s="1" t="str">
        <f t="shared" si="5"/>
        <v>Dairy</v>
      </c>
      <c r="E331" t="s">
        <v>3</v>
      </c>
      <c r="F331" s="2">
        <v>4</v>
      </c>
      <c r="G331" s="3">
        <v>24</v>
      </c>
      <c r="H331" s="3">
        <f>grocery_chain_data[[#This Row],[Quantity]]*grocery_chain_data[[#This Row],[Unit Price]]</f>
        <v>96</v>
      </c>
      <c r="I331" s="3">
        <v>3</v>
      </c>
      <c r="J331" s="3">
        <f>grocery_chain_data[[#This Row],[Total Amount]]-grocery_chain_data[[#This Row],[Discount Amount]]</f>
        <v>93</v>
      </c>
      <c r="K331">
        <v>371</v>
      </c>
      <c r="L331" t="str">
        <f>IF(grocery_chain_data[[#This Row],[Final Amount]]&lt;0,"Return","Sale")</f>
        <v>Sale</v>
      </c>
      <c r="M331">
        <f>IF(grocery_chain_data[[#This Row],[Final Amount]]&lt;0,0,grocery_chain_data[[#This Row],[Final Amount]])</f>
        <v>93</v>
      </c>
    </row>
    <row r="332" spans="1:13" x14ac:dyDescent="0.3">
      <c r="A332">
        <v>6421</v>
      </c>
      <c r="B332" t="s">
        <v>8</v>
      </c>
      <c r="C332" s="1">
        <v>45566</v>
      </c>
      <c r="D332" s="1" t="str">
        <f t="shared" si="5"/>
        <v>Dairy</v>
      </c>
      <c r="E332" t="s">
        <v>20</v>
      </c>
      <c r="F332" s="2">
        <v>3</v>
      </c>
      <c r="G332" s="3">
        <v>10</v>
      </c>
      <c r="H332" s="3">
        <f>grocery_chain_data[[#This Row],[Quantity]]*grocery_chain_data[[#This Row],[Unit Price]]</f>
        <v>30</v>
      </c>
      <c r="I332" s="3">
        <v>2</v>
      </c>
      <c r="J332" s="3">
        <f>grocery_chain_data[[#This Row],[Total Amount]]-grocery_chain_data[[#This Row],[Discount Amount]]</f>
        <v>28</v>
      </c>
      <c r="K332">
        <v>252</v>
      </c>
      <c r="L332" t="str">
        <f>IF(grocery_chain_data[[#This Row],[Final Amount]]&lt;0,"Return","Sale")</f>
        <v>Sale</v>
      </c>
      <c r="M332">
        <f>IF(grocery_chain_data[[#This Row],[Final Amount]]&lt;0,0,grocery_chain_data[[#This Row],[Final Amount]])</f>
        <v>28</v>
      </c>
    </row>
    <row r="333" spans="1:13" x14ac:dyDescent="0.3">
      <c r="A333">
        <v>8633</v>
      </c>
      <c r="B333" t="s">
        <v>12</v>
      </c>
      <c r="C333" s="1">
        <v>45467</v>
      </c>
      <c r="D333" s="1" t="str">
        <f t="shared" si="5"/>
        <v>Produce</v>
      </c>
      <c r="E333" t="s">
        <v>17</v>
      </c>
      <c r="F333" s="2">
        <v>4</v>
      </c>
      <c r="G333" s="3">
        <v>24</v>
      </c>
      <c r="H333" s="3">
        <f>grocery_chain_data[[#This Row],[Quantity]]*grocery_chain_data[[#This Row],[Unit Price]]</f>
        <v>96</v>
      </c>
      <c r="I333" s="3">
        <v>19</v>
      </c>
      <c r="J333" s="3">
        <f>grocery_chain_data[[#This Row],[Total Amount]]-grocery_chain_data[[#This Row],[Discount Amount]]</f>
        <v>77</v>
      </c>
      <c r="K333">
        <v>184</v>
      </c>
      <c r="L333" t="str">
        <f>IF(grocery_chain_data[[#This Row],[Final Amount]]&lt;0,"Return","Sale")</f>
        <v>Sale</v>
      </c>
      <c r="M333">
        <f>IF(grocery_chain_data[[#This Row],[Final Amount]]&lt;0,0,grocery_chain_data[[#This Row],[Final Amount]])</f>
        <v>77</v>
      </c>
    </row>
    <row r="334" spans="1:13" x14ac:dyDescent="0.3">
      <c r="A334">
        <v>2020</v>
      </c>
      <c r="B334" t="s">
        <v>10</v>
      </c>
      <c r="C334" s="1">
        <v>45305</v>
      </c>
      <c r="D334" s="1" t="str">
        <f t="shared" si="5"/>
        <v>Dairy</v>
      </c>
      <c r="E334" t="s">
        <v>23</v>
      </c>
      <c r="F334" s="2">
        <v>4</v>
      </c>
      <c r="G334" s="3">
        <v>4</v>
      </c>
      <c r="H334" s="3">
        <f>grocery_chain_data[[#This Row],[Quantity]]*grocery_chain_data[[#This Row],[Unit Price]]</f>
        <v>16</v>
      </c>
      <c r="I334" s="3">
        <v>2</v>
      </c>
      <c r="J334" s="3">
        <f>grocery_chain_data[[#This Row],[Total Amount]]-grocery_chain_data[[#This Row],[Discount Amount]]</f>
        <v>14</v>
      </c>
      <c r="K334">
        <v>155</v>
      </c>
      <c r="L334" t="str">
        <f>IF(grocery_chain_data[[#This Row],[Final Amount]]&lt;0,"Return","Sale")</f>
        <v>Sale</v>
      </c>
      <c r="M334">
        <f>IF(grocery_chain_data[[#This Row],[Final Amount]]&lt;0,0,grocery_chain_data[[#This Row],[Final Amount]])</f>
        <v>14</v>
      </c>
    </row>
    <row r="335" spans="1:13" x14ac:dyDescent="0.3">
      <c r="A335">
        <v>7883</v>
      </c>
      <c r="B335" t="s">
        <v>16</v>
      </c>
      <c r="C335" s="1">
        <v>45447</v>
      </c>
      <c r="D335" s="1" t="str">
        <f t="shared" si="5"/>
        <v>Produce</v>
      </c>
      <c r="E335" t="s">
        <v>14</v>
      </c>
      <c r="F335" s="2">
        <v>3</v>
      </c>
      <c r="G335" s="3">
        <v>14</v>
      </c>
      <c r="H335" s="3">
        <f>grocery_chain_data[[#This Row],[Quantity]]*grocery_chain_data[[#This Row],[Unit Price]]</f>
        <v>42</v>
      </c>
      <c r="I335" s="3">
        <v>6</v>
      </c>
      <c r="J335" s="3">
        <f>grocery_chain_data[[#This Row],[Total Amount]]-grocery_chain_data[[#This Row],[Discount Amount]]</f>
        <v>36</v>
      </c>
      <c r="K335">
        <v>220</v>
      </c>
      <c r="L335" t="str">
        <f>IF(grocery_chain_data[[#This Row],[Final Amount]]&lt;0,"Return","Sale")</f>
        <v>Sale</v>
      </c>
      <c r="M335">
        <f>IF(grocery_chain_data[[#This Row],[Final Amount]]&lt;0,0,grocery_chain_data[[#This Row],[Final Amount]])</f>
        <v>36</v>
      </c>
    </row>
    <row r="336" spans="1:13" x14ac:dyDescent="0.3">
      <c r="A336">
        <v>1320</v>
      </c>
      <c r="B336" t="s">
        <v>16</v>
      </c>
      <c r="C336" s="1">
        <v>45810</v>
      </c>
      <c r="D336" s="1" t="str">
        <f t="shared" si="5"/>
        <v>Dairy</v>
      </c>
      <c r="E336" t="s">
        <v>23</v>
      </c>
      <c r="F336" s="2">
        <v>4</v>
      </c>
      <c r="G336" s="3">
        <v>10</v>
      </c>
      <c r="H336" s="3">
        <f>grocery_chain_data[[#This Row],[Quantity]]*grocery_chain_data[[#This Row],[Unit Price]]</f>
        <v>40</v>
      </c>
      <c r="I336" s="3">
        <v>6</v>
      </c>
      <c r="J336" s="3">
        <f>grocery_chain_data[[#This Row],[Total Amount]]-grocery_chain_data[[#This Row],[Discount Amount]]</f>
        <v>34</v>
      </c>
      <c r="K336">
        <v>493</v>
      </c>
      <c r="L336" t="str">
        <f>IF(grocery_chain_data[[#This Row],[Final Amount]]&lt;0,"Return","Sale")</f>
        <v>Sale</v>
      </c>
      <c r="M336">
        <f>IF(grocery_chain_data[[#This Row],[Final Amount]]&lt;0,0,grocery_chain_data[[#This Row],[Final Amount]])</f>
        <v>34</v>
      </c>
    </row>
    <row r="337" spans="1:13" x14ac:dyDescent="0.3">
      <c r="A337">
        <v>7232</v>
      </c>
      <c r="B337" t="s">
        <v>12</v>
      </c>
      <c r="C337" s="1">
        <v>45515</v>
      </c>
      <c r="D337" s="1" t="str">
        <f t="shared" si="5"/>
        <v>Produce</v>
      </c>
      <c r="E337" t="s">
        <v>25</v>
      </c>
      <c r="F337" s="2">
        <v>5</v>
      </c>
      <c r="G337" s="3">
        <v>24</v>
      </c>
      <c r="H337" s="3">
        <f>grocery_chain_data[[#This Row],[Quantity]]*grocery_chain_data[[#This Row],[Unit Price]]</f>
        <v>120</v>
      </c>
      <c r="I337" s="3">
        <v>18</v>
      </c>
      <c r="J337" s="3">
        <f>grocery_chain_data[[#This Row],[Total Amount]]-grocery_chain_data[[#This Row],[Discount Amount]]</f>
        <v>102</v>
      </c>
      <c r="K337">
        <v>166</v>
      </c>
      <c r="L337" t="str">
        <f>IF(grocery_chain_data[[#This Row],[Final Amount]]&lt;0,"Return","Sale")</f>
        <v>Sale</v>
      </c>
      <c r="M337">
        <f>IF(grocery_chain_data[[#This Row],[Final Amount]]&lt;0,0,grocery_chain_data[[#This Row],[Final Amount]])</f>
        <v>102</v>
      </c>
    </row>
    <row r="338" spans="1:13" x14ac:dyDescent="0.3">
      <c r="A338">
        <v>1096</v>
      </c>
      <c r="B338" t="s">
        <v>8</v>
      </c>
      <c r="C338" s="1">
        <v>45418</v>
      </c>
      <c r="D338" s="1" t="str">
        <f t="shared" si="5"/>
        <v>Meat &amp; Seafood</v>
      </c>
      <c r="E338" t="s">
        <v>26</v>
      </c>
      <c r="F338" s="2">
        <v>5</v>
      </c>
      <c r="G338" s="3">
        <v>7</v>
      </c>
      <c r="H338" s="3">
        <f>grocery_chain_data[[#This Row],[Quantity]]*grocery_chain_data[[#This Row],[Unit Price]]</f>
        <v>35</v>
      </c>
      <c r="I338" s="3">
        <v>0</v>
      </c>
      <c r="J338" s="3">
        <f>grocery_chain_data[[#This Row],[Total Amount]]-grocery_chain_data[[#This Row],[Discount Amount]]</f>
        <v>35</v>
      </c>
      <c r="K338">
        <v>279</v>
      </c>
      <c r="L338" t="str">
        <f>IF(grocery_chain_data[[#This Row],[Final Amount]]&lt;0,"Return","Sale")</f>
        <v>Sale</v>
      </c>
      <c r="M338">
        <f>IF(grocery_chain_data[[#This Row],[Final Amount]]&lt;0,0,grocery_chain_data[[#This Row],[Final Amount]])</f>
        <v>35</v>
      </c>
    </row>
    <row r="339" spans="1:13" x14ac:dyDescent="0.3">
      <c r="A339">
        <v>5892</v>
      </c>
      <c r="B339" t="s">
        <v>2</v>
      </c>
      <c r="C339" s="1">
        <v>45730</v>
      </c>
      <c r="D339" s="1" t="str">
        <f t="shared" si="5"/>
        <v>Meat &amp; Seafood</v>
      </c>
      <c r="E339" t="s">
        <v>15</v>
      </c>
      <c r="F339" s="2">
        <v>2</v>
      </c>
      <c r="G339" s="3">
        <v>14</v>
      </c>
      <c r="H339" s="3">
        <f>grocery_chain_data[[#This Row],[Quantity]]*grocery_chain_data[[#This Row],[Unit Price]]</f>
        <v>28</v>
      </c>
      <c r="I339" s="3">
        <v>3</v>
      </c>
      <c r="J339" s="3">
        <f>grocery_chain_data[[#This Row],[Total Amount]]-grocery_chain_data[[#This Row],[Discount Amount]]</f>
        <v>25</v>
      </c>
      <c r="K339">
        <v>149</v>
      </c>
      <c r="L339" t="str">
        <f>IF(grocery_chain_data[[#This Row],[Final Amount]]&lt;0,"Return","Sale")</f>
        <v>Sale</v>
      </c>
      <c r="M339">
        <f>IF(grocery_chain_data[[#This Row],[Final Amount]]&lt;0,0,grocery_chain_data[[#This Row],[Final Amount]])</f>
        <v>25</v>
      </c>
    </row>
    <row r="340" spans="1:13" x14ac:dyDescent="0.3">
      <c r="A340">
        <v>7389</v>
      </c>
      <c r="B340" t="s">
        <v>10</v>
      </c>
      <c r="C340" s="1">
        <v>45807</v>
      </c>
      <c r="D340" s="1" t="str">
        <f t="shared" si="5"/>
        <v>Produce</v>
      </c>
      <c r="E340" t="s">
        <v>17</v>
      </c>
      <c r="F340" s="2">
        <v>2</v>
      </c>
      <c r="G340" s="3">
        <v>8</v>
      </c>
      <c r="H340" s="3">
        <f>grocery_chain_data[[#This Row],[Quantity]]*grocery_chain_data[[#This Row],[Unit Price]]</f>
        <v>16</v>
      </c>
      <c r="I340" s="3">
        <v>2</v>
      </c>
      <c r="J340" s="3">
        <f>grocery_chain_data[[#This Row],[Total Amount]]-grocery_chain_data[[#This Row],[Discount Amount]]</f>
        <v>14</v>
      </c>
      <c r="K340">
        <v>78</v>
      </c>
      <c r="L340" t="str">
        <f>IF(grocery_chain_data[[#This Row],[Final Amount]]&lt;0,"Return","Sale")</f>
        <v>Sale</v>
      </c>
      <c r="M340">
        <f>IF(grocery_chain_data[[#This Row],[Final Amount]]&lt;0,0,grocery_chain_data[[#This Row],[Final Amount]])</f>
        <v>14</v>
      </c>
    </row>
    <row r="341" spans="1:13" x14ac:dyDescent="0.3">
      <c r="A341">
        <v>7865</v>
      </c>
      <c r="B341" t="s">
        <v>0</v>
      </c>
      <c r="C341" s="1">
        <v>45563</v>
      </c>
      <c r="D341" s="1" t="str">
        <f t="shared" si="5"/>
        <v>Produce</v>
      </c>
      <c r="E341" t="s">
        <v>25</v>
      </c>
      <c r="F341" s="2">
        <v>5</v>
      </c>
      <c r="G341" s="3">
        <v>13</v>
      </c>
      <c r="H341" s="3">
        <f>grocery_chain_data[[#This Row],[Quantity]]*grocery_chain_data[[#This Row],[Unit Price]]</f>
        <v>65</v>
      </c>
      <c r="I341" s="3">
        <v>1</v>
      </c>
      <c r="J341" s="3">
        <f>grocery_chain_data[[#This Row],[Total Amount]]-grocery_chain_data[[#This Row],[Discount Amount]]</f>
        <v>64</v>
      </c>
      <c r="K341">
        <v>259</v>
      </c>
      <c r="L341" t="str">
        <f>IF(grocery_chain_data[[#This Row],[Final Amount]]&lt;0,"Return","Sale")</f>
        <v>Sale</v>
      </c>
      <c r="M341">
        <f>IF(grocery_chain_data[[#This Row],[Final Amount]]&lt;0,0,grocery_chain_data[[#This Row],[Final Amount]])</f>
        <v>64</v>
      </c>
    </row>
    <row r="342" spans="1:13" x14ac:dyDescent="0.3">
      <c r="A342">
        <v>9947</v>
      </c>
      <c r="B342" t="s">
        <v>16</v>
      </c>
      <c r="C342" s="1">
        <v>45766</v>
      </c>
      <c r="D342" s="1" t="str">
        <f t="shared" si="5"/>
        <v>Bakery</v>
      </c>
      <c r="E342" t="s">
        <v>22</v>
      </c>
      <c r="F342" s="2">
        <v>1</v>
      </c>
      <c r="G342" s="3">
        <v>23</v>
      </c>
      <c r="H342" s="3">
        <f>grocery_chain_data[[#This Row],[Quantity]]*grocery_chain_data[[#This Row],[Unit Price]]</f>
        <v>23</v>
      </c>
      <c r="I342" s="3">
        <v>5</v>
      </c>
      <c r="J342" s="3">
        <f>grocery_chain_data[[#This Row],[Total Amount]]-grocery_chain_data[[#This Row],[Discount Amount]]</f>
        <v>18</v>
      </c>
      <c r="K342">
        <v>336</v>
      </c>
      <c r="L342" t="str">
        <f>IF(grocery_chain_data[[#This Row],[Final Amount]]&lt;0,"Return","Sale")</f>
        <v>Sale</v>
      </c>
      <c r="M342">
        <f>IF(grocery_chain_data[[#This Row],[Final Amount]]&lt;0,0,grocery_chain_data[[#This Row],[Final Amount]])</f>
        <v>18</v>
      </c>
    </row>
    <row r="343" spans="1:13" x14ac:dyDescent="0.3">
      <c r="A343">
        <v>4613</v>
      </c>
      <c r="B343" t="s">
        <v>13</v>
      </c>
      <c r="C343" s="1">
        <v>45524</v>
      </c>
      <c r="D343" s="1" t="str">
        <f t="shared" si="5"/>
        <v>Produce</v>
      </c>
      <c r="E343" t="s">
        <v>14</v>
      </c>
      <c r="F343" s="2">
        <v>3</v>
      </c>
      <c r="G343" s="3">
        <v>29</v>
      </c>
      <c r="H343" s="3">
        <f>grocery_chain_data[[#This Row],[Quantity]]*grocery_chain_data[[#This Row],[Unit Price]]</f>
        <v>87</v>
      </c>
      <c r="I343" s="3">
        <v>1</v>
      </c>
      <c r="J343" s="3">
        <f>grocery_chain_data[[#This Row],[Total Amount]]-grocery_chain_data[[#This Row],[Discount Amount]]</f>
        <v>86</v>
      </c>
      <c r="K343">
        <v>220</v>
      </c>
      <c r="L343" t="str">
        <f>IF(grocery_chain_data[[#This Row],[Final Amount]]&lt;0,"Return","Sale")</f>
        <v>Sale</v>
      </c>
      <c r="M343">
        <f>IF(grocery_chain_data[[#This Row],[Final Amount]]&lt;0,0,grocery_chain_data[[#This Row],[Final Amount]])</f>
        <v>86</v>
      </c>
    </row>
    <row r="344" spans="1:13" x14ac:dyDescent="0.3">
      <c r="A344">
        <v>4595</v>
      </c>
      <c r="B344" t="s">
        <v>21</v>
      </c>
      <c r="C344" s="1">
        <v>45356</v>
      </c>
      <c r="D344" s="1" t="str">
        <f t="shared" si="5"/>
        <v>Produce</v>
      </c>
      <c r="E344" t="s">
        <v>24</v>
      </c>
      <c r="F344" s="2">
        <v>5</v>
      </c>
      <c r="G344" s="3">
        <v>18</v>
      </c>
      <c r="H344" s="3">
        <f>grocery_chain_data[[#This Row],[Quantity]]*grocery_chain_data[[#This Row],[Unit Price]]</f>
        <v>90</v>
      </c>
      <c r="I344" s="3">
        <v>9</v>
      </c>
      <c r="J344" s="3">
        <f>grocery_chain_data[[#This Row],[Total Amount]]-grocery_chain_data[[#This Row],[Discount Amount]]</f>
        <v>81</v>
      </c>
      <c r="K344">
        <v>294</v>
      </c>
      <c r="L344" t="str">
        <f>IF(grocery_chain_data[[#This Row],[Final Amount]]&lt;0,"Return","Sale")</f>
        <v>Sale</v>
      </c>
      <c r="M344">
        <f>IF(grocery_chain_data[[#This Row],[Final Amount]]&lt;0,0,grocery_chain_data[[#This Row],[Final Amount]])</f>
        <v>81</v>
      </c>
    </row>
    <row r="345" spans="1:13" x14ac:dyDescent="0.3">
      <c r="A345">
        <v>8140</v>
      </c>
      <c r="B345" t="s">
        <v>16</v>
      </c>
      <c r="C345" s="1">
        <v>45522</v>
      </c>
      <c r="D345" s="1" t="str">
        <f t="shared" si="5"/>
        <v>Meat &amp; Seafood</v>
      </c>
      <c r="E345" t="s">
        <v>15</v>
      </c>
      <c r="F345" s="2">
        <v>5</v>
      </c>
      <c r="G345" s="3">
        <v>21</v>
      </c>
      <c r="H345" s="3">
        <f>grocery_chain_data[[#This Row],[Quantity]]*grocery_chain_data[[#This Row],[Unit Price]]</f>
        <v>105</v>
      </c>
      <c r="I345" s="3">
        <v>3</v>
      </c>
      <c r="J345" s="3">
        <f>grocery_chain_data[[#This Row],[Total Amount]]-grocery_chain_data[[#This Row],[Discount Amount]]</f>
        <v>102</v>
      </c>
      <c r="K345">
        <v>77</v>
      </c>
      <c r="L345" t="str">
        <f>IF(grocery_chain_data[[#This Row],[Final Amount]]&lt;0,"Return","Sale")</f>
        <v>Sale</v>
      </c>
      <c r="M345">
        <f>IF(grocery_chain_data[[#This Row],[Final Amount]]&lt;0,0,grocery_chain_data[[#This Row],[Final Amount]])</f>
        <v>102</v>
      </c>
    </row>
    <row r="346" spans="1:13" x14ac:dyDescent="0.3">
      <c r="A346">
        <v>1475</v>
      </c>
      <c r="B346" t="s">
        <v>12</v>
      </c>
      <c r="C346" s="1">
        <v>45447</v>
      </c>
      <c r="D346" s="1" t="str">
        <f t="shared" si="5"/>
        <v>Bakery</v>
      </c>
      <c r="E346" t="s">
        <v>22</v>
      </c>
      <c r="F346" s="2">
        <v>1</v>
      </c>
      <c r="G346" s="3">
        <v>25</v>
      </c>
      <c r="H346" s="3">
        <f>grocery_chain_data[[#This Row],[Quantity]]*grocery_chain_data[[#This Row],[Unit Price]]</f>
        <v>25</v>
      </c>
      <c r="I346" s="3">
        <v>4</v>
      </c>
      <c r="J346" s="3">
        <f>grocery_chain_data[[#This Row],[Total Amount]]-grocery_chain_data[[#This Row],[Discount Amount]]</f>
        <v>21</v>
      </c>
      <c r="K346">
        <v>373</v>
      </c>
      <c r="L346" t="str">
        <f>IF(grocery_chain_data[[#This Row],[Final Amount]]&lt;0,"Return","Sale")</f>
        <v>Sale</v>
      </c>
      <c r="M346">
        <f>IF(grocery_chain_data[[#This Row],[Final Amount]]&lt;0,0,grocery_chain_data[[#This Row],[Final Amount]])</f>
        <v>21</v>
      </c>
    </row>
    <row r="347" spans="1:13" x14ac:dyDescent="0.3">
      <c r="A347">
        <v>6507</v>
      </c>
      <c r="B347" t="s">
        <v>12</v>
      </c>
      <c r="C347" s="1">
        <v>45664</v>
      </c>
      <c r="D347" s="1" t="str">
        <f t="shared" si="5"/>
        <v>Meat &amp; Seafood</v>
      </c>
      <c r="E347" t="s">
        <v>15</v>
      </c>
      <c r="F347" s="2">
        <v>2</v>
      </c>
      <c r="G347" s="3">
        <v>16</v>
      </c>
      <c r="H347" s="3">
        <f>grocery_chain_data[[#This Row],[Quantity]]*grocery_chain_data[[#This Row],[Unit Price]]</f>
        <v>32</v>
      </c>
      <c r="I347" s="3">
        <v>3</v>
      </c>
      <c r="J347" s="3">
        <f>grocery_chain_data[[#This Row],[Total Amount]]-grocery_chain_data[[#This Row],[Discount Amount]]</f>
        <v>29</v>
      </c>
      <c r="K347">
        <v>178</v>
      </c>
      <c r="L347" t="str">
        <f>IF(grocery_chain_data[[#This Row],[Final Amount]]&lt;0,"Return","Sale")</f>
        <v>Sale</v>
      </c>
      <c r="M347">
        <f>IF(grocery_chain_data[[#This Row],[Final Amount]]&lt;0,0,grocery_chain_data[[#This Row],[Final Amount]])</f>
        <v>29</v>
      </c>
    </row>
    <row r="348" spans="1:13" x14ac:dyDescent="0.3">
      <c r="A348">
        <v>7624</v>
      </c>
      <c r="B348" t="s">
        <v>10</v>
      </c>
      <c r="C348" s="1">
        <v>45707</v>
      </c>
      <c r="D348" s="1" t="str">
        <f t="shared" si="5"/>
        <v>Bakery</v>
      </c>
      <c r="E348" t="s">
        <v>22</v>
      </c>
      <c r="F348" s="2">
        <v>3</v>
      </c>
      <c r="G348" s="3">
        <v>2</v>
      </c>
      <c r="H348" s="3">
        <f>grocery_chain_data[[#This Row],[Quantity]]*grocery_chain_data[[#This Row],[Unit Price]]</f>
        <v>6</v>
      </c>
      <c r="I348" s="3">
        <v>4</v>
      </c>
      <c r="J348" s="3">
        <f>grocery_chain_data[[#This Row],[Total Amount]]-grocery_chain_data[[#This Row],[Discount Amount]]</f>
        <v>2</v>
      </c>
      <c r="K348">
        <v>363</v>
      </c>
      <c r="L348" t="str">
        <f>IF(grocery_chain_data[[#This Row],[Final Amount]]&lt;0,"Return","Sale")</f>
        <v>Sale</v>
      </c>
      <c r="M348">
        <f>IF(grocery_chain_data[[#This Row],[Final Amount]]&lt;0,0,grocery_chain_data[[#This Row],[Final Amount]])</f>
        <v>2</v>
      </c>
    </row>
    <row r="349" spans="1:13" x14ac:dyDescent="0.3">
      <c r="A349">
        <v>3704</v>
      </c>
      <c r="B349" t="s">
        <v>0</v>
      </c>
      <c r="C349" s="1">
        <v>45797</v>
      </c>
      <c r="D349" s="1" t="str">
        <f t="shared" si="5"/>
        <v>Produce</v>
      </c>
      <c r="E349" t="s">
        <v>11</v>
      </c>
      <c r="F349" s="2">
        <v>2</v>
      </c>
      <c r="G349" s="3">
        <v>16</v>
      </c>
      <c r="H349" s="3">
        <f>grocery_chain_data[[#This Row],[Quantity]]*grocery_chain_data[[#This Row],[Unit Price]]</f>
        <v>32</v>
      </c>
      <c r="I349" s="3">
        <v>5</v>
      </c>
      <c r="J349" s="3">
        <f>grocery_chain_data[[#This Row],[Total Amount]]-grocery_chain_data[[#This Row],[Discount Amount]]</f>
        <v>27</v>
      </c>
      <c r="K349">
        <v>282</v>
      </c>
      <c r="L349" t="str">
        <f>IF(grocery_chain_data[[#This Row],[Final Amount]]&lt;0,"Return","Sale")</f>
        <v>Sale</v>
      </c>
      <c r="M349">
        <f>IF(grocery_chain_data[[#This Row],[Final Amount]]&lt;0,0,grocery_chain_data[[#This Row],[Final Amount]])</f>
        <v>27</v>
      </c>
    </row>
    <row r="350" spans="1:13" x14ac:dyDescent="0.3">
      <c r="A350">
        <v>8657</v>
      </c>
      <c r="B350" t="s">
        <v>2</v>
      </c>
      <c r="C350" s="1">
        <v>45859</v>
      </c>
      <c r="D350" s="1" t="str">
        <f t="shared" si="5"/>
        <v>Meat &amp; Seafood</v>
      </c>
      <c r="E350" t="s">
        <v>15</v>
      </c>
      <c r="F350" s="2">
        <v>2</v>
      </c>
      <c r="G350" s="3">
        <v>24</v>
      </c>
      <c r="H350" s="3">
        <f>grocery_chain_data[[#This Row],[Quantity]]*grocery_chain_data[[#This Row],[Unit Price]]</f>
        <v>48</v>
      </c>
      <c r="I350" s="3">
        <v>10</v>
      </c>
      <c r="J350" s="3">
        <f>grocery_chain_data[[#This Row],[Total Amount]]-grocery_chain_data[[#This Row],[Discount Amount]]</f>
        <v>38</v>
      </c>
      <c r="K350">
        <v>322</v>
      </c>
      <c r="L350" t="str">
        <f>IF(grocery_chain_data[[#This Row],[Final Amount]]&lt;0,"Return","Sale")</f>
        <v>Sale</v>
      </c>
      <c r="M350">
        <f>IF(grocery_chain_data[[#This Row],[Final Amount]]&lt;0,0,grocery_chain_data[[#This Row],[Final Amount]])</f>
        <v>38</v>
      </c>
    </row>
    <row r="351" spans="1:13" x14ac:dyDescent="0.3">
      <c r="A351">
        <v>3091</v>
      </c>
      <c r="B351" t="s">
        <v>8</v>
      </c>
      <c r="C351" s="1">
        <v>45628</v>
      </c>
      <c r="D351" s="1" t="str">
        <f t="shared" si="5"/>
        <v>Produce</v>
      </c>
      <c r="E351" t="s">
        <v>18</v>
      </c>
      <c r="F351" s="2">
        <v>5</v>
      </c>
      <c r="G351" s="3">
        <v>27</v>
      </c>
      <c r="H351" s="3">
        <f>grocery_chain_data[[#This Row],[Quantity]]*grocery_chain_data[[#This Row],[Unit Price]]</f>
        <v>135</v>
      </c>
      <c r="I351" s="3">
        <v>13</v>
      </c>
      <c r="J351" s="3">
        <f>grocery_chain_data[[#This Row],[Total Amount]]-grocery_chain_data[[#This Row],[Discount Amount]]</f>
        <v>122</v>
      </c>
      <c r="K351">
        <v>230</v>
      </c>
      <c r="L351" t="str">
        <f>IF(grocery_chain_data[[#This Row],[Final Amount]]&lt;0,"Return","Sale")</f>
        <v>Sale</v>
      </c>
      <c r="M351">
        <f>IF(grocery_chain_data[[#This Row],[Final Amount]]&lt;0,0,grocery_chain_data[[#This Row],[Final Amount]])</f>
        <v>122</v>
      </c>
    </row>
    <row r="352" spans="1:13" x14ac:dyDescent="0.3">
      <c r="A352">
        <v>9751</v>
      </c>
      <c r="B352" t="s">
        <v>13</v>
      </c>
      <c r="C352" s="1">
        <v>45165</v>
      </c>
      <c r="D352" s="1" t="str">
        <f t="shared" si="5"/>
        <v>Dairy</v>
      </c>
      <c r="E352" t="s">
        <v>23</v>
      </c>
      <c r="F352" s="2">
        <v>3</v>
      </c>
      <c r="G352" s="3">
        <v>23</v>
      </c>
      <c r="H352" s="3">
        <f>grocery_chain_data[[#This Row],[Quantity]]*grocery_chain_data[[#This Row],[Unit Price]]</f>
        <v>69</v>
      </c>
      <c r="I352" s="3">
        <v>1</v>
      </c>
      <c r="J352" s="3">
        <f>grocery_chain_data[[#This Row],[Total Amount]]-grocery_chain_data[[#This Row],[Discount Amount]]</f>
        <v>68</v>
      </c>
      <c r="K352">
        <v>414</v>
      </c>
      <c r="L352" t="str">
        <f>IF(grocery_chain_data[[#This Row],[Final Amount]]&lt;0,"Return","Sale")</f>
        <v>Sale</v>
      </c>
      <c r="M352">
        <f>IF(grocery_chain_data[[#This Row],[Final Amount]]&lt;0,0,grocery_chain_data[[#This Row],[Final Amount]])</f>
        <v>68</v>
      </c>
    </row>
    <row r="353" spans="1:13" x14ac:dyDescent="0.3">
      <c r="A353">
        <v>7455</v>
      </c>
      <c r="B353" t="s">
        <v>2</v>
      </c>
      <c r="C353" s="1">
        <v>45604</v>
      </c>
      <c r="D353" s="1" t="str">
        <f t="shared" si="5"/>
        <v>Beverages</v>
      </c>
      <c r="E353" t="s">
        <v>7</v>
      </c>
      <c r="F353" s="2">
        <v>3</v>
      </c>
      <c r="G353" s="3">
        <v>7</v>
      </c>
      <c r="H353" s="3">
        <f>grocery_chain_data[[#This Row],[Quantity]]*grocery_chain_data[[#This Row],[Unit Price]]</f>
        <v>21</v>
      </c>
      <c r="I353" s="3">
        <v>0</v>
      </c>
      <c r="J353" s="3">
        <f>grocery_chain_data[[#This Row],[Total Amount]]-grocery_chain_data[[#This Row],[Discount Amount]]</f>
        <v>21</v>
      </c>
      <c r="K353">
        <v>58</v>
      </c>
      <c r="L353" t="str">
        <f>IF(grocery_chain_data[[#This Row],[Final Amount]]&lt;0,"Return","Sale")</f>
        <v>Sale</v>
      </c>
      <c r="M353">
        <f>IF(grocery_chain_data[[#This Row],[Final Amount]]&lt;0,0,grocery_chain_data[[#This Row],[Final Amount]])</f>
        <v>21</v>
      </c>
    </row>
    <row r="354" spans="1:13" x14ac:dyDescent="0.3">
      <c r="A354">
        <v>1444</v>
      </c>
      <c r="B354" t="s">
        <v>10</v>
      </c>
      <c r="C354" s="1">
        <v>45210</v>
      </c>
      <c r="D354" s="1" t="str">
        <f t="shared" si="5"/>
        <v>Pantry</v>
      </c>
      <c r="E354" t="s">
        <v>6</v>
      </c>
      <c r="F354" s="2">
        <v>5</v>
      </c>
      <c r="G354" s="3">
        <v>12</v>
      </c>
      <c r="H354" s="3">
        <f>grocery_chain_data[[#This Row],[Quantity]]*grocery_chain_data[[#This Row],[Unit Price]]</f>
        <v>60</v>
      </c>
      <c r="I354" s="3">
        <v>9</v>
      </c>
      <c r="J354" s="3">
        <f>grocery_chain_data[[#This Row],[Total Amount]]-grocery_chain_data[[#This Row],[Discount Amount]]</f>
        <v>51</v>
      </c>
      <c r="K354">
        <v>200</v>
      </c>
      <c r="L354" t="str">
        <f>IF(grocery_chain_data[[#This Row],[Final Amount]]&lt;0,"Return","Sale")</f>
        <v>Sale</v>
      </c>
      <c r="M354">
        <f>IF(grocery_chain_data[[#This Row],[Final Amount]]&lt;0,0,grocery_chain_data[[#This Row],[Final Amount]])</f>
        <v>51</v>
      </c>
    </row>
    <row r="355" spans="1:13" x14ac:dyDescent="0.3">
      <c r="A355">
        <v>8022</v>
      </c>
      <c r="B355" t="s">
        <v>16</v>
      </c>
      <c r="C355" s="1">
        <v>45250</v>
      </c>
      <c r="D355" s="1" t="str">
        <f t="shared" si="5"/>
        <v>Produce</v>
      </c>
      <c r="E355" t="s">
        <v>11</v>
      </c>
      <c r="F355" s="2">
        <v>3</v>
      </c>
      <c r="G355" s="3">
        <v>28</v>
      </c>
      <c r="H355" s="3">
        <f>grocery_chain_data[[#This Row],[Quantity]]*grocery_chain_data[[#This Row],[Unit Price]]</f>
        <v>84</v>
      </c>
      <c r="I355" s="3">
        <v>0</v>
      </c>
      <c r="J355" s="3">
        <f>grocery_chain_data[[#This Row],[Total Amount]]-grocery_chain_data[[#This Row],[Discount Amount]]</f>
        <v>84</v>
      </c>
      <c r="K355">
        <v>302</v>
      </c>
      <c r="L355" t="str">
        <f>IF(grocery_chain_data[[#This Row],[Final Amount]]&lt;0,"Return","Sale")</f>
        <v>Sale</v>
      </c>
      <c r="M355">
        <f>IF(grocery_chain_data[[#This Row],[Final Amount]]&lt;0,0,grocery_chain_data[[#This Row],[Final Amount]])</f>
        <v>84</v>
      </c>
    </row>
    <row r="356" spans="1:13" x14ac:dyDescent="0.3">
      <c r="A356">
        <v>8564</v>
      </c>
      <c r="B356" t="s">
        <v>5</v>
      </c>
      <c r="C356" s="1">
        <v>45286</v>
      </c>
      <c r="D356" s="1" t="str">
        <f t="shared" si="5"/>
        <v>Meat &amp; Seafood</v>
      </c>
      <c r="E356" t="s">
        <v>26</v>
      </c>
      <c r="F356" s="2">
        <v>2</v>
      </c>
      <c r="G356" s="3">
        <v>10</v>
      </c>
      <c r="H356" s="3">
        <f>grocery_chain_data[[#This Row],[Quantity]]*grocery_chain_data[[#This Row],[Unit Price]]</f>
        <v>20</v>
      </c>
      <c r="I356" s="3">
        <v>0</v>
      </c>
      <c r="J356" s="3">
        <f>grocery_chain_data[[#This Row],[Total Amount]]-grocery_chain_data[[#This Row],[Discount Amount]]</f>
        <v>20</v>
      </c>
      <c r="K356">
        <v>93</v>
      </c>
      <c r="L356" t="str">
        <f>IF(grocery_chain_data[[#This Row],[Final Amount]]&lt;0,"Return","Sale")</f>
        <v>Sale</v>
      </c>
      <c r="M356">
        <f>IF(grocery_chain_data[[#This Row],[Final Amount]]&lt;0,0,grocery_chain_data[[#This Row],[Final Amount]])</f>
        <v>20</v>
      </c>
    </row>
    <row r="357" spans="1:13" x14ac:dyDescent="0.3">
      <c r="A357">
        <v>1823</v>
      </c>
      <c r="B357" t="s">
        <v>5</v>
      </c>
      <c r="C357" s="1">
        <v>45347</v>
      </c>
      <c r="D357" s="1" t="str">
        <f t="shared" si="5"/>
        <v>Produce</v>
      </c>
      <c r="E357" t="s">
        <v>14</v>
      </c>
      <c r="F357" s="2">
        <v>4</v>
      </c>
      <c r="G357" s="3">
        <v>18</v>
      </c>
      <c r="H357" s="3">
        <f>grocery_chain_data[[#This Row],[Quantity]]*grocery_chain_data[[#This Row],[Unit Price]]</f>
        <v>72</v>
      </c>
      <c r="I357" s="3">
        <v>7</v>
      </c>
      <c r="J357" s="3">
        <f>grocery_chain_data[[#This Row],[Total Amount]]-grocery_chain_data[[#This Row],[Discount Amount]]</f>
        <v>65</v>
      </c>
      <c r="K357">
        <v>294</v>
      </c>
      <c r="L357" t="str">
        <f>IF(grocery_chain_data[[#This Row],[Final Amount]]&lt;0,"Return","Sale")</f>
        <v>Sale</v>
      </c>
      <c r="M357">
        <f>IF(grocery_chain_data[[#This Row],[Final Amount]]&lt;0,0,grocery_chain_data[[#This Row],[Final Amount]])</f>
        <v>65</v>
      </c>
    </row>
    <row r="358" spans="1:13" x14ac:dyDescent="0.3">
      <c r="A358">
        <v>7211</v>
      </c>
      <c r="B358" t="s">
        <v>5</v>
      </c>
      <c r="C358" s="1">
        <v>45399</v>
      </c>
      <c r="D358" s="1" t="str">
        <f t="shared" si="5"/>
        <v>Produce</v>
      </c>
      <c r="E358" t="s">
        <v>4</v>
      </c>
      <c r="F358" s="2">
        <v>2</v>
      </c>
      <c r="G358" s="3">
        <v>17</v>
      </c>
      <c r="H358" s="3">
        <f>grocery_chain_data[[#This Row],[Quantity]]*grocery_chain_data[[#This Row],[Unit Price]]</f>
        <v>34</v>
      </c>
      <c r="I358" s="3">
        <v>7</v>
      </c>
      <c r="J358" s="3">
        <f>grocery_chain_data[[#This Row],[Total Amount]]-grocery_chain_data[[#This Row],[Discount Amount]]</f>
        <v>27</v>
      </c>
      <c r="K358">
        <v>250</v>
      </c>
      <c r="L358" t="str">
        <f>IF(grocery_chain_data[[#This Row],[Final Amount]]&lt;0,"Return","Sale")</f>
        <v>Sale</v>
      </c>
      <c r="M358">
        <f>IF(grocery_chain_data[[#This Row],[Final Amount]]&lt;0,0,grocery_chain_data[[#This Row],[Final Amount]])</f>
        <v>27</v>
      </c>
    </row>
    <row r="359" spans="1:13" x14ac:dyDescent="0.3">
      <c r="A359">
        <v>4467</v>
      </c>
      <c r="B359" t="s">
        <v>5</v>
      </c>
      <c r="C359" s="1">
        <v>45498</v>
      </c>
      <c r="D359" s="1" t="str">
        <f t="shared" si="5"/>
        <v>Meat &amp; Seafood</v>
      </c>
      <c r="E359" t="s">
        <v>15</v>
      </c>
      <c r="F359" s="2">
        <v>5</v>
      </c>
      <c r="G359" s="3">
        <v>3</v>
      </c>
      <c r="H359" s="3">
        <f>grocery_chain_data[[#This Row],[Quantity]]*grocery_chain_data[[#This Row],[Unit Price]]</f>
        <v>15</v>
      </c>
      <c r="I359" s="3">
        <v>1</v>
      </c>
      <c r="J359" s="3">
        <f>grocery_chain_data[[#This Row],[Total Amount]]-grocery_chain_data[[#This Row],[Discount Amount]]</f>
        <v>14</v>
      </c>
      <c r="K359">
        <v>183</v>
      </c>
      <c r="L359" t="str">
        <f>IF(grocery_chain_data[[#This Row],[Final Amount]]&lt;0,"Return","Sale")</f>
        <v>Sale</v>
      </c>
      <c r="M359">
        <f>IF(grocery_chain_data[[#This Row],[Final Amount]]&lt;0,0,grocery_chain_data[[#This Row],[Final Amount]])</f>
        <v>14</v>
      </c>
    </row>
    <row r="360" spans="1:13" x14ac:dyDescent="0.3">
      <c r="A360">
        <v>6355</v>
      </c>
      <c r="B360" t="s">
        <v>5</v>
      </c>
      <c r="C360" s="1">
        <v>45407</v>
      </c>
      <c r="D360" s="1" t="str">
        <f t="shared" si="5"/>
        <v>Produce</v>
      </c>
      <c r="E360" t="s">
        <v>14</v>
      </c>
      <c r="F360" s="2">
        <v>5</v>
      </c>
      <c r="G360" s="3">
        <v>16</v>
      </c>
      <c r="H360" s="3">
        <f>grocery_chain_data[[#This Row],[Quantity]]*grocery_chain_data[[#This Row],[Unit Price]]</f>
        <v>80</v>
      </c>
      <c r="I360" s="3">
        <v>0</v>
      </c>
      <c r="J360" s="3">
        <f>grocery_chain_data[[#This Row],[Total Amount]]-grocery_chain_data[[#This Row],[Discount Amount]]</f>
        <v>80</v>
      </c>
      <c r="K360">
        <v>253</v>
      </c>
      <c r="L360" t="str">
        <f>IF(grocery_chain_data[[#This Row],[Final Amount]]&lt;0,"Return","Sale")</f>
        <v>Sale</v>
      </c>
      <c r="M360">
        <f>IF(grocery_chain_data[[#This Row],[Final Amount]]&lt;0,0,grocery_chain_data[[#This Row],[Final Amount]])</f>
        <v>80</v>
      </c>
    </row>
    <row r="361" spans="1:13" x14ac:dyDescent="0.3">
      <c r="A361">
        <v>7211</v>
      </c>
      <c r="B361" t="s">
        <v>10</v>
      </c>
      <c r="C361" s="1">
        <v>45361</v>
      </c>
      <c r="D361" s="1" t="str">
        <f t="shared" si="5"/>
        <v>Meat &amp; Seafood</v>
      </c>
      <c r="E361" t="s">
        <v>15</v>
      </c>
      <c r="F361" s="2">
        <v>4</v>
      </c>
      <c r="G361" s="3">
        <v>6</v>
      </c>
      <c r="H361" s="3">
        <f>grocery_chain_data[[#This Row],[Quantity]]*grocery_chain_data[[#This Row],[Unit Price]]</f>
        <v>24</v>
      </c>
      <c r="I361" s="3">
        <v>5</v>
      </c>
      <c r="J361" s="3">
        <f>grocery_chain_data[[#This Row],[Total Amount]]-grocery_chain_data[[#This Row],[Discount Amount]]</f>
        <v>19</v>
      </c>
      <c r="K361">
        <v>289</v>
      </c>
      <c r="L361" t="str">
        <f>IF(grocery_chain_data[[#This Row],[Final Amount]]&lt;0,"Return","Sale")</f>
        <v>Sale</v>
      </c>
      <c r="M361">
        <f>IF(grocery_chain_data[[#This Row],[Final Amount]]&lt;0,0,grocery_chain_data[[#This Row],[Final Amount]])</f>
        <v>19</v>
      </c>
    </row>
    <row r="362" spans="1:13" x14ac:dyDescent="0.3">
      <c r="A362">
        <v>7906</v>
      </c>
      <c r="B362" t="s">
        <v>12</v>
      </c>
      <c r="C362" s="1">
        <v>45340</v>
      </c>
      <c r="D362" s="1" t="str">
        <f t="shared" si="5"/>
        <v>Pantry</v>
      </c>
      <c r="E362" t="s">
        <v>1</v>
      </c>
      <c r="F362" s="2">
        <v>2</v>
      </c>
      <c r="G362" s="3">
        <v>17</v>
      </c>
      <c r="H362" s="3">
        <f>grocery_chain_data[[#This Row],[Quantity]]*grocery_chain_data[[#This Row],[Unit Price]]</f>
        <v>34</v>
      </c>
      <c r="I362" s="3">
        <v>4</v>
      </c>
      <c r="J362" s="3">
        <f>grocery_chain_data[[#This Row],[Total Amount]]-grocery_chain_data[[#This Row],[Discount Amount]]</f>
        <v>30</v>
      </c>
      <c r="K362">
        <v>86</v>
      </c>
      <c r="L362" t="str">
        <f>IF(grocery_chain_data[[#This Row],[Final Amount]]&lt;0,"Return","Sale")</f>
        <v>Sale</v>
      </c>
      <c r="M362">
        <f>IF(grocery_chain_data[[#This Row],[Final Amount]]&lt;0,0,grocery_chain_data[[#This Row],[Final Amount]])</f>
        <v>30</v>
      </c>
    </row>
    <row r="363" spans="1:13" x14ac:dyDescent="0.3">
      <c r="A363">
        <v>2341</v>
      </c>
      <c r="B363" t="s">
        <v>10</v>
      </c>
      <c r="C363" s="1">
        <v>45510</v>
      </c>
      <c r="D363" s="1" t="str">
        <f t="shared" si="5"/>
        <v>Produce</v>
      </c>
      <c r="E363" t="s">
        <v>24</v>
      </c>
      <c r="F363" s="2">
        <v>1</v>
      </c>
      <c r="G363" s="3">
        <v>18</v>
      </c>
      <c r="H363" s="3">
        <f>grocery_chain_data[[#This Row],[Quantity]]*grocery_chain_data[[#This Row],[Unit Price]]</f>
        <v>18</v>
      </c>
      <c r="I363" s="3">
        <v>4</v>
      </c>
      <c r="J363" s="3">
        <f>grocery_chain_data[[#This Row],[Total Amount]]-grocery_chain_data[[#This Row],[Discount Amount]]</f>
        <v>14</v>
      </c>
      <c r="K363">
        <v>137</v>
      </c>
      <c r="L363" t="str">
        <f>IF(grocery_chain_data[[#This Row],[Final Amount]]&lt;0,"Return","Sale")</f>
        <v>Sale</v>
      </c>
      <c r="M363">
        <f>IF(grocery_chain_data[[#This Row],[Final Amount]]&lt;0,0,grocery_chain_data[[#This Row],[Final Amount]])</f>
        <v>14</v>
      </c>
    </row>
    <row r="364" spans="1:13" x14ac:dyDescent="0.3">
      <c r="A364">
        <v>1317</v>
      </c>
      <c r="B364" t="s">
        <v>13</v>
      </c>
      <c r="C364" s="1">
        <v>45726</v>
      </c>
      <c r="D364" s="1" t="str">
        <f t="shared" si="5"/>
        <v>Produce</v>
      </c>
      <c r="E364" t="s">
        <v>4</v>
      </c>
      <c r="F364" s="2">
        <v>2</v>
      </c>
      <c r="G364" s="3">
        <v>30</v>
      </c>
      <c r="H364" s="3">
        <f>grocery_chain_data[[#This Row],[Quantity]]*grocery_chain_data[[#This Row],[Unit Price]]</f>
        <v>60</v>
      </c>
      <c r="I364" s="3">
        <v>9</v>
      </c>
      <c r="J364" s="3">
        <f>grocery_chain_data[[#This Row],[Total Amount]]-grocery_chain_data[[#This Row],[Discount Amount]]</f>
        <v>51</v>
      </c>
      <c r="K364">
        <v>52</v>
      </c>
      <c r="L364" t="str">
        <f>IF(grocery_chain_data[[#This Row],[Final Amount]]&lt;0,"Return","Sale")</f>
        <v>Sale</v>
      </c>
      <c r="M364">
        <f>IF(grocery_chain_data[[#This Row],[Final Amount]]&lt;0,0,grocery_chain_data[[#This Row],[Final Amount]])</f>
        <v>51</v>
      </c>
    </row>
    <row r="365" spans="1:13" x14ac:dyDescent="0.3">
      <c r="A365">
        <v>9837</v>
      </c>
      <c r="B365" t="s">
        <v>13</v>
      </c>
      <c r="C365" s="1">
        <v>45185</v>
      </c>
      <c r="D365" s="1" t="str">
        <f t="shared" si="5"/>
        <v>Pantry</v>
      </c>
      <c r="E365" t="s">
        <v>1</v>
      </c>
      <c r="F365" s="2">
        <v>3</v>
      </c>
      <c r="G365" s="3">
        <v>26</v>
      </c>
      <c r="H365" s="3">
        <f>grocery_chain_data[[#This Row],[Quantity]]*grocery_chain_data[[#This Row],[Unit Price]]</f>
        <v>78</v>
      </c>
      <c r="I365" s="3">
        <v>4</v>
      </c>
      <c r="J365" s="3">
        <f>grocery_chain_data[[#This Row],[Total Amount]]-grocery_chain_data[[#This Row],[Discount Amount]]</f>
        <v>74</v>
      </c>
      <c r="K365">
        <v>44</v>
      </c>
      <c r="L365" t="str">
        <f>IF(grocery_chain_data[[#This Row],[Final Amount]]&lt;0,"Return","Sale")</f>
        <v>Sale</v>
      </c>
      <c r="M365">
        <f>IF(grocery_chain_data[[#This Row],[Final Amount]]&lt;0,0,grocery_chain_data[[#This Row],[Final Amount]])</f>
        <v>74</v>
      </c>
    </row>
    <row r="366" spans="1:13" x14ac:dyDescent="0.3">
      <c r="A366">
        <v>6733</v>
      </c>
      <c r="B366" t="s">
        <v>21</v>
      </c>
      <c r="C366" s="1">
        <v>45319</v>
      </c>
      <c r="D366" s="1" t="str">
        <f t="shared" si="5"/>
        <v>Beverages</v>
      </c>
      <c r="E366" t="s">
        <v>7</v>
      </c>
      <c r="F366" s="2">
        <v>5</v>
      </c>
      <c r="G366" s="3">
        <v>19</v>
      </c>
      <c r="H366" s="3">
        <f>grocery_chain_data[[#This Row],[Quantity]]*grocery_chain_data[[#This Row],[Unit Price]]</f>
        <v>95</v>
      </c>
      <c r="I366" s="3">
        <v>19</v>
      </c>
      <c r="J366" s="3">
        <f>grocery_chain_data[[#This Row],[Total Amount]]-grocery_chain_data[[#This Row],[Discount Amount]]</f>
        <v>76</v>
      </c>
      <c r="K366">
        <v>84</v>
      </c>
      <c r="L366" t="str">
        <f>IF(grocery_chain_data[[#This Row],[Final Amount]]&lt;0,"Return","Sale")</f>
        <v>Sale</v>
      </c>
      <c r="M366">
        <f>IF(grocery_chain_data[[#This Row],[Final Amount]]&lt;0,0,grocery_chain_data[[#This Row],[Final Amount]])</f>
        <v>76</v>
      </c>
    </row>
    <row r="367" spans="1:13" x14ac:dyDescent="0.3">
      <c r="A367">
        <v>2124</v>
      </c>
      <c r="B367" t="s">
        <v>21</v>
      </c>
      <c r="C367" s="1">
        <v>45751</v>
      </c>
      <c r="D367" s="1" t="str">
        <f t="shared" si="5"/>
        <v>Beverages</v>
      </c>
      <c r="E367" t="s">
        <v>7</v>
      </c>
      <c r="F367" s="2">
        <v>5</v>
      </c>
      <c r="G367" s="3">
        <v>9</v>
      </c>
      <c r="H367" s="3">
        <f>grocery_chain_data[[#This Row],[Quantity]]*grocery_chain_data[[#This Row],[Unit Price]]</f>
        <v>45</v>
      </c>
      <c r="I367" s="3">
        <v>7</v>
      </c>
      <c r="J367" s="3">
        <f>grocery_chain_data[[#This Row],[Total Amount]]-grocery_chain_data[[#This Row],[Discount Amount]]</f>
        <v>38</v>
      </c>
      <c r="K367">
        <v>275</v>
      </c>
      <c r="L367" t="str">
        <f>IF(grocery_chain_data[[#This Row],[Final Amount]]&lt;0,"Return","Sale")</f>
        <v>Sale</v>
      </c>
      <c r="M367">
        <f>IF(grocery_chain_data[[#This Row],[Final Amount]]&lt;0,0,grocery_chain_data[[#This Row],[Final Amount]])</f>
        <v>38</v>
      </c>
    </row>
    <row r="368" spans="1:13" x14ac:dyDescent="0.3">
      <c r="A368">
        <v>1659</v>
      </c>
      <c r="B368" t="s">
        <v>12</v>
      </c>
      <c r="C368" s="1">
        <v>45730</v>
      </c>
      <c r="D368" s="1" t="str">
        <f t="shared" si="5"/>
        <v>Pantry</v>
      </c>
      <c r="E368" t="s">
        <v>1</v>
      </c>
      <c r="F368" s="2">
        <v>5</v>
      </c>
      <c r="G368" s="3">
        <v>30</v>
      </c>
      <c r="H368" s="3">
        <f>grocery_chain_data[[#This Row],[Quantity]]*grocery_chain_data[[#This Row],[Unit Price]]</f>
        <v>150</v>
      </c>
      <c r="I368" s="3">
        <v>30</v>
      </c>
      <c r="J368" s="3">
        <f>grocery_chain_data[[#This Row],[Total Amount]]-grocery_chain_data[[#This Row],[Discount Amount]]</f>
        <v>120</v>
      </c>
      <c r="K368">
        <v>347</v>
      </c>
      <c r="L368" t="str">
        <f>IF(grocery_chain_data[[#This Row],[Final Amount]]&lt;0,"Return","Sale")</f>
        <v>Sale</v>
      </c>
      <c r="M368">
        <f>IF(grocery_chain_data[[#This Row],[Final Amount]]&lt;0,0,grocery_chain_data[[#This Row],[Final Amount]])</f>
        <v>120</v>
      </c>
    </row>
    <row r="369" spans="1:13" x14ac:dyDescent="0.3">
      <c r="A369">
        <v>1508</v>
      </c>
      <c r="B369" t="s">
        <v>8</v>
      </c>
      <c r="C369" s="1">
        <v>45337</v>
      </c>
      <c r="D369" s="1" t="str">
        <f t="shared" si="5"/>
        <v>Pantry</v>
      </c>
      <c r="E369" t="s">
        <v>1</v>
      </c>
      <c r="F369" s="2">
        <v>2</v>
      </c>
      <c r="G369" s="3">
        <v>21</v>
      </c>
      <c r="H369" s="3">
        <f>grocery_chain_data[[#This Row],[Quantity]]*grocery_chain_data[[#This Row],[Unit Price]]</f>
        <v>42</v>
      </c>
      <c r="I369" s="3">
        <v>9</v>
      </c>
      <c r="J369" s="3">
        <f>grocery_chain_data[[#This Row],[Total Amount]]-grocery_chain_data[[#This Row],[Discount Amount]]</f>
        <v>33</v>
      </c>
      <c r="K369">
        <v>67</v>
      </c>
      <c r="L369" t="str">
        <f>IF(grocery_chain_data[[#This Row],[Final Amount]]&lt;0,"Return","Sale")</f>
        <v>Sale</v>
      </c>
      <c r="M369">
        <f>IF(grocery_chain_data[[#This Row],[Final Amount]]&lt;0,0,grocery_chain_data[[#This Row],[Final Amount]])</f>
        <v>33</v>
      </c>
    </row>
    <row r="370" spans="1:13" x14ac:dyDescent="0.3">
      <c r="A370">
        <v>4266</v>
      </c>
      <c r="B370" t="s">
        <v>16</v>
      </c>
      <c r="C370" s="1">
        <v>45796</v>
      </c>
      <c r="D370" s="1" t="str">
        <f t="shared" si="5"/>
        <v>Produce</v>
      </c>
      <c r="E370" t="s">
        <v>14</v>
      </c>
      <c r="F370" s="2">
        <v>4</v>
      </c>
      <c r="G370" s="3">
        <v>5</v>
      </c>
      <c r="H370" s="3">
        <f>grocery_chain_data[[#This Row],[Quantity]]*grocery_chain_data[[#This Row],[Unit Price]]</f>
        <v>20</v>
      </c>
      <c r="I370" s="3">
        <v>0</v>
      </c>
      <c r="J370" s="3">
        <f>grocery_chain_data[[#This Row],[Total Amount]]-grocery_chain_data[[#This Row],[Discount Amount]]</f>
        <v>20</v>
      </c>
      <c r="K370">
        <v>323</v>
      </c>
      <c r="L370" t="str">
        <f>IF(grocery_chain_data[[#This Row],[Final Amount]]&lt;0,"Return","Sale")</f>
        <v>Sale</v>
      </c>
      <c r="M370">
        <f>IF(grocery_chain_data[[#This Row],[Final Amount]]&lt;0,0,grocery_chain_data[[#This Row],[Final Amount]])</f>
        <v>20</v>
      </c>
    </row>
    <row r="371" spans="1:13" x14ac:dyDescent="0.3">
      <c r="A371">
        <v>1333</v>
      </c>
      <c r="B371" t="s">
        <v>8</v>
      </c>
      <c r="C371" s="1">
        <v>45627</v>
      </c>
      <c r="D371" s="1" t="str">
        <f t="shared" si="5"/>
        <v>Meat &amp; Seafood</v>
      </c>
      <c r="E371" t="s">
        <v>15</v>
      </c>
      <c r="F371" s="2">
        <v>1</v>
      </c>
      <c r="G371" s="3">
        <v>19</v>
      </c>
      <c r="H371" s="3">
        <f>grocery_chain_data[[#This Row],[Quantity]]*grocery_chain_data[[#This Row],[Unit Price]]</f>
        <v>19</v>
      </c>
      <c r="I371" s="3">
        <v>2</v>
      </c>
      <c r="J371" s="3">
        <f>grocery_chain_data[[#This Row],[Total Amount]]-grocery_chain_data[[#This Row],[Discount Amount]]</f>
        <v>17</v>
      </c>
      <c r="K371">
        <v>450</v>
      </c>
      <c r="L371" t="str">
        <f>IF(grocery_chain_data[[#This Row],[Final Amount]]&lt;0,"Return","Sale")</f>
        <v>Sale</v>
      </c>
      <c r="M371">
        <f>IF(grocery_chain_data[[#This Row],[Final Amount]]&lt;0,0,grocery_chain_data[[#This Row],[Final Amount]])</f>
        <v>17</v>
      </c>
    </row>
    <row r="372" spans="1:13" x14ac:dyDescent="0.3">
      <c r="A372">
        <v>3496</v>
      </c>
      <c r="B372" t="s">
        <v>2</v>
      </c>
      <c r="C372" s="1">
        <v>45330</v>
      </c>
      <c r="D372" s="1" t="str">
        <f t="shared" si="5"/>
        <v>Beverages</v>
      </c>
      <c r="E372" t="s">
        <v>7</v>
      </c>
      <c r="F372" s="2">
        <v>4</v>
      </c>
      <c r="G372" s="3">
        <v>29</v>
      </c>
      <c r="H372" s="3">
        <f>grocery_chain_data[[#This Row],[Quantity]]*grocery_chain_data[[#This Row],[Unit Price]]</f>
        <v>116</v>
      </c>
      <c r="I372" s="3">
        <v>0</v>
      </c>
      <c r="J372" s="3">
        <f>grocery_chain_data[[#This Row],[Total Amount]]-grocery_chain_data[[#This Row],[Discount Amount]]</f>
        <v>116</v>
      </c>
      <c r="K372">
        <v>167</v>
      </c>
      <c r="L372" t="str">
        <f>IF(grocery_chain_data[[#This Row],[Final Amount]]&lt;0,"Return","Sale")</f>
        <v>Sale</v>
      </c>
      <c r="M372">
        <f>IF(grocery_chain_data[[#This Row],[Final Amount]]&lt;0,0,grocery_chain_data[[#This Row],[Final Amount]])</f>
        <v>116</v>
      </c>
    </row>
    <row r="373" spans="1:13" x14ac:dyDescent="0.3">
      <c r="A373">
        <v>3068</v>
      </c>
      <c r="B373" t="s">
        <v>0</v>
      </c>
      <c r="C373" s="1">
        <v>45512</v>
      </c>
      <c r="D373" s="1" t="str">
        <f t="shared" si="5"/>
        <v>Beverages</v>
      </c>
      <c r="E373" t="s">
        <v>7</v>
      </c>
      <c r="F373" s="2">
        <v>1</v>
      </c>
      <c r="G373" s="3">
        <v>24</v>
      </c>
      <c r="H373" s="3">
        <f>grocery_chain_data[[#This Row],[Quantity]]*grocery_chain_data[[#This Row],[Unit Price]]</f>
        <v>24</v>
      </c>
      <c r="I373" s="3">
        <v>2</v>
      </c>
      <c r="J373" s="3">
        <f>grocery_chain_data[[#This Row],[Total Amount]]-grocery_chain_data[[#This Row],[Discount Amount]]</f>
        <v>22</v>
      </c>
      <c r="K373">
        <v>203</v>
      </c>
      <c r="L373" t="str">
        <f>IF(grocery_chain_data[[#This Row],[Final Amount]]&lt;0,"Return","Sale")</f>
        <v>Sale</v>
      </c>
      <c r="M373">
        <f>IF(grocery_chain_data[[#This Row],[Final Amount]]&lt;0,0,grocery_chain_data[[#This Row],[Final Amount]])</f>
        <v>22</v>
      </c>
    </row>
    <row r="374" spans="1:13" x14ac:dyDescent="0.3">
      <c r="A374">
        <v>2874</v>
      </c>
      <c r="B374" t="s">
        <v>21</v>
      </c>
      <c r="C374" s="1">
        <v>45583</v>
      </c>
      <c r="D374" s="1" t="str">
        <f t="shared" si="5"/>
        <v>Pantry</v>
      </c>
      <c r="E374" t="s">
        <v>1</v>
      </c>
      <c r="F374" s="2">
        <v>3</v>
      </c>
      <c r="G374" s="3">
        <v>25</v>
      </c>
      <c r="H374" s="3">
        <f>grocery_chain_data[[#This Row],[Quantity]]*grocery_chain_data[[#This Row],[Unit Price]]</f>
        <v>75</v>
      </c>
      <c r="I374" s="3">
        <v>4</v>
      </c>
      <c r="J374" s="3">
        <f>grocery_chain_data[[#This Row],[Total Amount]]-grocery_chain_data[[#This Row],[Discount Amount]]</f>
        <v>71</v>
      </c>
      <c r="K374">
        <v>172</v>
      </c>
      <c r="L374" t="str">
        <f>IF(grocery_chain_data[[#This Row],[Final Amount]]&lt;0,"Return","Sale")</f>
        <v>Sale</v>
      </c>
      <c r="M374">
        <f>IF(grocery_chain_data[[#This Row],[Final Amount]]&lt;0,0,grocery_chain_data[[#This Row],[Final Amount]])</f>
        <v>71</v>
      </c>
    </row>
    <row r="375" spans="1:13" x14ac:dyDescent="0.3">
      <c r="A375">
        <v>4571</v>
      </c>
      <c r="B375" t="s">
        <v>16</v>
      </c>
      <c r="C375" s="1">
        <v>45506</v>
      </c>
      <c r="D375" s="1" t="str">
        <f t="shared" si="5"/>
        <v>Dairy</v>
      </c>
      <c r="E375" t="s">
        <v>19</v>
      </c>
      <c r="F375" s="2">
        <v>1</v>
      </c>
      <c r="G375" s="3">
        <v>4</v>
      </c>
      <c r="H375" s="3">
        <f>grocery_chain_data[[#This Row],[Quantity]]*grocery_chain_data[[#This Row],[Unit Price]]</f>
        <v>4</v>
      </c>
      <c r="I375" s="3">
        <v>2</v>
      </c>
      <c r="J375" s="3">
        <f>grocery_chain_data[[#This Row],[Total Amount]]-grocery_chain_data[[#This Row],[Discount Amount]]</f>
        <v>2</v>
      </c>
      <c r="K375">
        <v>401</v>
      </c>
      <c r="L375" t="str">
        <f>IF(grocery_chain_data[[#This Row],[Final Amount]]&lt;0,"Return","Sale")</f>
        <v>Sale</v>
      </c>
      <c r="M375">
        <f>IF(grocery_chain_data[[#This Row],[Final Amount]]&lt;0,0,grocery_chain_data[[#This Row],[Final Amount]])</f>
        <v>2</v>
      </c>
    </row>
    <row r="376" spans="1:13" x14ac:dyDescent="0.3">
      <c r="A376">
        <v>5198</v>
      </c>
      <c r="B376" t="s">
        <v>5</v>
      </c>
      <c r="C376" s="1">
        <v>45740</v>
      </c>
      <c r="D376" s="1" t="str">
        <f t="shared" si="5"/>
        <v>Meat &amp; Seafood</v>
      </c>
      <c r="E376" t="s">
        <v>15</v>
      </c>
      <c r="F376" s="2">
        <v>1</v>
      </c>
      <c r="G376" s="3">
        <v>30</v>
      </c>
      <c r="H376" s="3">
        <f>grocery_chain_data[[#This Row],[Quantity]]*grocery_chain_data[[#This Row],[Unit Price]]</f>
        <v>30</v>
      </c>
      <c r="I376" s="3">
        <v>0</v>
      </c>
      <c r="J376" s="3">
        <f>grocery_chain_data[[#This Row],[Total Amount]]-grocery_chain_data[[#This Row],[Discount Amount]]</f>
        <v>30</v>
      </c>
      <c r="K376">
        <v>219</v>
      </c>
      <c r="L376" t="str">
        <f>IF(grocery_chain_data[[#This Row],[Final Amount]]&lt;0,"Return","Sale")</f>
        <v>Sale</v>
      </c>
      <c r="M376">
        <f>IF(grocery_chain_data[[#This Row],[Final Amount]]&lt;0,0,grocery_chain_data[[#This Row],[Final Amount]])</f>
        <v>30</v>
      </c>
    </row>
    <row r="377" spans="1:13" x14ac:dyDescent="0.3">
      <c r="A377">
        <v>7043</v>
      </c>
      <c r="B377" t="s">
        <v>5</v>
      </c>
      <c r="C377" s="1">
        <v>45275</v>
      </c>
      <c r="D377" s="1" t="str">
        <f t="shared" si="5"/>
        <v>Produce</v>
      </c>
      <c r="E377" t="s">
        <v>17</v>
      </c>
      <c r="F377" s="2">
        <v>2</v>
      </c>
      <c r="G377" s="3">
        <v>26</v>
      </c>
      <c r="H377" s="3">
        <f>grocery_chain_data[[#This Row],[Quantity]]*grocery_chain_data[[#This Row],[Unit Price]]</f>
        <v>52</v>
      </c>
      <c r="I377" s="3">
        <v>4</v>
      </c>
      <c r="J377" s="3">
        <f>grocery_chain_data[[#This Row],[Total Amount]]-grocery_chain_data[[#This Row],[Discount Amount]]</f>
        <v>48</v>
      </c>
      <c r="K377">
        <v>448</v>
      </c>
      <c r="L377" t="str">
        <f>IF(grocery_chain_data[[#This Row],[Final Amount]]&lt;0,"Return","Sale")</f>
        <v>Sale</v>
      </c>
      <c r="M377">
        <f>IF(grocery_chain_data[[#This Row],[Final Amount]]&lt;0,0,grocery_chain_data[[#This Row],[Final Amount]])</f>
        <v>48</v>
      </c>
    </row>
    <row r="378" spans="1:13" x14ac:dyDescent="0.3">
      <c r="A378">
        <v>2876</v>
      </c>
      <c r="B378" t="s">
        <v>12</v>
      </c>
      <c r="C378" s="1">
        <v>45749</v>
      </c>
      <c r="D378" s="1" t="str">
        <f t="shared" si="5"/>
        <v>Beverages</v>
      </c>
      <c r="E378" t="s">
        <v>7</v>
      </c>
      <c r="F378" s="2">
        <v>2</v>
      </c>
      <c r="G378" s="3">
        <v>2</v>
      </c>
      <c r="H378" s="3">
        <f>grocery_chain_data[[#This Row],[Quantity]]*grocery_chain_data[[#This Row],[Unit Price]]</f>
        <v>4</v>
      </c>
      <c r="I378" s="3">
        <v>0</v>
      </c>
      <c r="J378" s="3">
        <f>grocery_chain_data[[#This Row],[Total Amount]]-grocery_chain_data[[#This Row],[Discount Amount]]</f>
        <v>4</v>
      </c>
      <c r="K378">
        <v>320</v>
      </c>
      <c r="L378" t="str">
        <f>IF(grocery_chain_data[[#This Row],[Final Amount]]&lt;0,"Return","Sale")</f>
        <v>Sale</v>
      </c>
      <c r="M378">
        <f>IF(grocery_chain_data[[#This Row],[Final Amount]]&lt;0,0,grocery_chain_data[[#This Row],[Final Amount]])</f>
        <v>4</v>
      </c>
    </row>
    <row r="379" spans="1:13" x14ac:dyDescent="0.3">
      <c r="A379">
        <v>3683</v>
      </c>
      <c r="B379" t="s">
        <v>21</v>
      </c>
      <c r="C379" s="1">
        <v>45386</v>
      </c>
      <c r="D379" s="1" t="str">
        <f t="shared" si="5"/>
        <v>Bakery</v>
      </c>
      <c r="E379" t="s">
        <v>22</v>
      </c>
      <c r="F379" s="2">
        <v>1</v>
      </c>
      <c r="G379" s="3">
        <v>1</v>
      </c>
      <c r="H379" s="3">
        <f>grocery_chain_data[[#This Row],[Quantity]]*grocery_chain_data[[#This Row],[Unit Price]]</f>
        <v>1</v>
      </c>
      <c r="I379" s="3">
        <v>0</v>
      </c>
      <c r="J379" s="3">
        <f>grocery_chain_data[[#This Row],[Total Amount]]-grocery_chain_data[[#This Row],[Discount Amount]]</f>
        <v>1</v>
      </c>
      <c r="K379">
        <v>244</v>
      </c>
      <c r="L379" t="str">
        <f>IF(grocery_chain_data[[#This Row],[Final Amount]]&lt;0,"Return","Sale")</f>
        <v>Sale</v>
      </c>
      <c r="M379">
        <f>IF(grocery_chain_data[[#This Row],[Final Amount]]&lt;0,0,grocery_chain_data[[#This Row],[Final Amount]])</f>
        <v>1</v>
      </c>
    </row>
    <row r="380" spans="1:13" x14ac:dyDescent="0.3">
      <c r="A380">
        <v>2771</v>
      </c>
      <c r="B380" t="s">
        <v>21</v>
      </c>
      <c r="C380" s="1">
        <v>45594</v>
      </c>
      <c r="D380" s="1" t="str">
        <f t="shared" si="5"/>
        <v>Meat &amp; Seafood</v>
      </c>
      <c r="E380" t="s">
        <v>15</v>
      </c>
      <c r="F380" s="2">
        <v>1</v>
      </c>
      <c r="G380" s="3">
        <v>1</v>
      </c>
      <c r="H380" s="3">
        <f>grocery_chain_data[[#This Row],[Quantity]]*grocery_chain_data[[#This Row],[Unit Price]]</f>
        <v>1</v>
      </c>
      <c r="I380" s="3">
        <v>0</v>
      </c>
      <c r="J380" s="3">
        <f>grocery_chain_data[[#This Row],[Total Amount]]-grocery_chain_data[[#This Row],[Discount Amount]]</f>
        <v>1</v>
      </c>
      <c r="K380">
        <v>175</v>
      </c>
      <c r="L380" t="str">
        <f>IF(grocery_chain_data[[#This Row],[Final Amount]]&lt;0,"Return","Sale")</f>
        <v>Sale</v>
      </c>
      <c r="M380">
        <f>IF(grocery_chain_data[[#This Row],[Final Amount]]&lt;0,0,grocery_chain_data[[#This Row],[Final Amount]])</f>
        <v>1</v>
      </c>
    </row>
    <row r="381" spans="1:13" x14ac:dyDescent="0.3">
      <c r="A381">
        <v>1420</v>
      </c>
      <c r="B381" t="s">
        <v>5</v>
      </c>
      <c r="C381" s="1">
        <v>45866</v>
      </c>
      <c r="D381" s="1" t="str">
        <f t="shared" si="5"/>
        <v>Bakery</v>
      </c>
      <c r="E381" t="s">
        <v>22</v>
      </c>
      <c r="F381" s="2">
        <v>2</v>
      </c>
      <c r="G381" s="3">
        <v>12</v>
      </c>
      <c r="H381" s="3">
        <f>grocery_chain_data[[#This Row],[Quantity]]*grocery_chain_data[[#This Row],[Unit Price]]</f>
        <v>24</v>
      </c>
      <c r="I381" s="3">
        <v>2</v>
      </c>
      <c r="J381" s="3">
        <f>grocery_chain_data[[#This Row],[Total Amount]]-grocery_chain_data[[#This Row],[Discount Amount]]</f>
        <v>22</v>
      </c>
      <c r="K381">
        <v>374</v>
      </c>
      <c r="L381" t="str">
        <f>IF(grocery_chain_data[[#This Row],[Final Amount]]&lt;0,"Return","Sale")</f>
        <v>Sale</v>
      </c>
      <c r="M381">
        <f>IF(grocery_chain_data[[#This Row],[Final Amount]]&lt;0,0,grocery_chain_data[[#This Row],[Final Amount]])</f>
        <v>22</v>
      </c>
    </row>
    <row r="382" spans="1:13" x14ac:dyDescent="0.3">
      <c r="A382">
        <v>6111</v>
      </c>
      <c r="B382" t="s">
        <v>12</v>
      </c>
      <c r="C382" s="1">
        <v>45592</v>
      </c>
      <c r="D382" s="1" t="str">
        <f t="shared" si="5"/>
        <v>Produce</v>
      </c>
      <c r="E382" t="s">
        <v>14</v>
      </c>
      <c r="F382" s="2">
        <v>2</v>
      </c>
      <c r="G382" s="3">
        <v>20</v>
      </c>
      <c r="H382" s="3">
        <f>grocery_chain_data[[#This Row],[Quantity]]*grocery_chain_data[[#This Row],[Unit Price]]</f>
        <v>40</v>
      </c>
      <c r="I382" s="3">
        <v>3</v>
      </c>
      <c r="J382" s="3">
        <f>grocery_chain_data[[#This Row],[Total Amount]]-grocery_chain_data[[#This Row],[Discount Amount]]</f>
        <v>37</v>
      </c>
      <c r="K382">
        <v>346</v>
      </c>
      <c r="L382" t="str">
        <f>IF(grocery_chain_data[[#This Row],[Final Amount]]&lt;0,"Return","Sale")</f>
        <v>Sale</v>
      </c>
      <c r="M382">
        <f>IF(grocery_chain_data[[#This Row],[Final Amount]]&lt;0,0,grocery_chain_data[[#This Row],[Final Amount]])</f>
        <v>37</v>
      </c>
    </row>
    <row r="383" spans="1:13" x14ac:dyDescent="0.3">
      <c r="A383">
        <v>7149</v>
      </c>
      <c r="B383" t="s">
        <v>13</v>
      </c>
      <c r="C383" s="1">
        <v>45453</v>
      </c>
      <c r="D383" s="1" t="str">
        <f t="shared" si="5"/>
        <v>Produce</v>
      </c>
      <c r="E383" t="s">
        <v>11</v>
      </c>
      <c r="F383" s="2">
        <v>4</v>
      </c>
      <c r="G383" s="3">
        <v>11</v>
      </c>
      <c r="H383" s="3">
        <f>grocery_chain_data[[#This Row],[Quantity]]*grocery_chain_data[[#This Row],[Unit Price]]</f>
        <v>44</v>
      </c>
      <c r="I383" s="3">
        <v>4</v>
      </c>
      <c r="J383" s="3">
        <f>grocery_chain_data[[#This Row],[Total Amount]]-grocery_chain_data[[#This Row],[Discount Amount]]</f>
        <v>40</v>
      </c>
      <c r="K383">
        <v>109</v>
      </c>
      <c r="L383" t="str">
        <f>IF(grocery_chain_data[[#This Row],[Final Amount]]&lt;0,"Return","Sale")</f>
        <v>Sale</v>
      </c>
      <c r="M383">
        <f>IF(grocery_chain_data[[#This Row],[Final Amount]]&lt;0,0,grocery_chain_data[[#This Row],[Final Amount]])</f>
        <v>40</v>
      </c>
    </row>
    <row r="384" spans="1:13" x14ac:dyDescent="0.3">
      <c r="A384">
        <v>4249</v>
      </c>
      <c r="B384" t="s">
        <v>10</v>
      </c>
      <c r="C384" s="1">
        <v>45204</v>
      </c>
      <c r="D384" s="1" t="str">
        <f t="shared" si="5"/>
        <v>Bakery</v>
      </c>
      <c r="E384" t="s">
        <v>22</v>
      </c>
      <c r="F384" s="2">
        <v>1</v>
      </c>
      <c r="G384" s="3">
        <v>5</v>
      </c>
      <c r="H384" s="3">
        <f>grocery_chain_data[[#This Row],[Quantity]]*grocery_chain_data[[#This Row],[Unit Price]]</f>
        <v>5</v>
      </c>
      <c r="I384" s="3">
        <v>1</v>
      </c>
      <c r="J384" s="3">
        <f>grocery_chain_data[[#This Row],[Total Amount]]-grocery_chain_data[[#This Row],[Discount Amount]]</f>
        <v>4</v>
      </c>
      <c r="K384">
        <v>63</v>
      </c>
      <c r="L384" t="str">
        <f>IF(grocery_chain_data[[#This Row],[Final Amount]]&lt;0,"Return","Sale")</f>
        <v>Sale</v>
      </c>
      <c r="M384">
        <f>IF(grocery_chain_data[[#This Row],[Final Amount]]&lt;0,0,grocery_chain_data[[#This Row],[Final Amount]])</f>
        <v>4</v>
      </c>
    </row>
    <row r="385" spans="1:13" x14ac:dyDescent="0.3">
      <c r="A385">
        <v>4978</v>
      </c>
      <c r="B385" t="s">
        <v>8</v>
      </c>
      <c r="C385" s="1">
        <v>45224</v>
      </c>
      <c r="D385" s="1" t="str">
        <f t="shared" si="5"/>
        <v>Dairy</v>
      </c>
      <c r="E385" t="s">
        <v>20</v>
      </c>
      <c r="F385" s="2">
        <v>2</v>
      </c>
      <c r="G385" s="3">
        <v>9</v>
      </c>
      <c r="H385" s="3">
        <f>grocery_chain_data[[#This Row],[Quantity]]*grocery_chain_data[[#This Row],[Unit Price]]</f>
        <v>18</v>
      </c>
      <c r="I385" s="3">
        <v>3</v>
      </c>
      <c r="J385" s="3">
        <f>grocery_chain_data[[#This Row],[Total Amount]]-grocery_chain_data[[#This Row],[Discount Amount]]</f>
        <v>15</v>
      </c>
      <c r="K385">
        <v>43</v>
      </c>
      <c r="L385" t="str">
        <f>IF(grocery_chain_data[[#This Row],[Final Amount]]&lt;0,"Return","Sale")</f>
        <v>Sale</v>
      </c>
      <c r="M385">
        <f>IF(grocery_chain_data[[#This Row],[Final Amount]]&lt;0,0,grocery_chain_data[[#This Row],[Final Amount]])</f>
        <v>15</v>
      </c>
    </row>
    <row r="386" spans="1:13" x14ac:dyDescent="0.3">
      <c r="A386">
        <v>5941</v>
      </c>
      <c r="B386" t="s">
        <v>12</v>
      </c>
      <c r="C386" s="1">
        <v>45805</v>
      </c>
      <c r="D386" s="1" t="str">
        <f t="shared" ref="D386:D449" si="6">IF(E386="Pasta","Pantry",
IF(E386="Cheese","Dairy",
IF(E386="Onions","Produce",
IF(E386="Cereal","Pantry",
IF(E386="Orange Juice","Beverages",
IF(E386="Ground Beef","Meat &amp; Seafood",
IF(E386="Apples","Produce",
IF(E386="Milk","Dairy",
IF(E386="Bananas","Produce",
IF(E386="Bread","Bakery",
IF(E386="Carrots","Produce",
IF(E386="Chicken Breast","Meat &amp; Seafood",
IF(E386="Eggs","Dairy",
IF(E386="Potatoes","Produce",
IF(E386="Rice","Produce",
IF(E386="Salmon","Meat &amp; Seafood",
IF(E386="Tomatoes","Produce",
IF(E386="Yogurt","Dairy",
"Others"))))))))))))))))))</f>
        <v>Produce</v>
      </c>
      <c r="E386" t="s">
        <v>17</v>
      </c>
      <c r="F386" s="2">
        <v>2</v>
      </c>
      <c r="G386" s="3">
        <v>16</v>
      </c>
      <c r="H386" s="3">
        <f>grocery_chain_data[[#This Row],[Quantity]]*grocery_chain_data[[#This Row],[Unit Price]]</f>
        <v>32</v>
      </c>
      <c r="I386" s="3">
        <v>0</v>
      </c>
      <c r="J386" s="3">
        <f>grocery_chain_data[[#This Row],[Total Amount]]-grocery_chain_data[[#This Row],[Discount Amount]]</f>
        <v>32</v>
      </c>
      <c r="K386">
        <v>260</v>
      </c>
      <c r="L386" t="str">
        <f>IF(grocery_chain_data[[#This Row],[Final Amount]]&lt;0,"Return","Sale")</f>
        <v>Sale</v>
      </c>
      <c r="M386">
        <f>IF(grocery_chain_data[[#This Row],[Final Amount]]&lt;0,0,grocery_chain_data[[#This Row],[Final Amount]])</f>
        <v>32</v>
      </c>
    </row>
    <row r="387" spans="1:13" x14ac:dyDescent="0.3">
      <c r="A387">
        <v>2983</v>
      </c>
      <c r="B387" t="s">
        <v>27</v>
      </c>
      <c r="C387" s="1">
        <v>45763</v>
      </c>
      <c r="D387" s="1" t="str">
        <f t="shared" si="6"/>
        <v>Dairy</v>
      </c>
      <c r="E387" t="s">
        <v>19</v>
      </c>
      <c r="F387" s="2">
        <v>2</v>
      </c>
      <c r="G387" s="3">
        <v>15</v>
      </c>
      <c r="H387" s="3">
        <f>grocery_chain_data[[#This Row],[Quantity]]*grocery_chain_data[[#This Row],[Unit Price]]</f>
        <v>30</v>
      </c>
      <c r="I387" s="3">
        <v>3</v>
      </c>
      <c r="J387" s="3">
        <f>grocery_chain_data[[#This Row],[Total Amount]]-grocery_chain_data[[#This Row],[Discount Amount]]</f>
        <v>27</v>
      </c>
      <c r="K387">
        <v>57</v>
      </c>
      <c r="L387" t="str">
        <f>IF(grocery_chain_data[[#This Row],[Final Amount]]&lt;0,"Return","Sale")</f>
        <v>Sale</v>
      </c>
      <c r="M387">
        <f>IF(grocery_chain_data[[#This Row],[Final Amount]]&lt;0,0,grocery_chain_data[[#This Row],[Final Amount]])</f>
        <v>27</v>
      </c>
    </row>
    <row r="388" spans="1:13" x14ac:dyDescent="0.3">
      <c r="A388">
        <v>1672</v>
      </c>
      <c r="B388" t="s">
        <v>0</v>
      </c>
      <c r="C388" s="1">
        <v>45414</v>
      </c>
      <c r="D388" s="1" t="str">
        <f t="shared" si="6"/>
        <v>Produce</v>
      </c>
      <c r="E388" t="s">
        <v>18</v>
      </c>
      <c r="F388" s="2">
        <v>3</v>
      </c>
      <c r="G388" s="3">
        <v>28</v>
      </c>
      <c r="H388" s="3">
        <f>grocery_chain_data[[#This Row],[Quantity]]*grocery_chain_data[[#This Row],[Unit Price]]</f>
        <v>84</v>
      </c>
      <c r="I388" s="3">
        <v>3</v>
      </c>
      <c r="J388" s="3">
        <f>grocery_chain_data[[#This Row],[Total Amount]]-grocery_chain_data[[#This Row],[Discount Amount]]</f>
        <v>81</v>
      </c>
      <c r="K388">
        <v>67</v>
      </c>
      <c r="L388" t="str">
        <f>IF(grocery_chain_data[[#This Row],[Final Amount]]&lt;0,"Return","Sale")</f>
        <v>Sale</v>
      </c>
      <c r="M388">
        <f>IF(grocery_chain_data[[#This Row],[Final Amount]]&lt;0,0,grocery_chain_data[[#This Row],[Final Amount]])</f>
        <v>81</v>
      </c>
    </row>
    <row r="389" spans="1:13" x14ac:dyDescent="0.3">
      <c r="A389">
        <v>9728</v>
      </c>
      <c r="B389" t="s">
        <v>2</v>
      </c>
      <c r="C389" s="1">
        <v>45477</v>
      </c>
      <c r="D389" s="1" t="str">
        <f t="shared" si="6"/>
        <v>Produce</v>
      </c>
      <c r="E389" t="s">
        <v>11</v>
      </c>
      <c r="F389" s="2">
        <v>4</v>
      </c>
      <c r="G389" s="3">
        <v>29</v>
      </c>
      <c r="H389" s="3">
        <f>grocery_chain_data[[#This Row],[Quantity]]*grocery_chain_data[[#This Row],[Unit Price]]</f>
        <v>116</v>
      </c>
      <c r="I389" s="3">
        <v>3</v>
      </c>
      <c r="J389" s="3">
        <f>grocery_chain_data[[#This Row],[Total Amount]]-grocery_chain_data[[#This Row],[Discount Amount]]</f>
        <v>113</v>
      </c>
      <c r="K389">
        <v>394</v>
      </c>
      <c r="L389" t="str">
        <f>IF(grocery_chain_data[[#This Row],[Final Amount]]&lt;0,"Return","Sale")</f>
        <v>Sale</v>
      </c>
      <c r="M389">
        <f>IF(grocery_chain_data[[#This Row],[Final Amount]]&lt;0,0,grocery_chain_data[[#This Row],[Final Amount]])</f>
        <v>113</v>
      </c>
    </row>
    <row r="390" spans="1:13" x14ac:dyDescent="0.3">
      <c r="A390">
        <v>7071</v>
      </c>
      <c r="B390" t="s">
        <v>13</v>
      </c>
      <c r="C390" s="1">
        <v>45198</v>
      </c>
      <c r="D390" s="1" t="str">
        <f t="shared" si="6"/>
        <v>Dairy</v>
      </c>
      <c r="E390" t="s">
        <v>23</v>
      </c>
      <c r="F390" s="2">
        <v>1</v>
      </c>
      <c r="G390" s="3">
        <v>28</v>
      </c>
      <c r="H390" s="3">
        <f>grocery_chain_data[[#This Row],[Quantity]]*grocery_chain_data[[#This Row],[Unit Price]]</f>
        <v>28</v>
      </c>
      <c r="I390" s="3">
        <v>2</v>
      </c>
      <c r="J390" s="3">
        <f>grocery_chain_data[[#This Row],[Total Amount]]-grocery_chain_data[[#This Row],[Discount Amount]]</f>
        <v>26</v>
      </c>
      <c r="K390">
        <v>485</v>
      </c>
      <c r="L390" t="str">
        <f>IF(grocery_chain_data[[#This Row],[Final Amount]]&lt;0,"Return","Sale")</f>
        <v>Sale</v>
      </c>
      <c r="M390">
        <f>IF(grocery_chain_data[[#This Row],[Final Amount]]&lt;0,0,grocery_chain_data[[#This Row],[Final Amount]])</f>
        <v>26</v>
      </c>
    </row>
    <row r="391" spans="1:13" x14ac:dyDescent="0.3">
      <c r="A391">
        <v>9289</v>
      </c>
      <c r="B391" t="s">
        <v>27</v>
      </c>
      <c r="C391" s="1">
        <v>45647</v>
      </c>
      <c r="D391" s="1" t="str">
        <f t="shared" si="6"/>
        <v>Dairy</v>
      </c>
      <c r="E391" t="s">
        <v>3</v>
      </c>
      <c r="F391" s="2">
        <v>4</v>
      </c>
      <c r="G391" s="3">
        <v>3</v>
      </c>
      <c r="H391" s="3">
        <f>grocery_chain_data[[#This Row],[Quantity]]*grocery_chain_data[[#This Row],[Unit Price]]</f>
        <v>12</v>
      </c>
      <c r="I391" s="3">
        <v>2</v>
      </c>
      <c r="J391" s="3">
        <f>grocery_chain_data[[#This Row],[Total Amount]]-grocery_chain_data[[#This Row],[Discount Amount]]</f>
        <v>10</v>
      </c>
      <c r="K391">
        <v>274</v>
      </c>
      <c r="L391" t="str">
        <f>IF(grocery_chain_data[[#This Row],[Final Amount]]&lt;0,"Return","Sale")</f>
        <v>Sale</v>
      </c>
      <c r="M391">
        <f>IF(grocery_chain_data[[#This Row],[Final Amount]]&lt;0,0,grocery_chain_data[[#This Row],[Final Amount]])</f>
        <v>10</v>
      </c>
    </row>
    <row r="392" spans="1:13" x14ac:dyDescent="0.3">
      <c r="A392">
        <v>6590</v>
      </c>
      <c r="B392" t="s">
        <v>0</v>
      </c>
      <c r="C392" s="1">
        <v>45154</v>
      </c>
      <c r="D392" s="1" t="str">
        <f t="shared" si="6"/>
        <v>Bakery</v>
      </c>
      <c r="E392" t="s">
        <v>22</v>
      </c>
      <c r="F392" s="2">
        <v>5</v>
      </c>
      <c r="G392" s="3">
        <v>28</v>
      </c>
      <c r="H392" s="3">
        <f>grocery_chain_data[[#This Row],[Quantity]]*grocery_chain_data[[#This Row],[Unit Price]]</f>
        <v>140</v>
      </c>
      <c r="I392" s="3">
        <v>2</v>
      </c>
      <c r="J392" s="3">
        <f>grocery_chain_data[[#This Row],[Total Amount]]-grocery_chain_data[[#This Row],[Discount Amount]]</f>
        <v>138</v>
      </c>
      <c r="K392">
        <v>498</v>
      </c>
      <c r="L392" t="str">
        <f>IF(grocery_chain_data[[#This Row],[Final Amount]]&lt;0,"Return","Sale")</f>
        <v>Sale</v>
      </c>
      <c r="M392">
        <f>IF(grocery_chain_data[[#This Row],[Final Amount]]&lt;0,0,grocery_chain_data[[#This Row],[Final Amount]])</f>
        <v>138</v>
      </c>
    </row>
    <row r="393" spans="1:13" x14ac:dyDescent="0.3">
      <c r="A393">
        <v>7882</v>
      </c>
      <c r="B393" t="s">
        <v>0</v>
      </c>
      <c r="C393" s="1">
        <v>45783</v>
      </c>
      <c r="D393" s="1" t="str">
        <f t="shared" si="6"/>
        <v>Dairy</v>
      </c>
      <c r="E393" t="s">
        <v>3</v>
      </c>
      <c r="F393" s="2">
        <v>2</v>
      </c>
      <c r="G393" s="3">
        <v>3</v>
      </c>
      <c r="H393" s="3">
        <f>grocery_chain_data[[#This Row],[Quantity]]*grocery_chain_data[[#This Row],[Unit Price]]</f>
        <v>6</v>
      </c>
      <c r="I393" s="3">
        <v>3</v>
      </c>
      <c r="J393" s="3">
        <f>grocery_chain_data[[#This Row],[Total Amount]]-grocery_chain_data[[#This Row],[Discount Amount]]</f>
        <v>3</v>
      </c>
      <c r="K393">
        <v>44</v>
      </c>
      <c r="L393" t="str">
        <f>IF(grocery_chain_data[[#This Row],[Final Amount]]&lt;0,"Return","Sale")</f>
        <v>Sale</v>
      </c>
      <c r="M393">
        <f>IF(grocery_chain_data[[#This Row],[Final Amount]]&lt;0,0,grocery_chain_data[[#This Row],[Final Amount]])</f>
        <v>3</v>
      </c>
    </row>
    <row r="394" spans="1:13" x14ac:dyDescent="0.3">
      <c r="A394">
        <v>9031</v>
      </c>
      <c r="B394" t="s">
        <v>13</v>
      </c>
      <c r="C394" s="1">
        <v>45226</v>
      </c>
      <c r="D394" s="1" t="str">
        <f t="shared" si="6"/>
        <v>Produce</v>
      </c>
      <c r="E394" t="s">
        <v>11</v>
      </c>
      <c r="F394" s="2">
        <v>1</v>
      </c>
      <c r="G394" s="3">
        <v>1</v>
      </c>
      <c r="H394" s="3">
        <f>grocery_chain_data[[#This Row],[Quantity]]*grocery_chain_data[[#This Row],[Unit Price]]</f>
        <v>1</v>
      </c>
      <c r="I394" s="3">
        <v>0</v>
      </c>
      <c r="J394" s="3">
        <f>grocery_chain_data[[#This Row],[Total Amount]]-grocery_chain_data[[#This Row],[Discount Amount]]</f>
        <v>1</v>
      </c>
      <c r="K394">
        <v>70</v>
      </c>
      <c r="L394" t="str">
        <f>IF(grocery_chain_data[[#This Row],[Final Amount]]&lt;0,"Return","Sale")</f>
        <v>Sale</v>
      </c>
      <c r="M394">
        <f>IF(grocery_chain_data[[#This Row],[Final Amount]]&lt;0,0,grocery_chain_data[[#This Row],[Final Amount]])</f>
        <v>1</v>
      </c>
    </row>
    <row r="395" spans="1:13" x14ac:dyDescent="0.3">
      <c r="A395">
        <v>8102</v>
      </c>
      <c r="B395" t="s">
        <v>10</v>
      </c>
      <c r="C395" s="1">
        <v>45426</v>
      </c>
      <c r="D395" s="1" t="str">
        <f t="shared" si="6"/>
        <v>Produce</v>
      </c>
      <c r="E395" t="s">
        <v>24</v>
      </c>
      <c r="F395" s="2">
        <v>5</v>
      </c>
      <c r="G395" s="3">
        <v>24</v>
      </c>
      <c r="H395" s="3">
        <f>grocery_chain_data[[#This Row],[Quantity]]*grocery_chain_data[[#This Row],[Unit Price]]</f>
        <v>120</v>
      </c>
      <c r="I395" s="3">
        <v>24</v>
      </c>
      <c r="J395" s="3">
        <f>grocery_chain_data[[#This Row],[Total Amount]]-grocery_chain_data[[#This Row],[Discount Amount]]</f>
        <v>96</v>
      </c>
      <c r="K395">
        <v>369</v>
      </c>
      <c r="L395" t="str">
        <f>IF(grocery_chain_data[[#This Row],[Final Amount]]&lt;0,"Return","Sale")</f>
        <v>Sale</v>
      </c>
      <c r="M395">
        <f>IF(grocery_chain_data[[#This Row],[Final Amount]]&lt;0,0,grocery_chain_data[[#This Row],[Final Amount]])</f>
        <v>96</v>
      </c>
    </row>
    <row r="396" spans="1:13" x14ac:dyDescent="0.3">
      <c r="A396">
        <v>8532</v>
      </c>
      <c r="B396" t="s">
        <v>16</v>
      </c>
      <c r="C396" s="1">
        <v>45694</v>
      </c>
      <c r="D396" s="1" t="str">
        <f t="shared" si="6"/>
        <v>Pantry</v>
      </c>
      <c r="E396" t="s">
        <v>1</v>
      </c>
      <c r="F396" s="2">
        <v>1</v>
      </c>
      <c r="G396" s="3">
        <v>23</v>
      </c>
      <c r="H396" s="3">
        <f>grocery_chain_data[[#This Row],[Quantity]]*grocery_chain_data[[#This Row],[Unit Price]]</f>
        <v>23</v>
      </c>
      <c r="I396" s="3">
        <v>2</v>
      </c>
      <c r="J396" s="3">
        <f>grocery_chain_data[[#This Row],[Total Amount]]-grocery_chain_data[[#This Row],[Discount Amount]]</f>
        <v>21</v>
      </c>
      <c r="K396">
        <v>15</v>
      </c>
      <c r="L396" t="str">
        <f>IF(grocery_chain_data[[#This Row],[Final Amount]]&lt;0,"Return","Sale")</f>
        <v>Sale</v>
      </c>
      <c r="M396">
        <f>IF(grocery_chain_data[[#This Row],[Final Amount]]&lt;0,0,grocery_chain_data[[#This Row],[Final Amount]])</f>
        <v>21</v>
      </c>
    </row>
    <row r="397" spans="1:13" x14ac:dyDescent="0.3">
      <c r="A397">
        <v>3506</v>
      </c>
      <c r="B397" t="s">
        <v>12</v>
      </c>
      <c r="C397" s="1">
        <v>45483</v>
      </c>
      <c r="D397" s="1" t="str">
        <f t="shared" si="6"/>
        <v>Bakery</v>
      </c>
      <c r="E397" t="s">
        <v>22</v>
      </c>
      <c r="F397" s="2">
        <v>3</v>
      </c>
      <c r="G397" s="3">
        <v>22</v>
      </c>
      <c r="H397" s="3">
        <f>grocery_chain_data[[#This Row],[Quantity]]*grocery_chain_data[[#This Row],[Unit Price]]</f>
        <v>66</v>
      </c>
      <c r="I397" s="3">
        <v>6</v>
      </c>
      <c r="J397" s="3">
        <f>grocery_chain_data[[#This Row],[Total Amount]]-grocery_chain_data[[#This Row],[Discount Amount]]</f>
        <v>60</v>
      </c>
      <c r="K397">
        <v>295</v>
      </c>
      <c r="L397" t="str">
        <f>IF(grocery_chain_data[[#This Row],[Final Amount]]&lt;0,"Return","Sale")</f>
        <v>Sale</v>
      </c>
      <c r="M397">
        <f>IF(grocery_chain_data[[#This Row],[Final Amount]]&lt;0,0,grocery_chain_data[[#This Row],[Final Amount]])</f>
        <v>60</v>
      </c>
    </row>
    <row r="398" spans="1:13" x14ac:dyDescent="0.3">
      <c r="A398">
        <v>3885</v>
      </c>
      <c r="B398" t="s">
        <v>10</v>
      </c>
      <c r="C398" s="1">
        <v>45714</v>
      </c>
      <c r="D398" s="1" t="str">
        <f t="shared" si="6"/>
        <v>Beverages</v>
      </c>
      <c r="E398" t="s">
        <v>7</v>
      </c>
      <c r="F398" s="2">
        <v>1</v>
      </c>
      <c r="G398" s="3">
        <v>15</v>
      </c>
      <c r="H398" s="3">
        <f>grocery_chain_data[[#This Row],[Quantity]]*grocery_chain_data[[#This Row],[Unit Price]]</f>
        <v>15</v>
      </c>
      <c r="I398" s="3">
        <v>2</v>
      </c>
      <c r="J398" s="3">
        <f>grocery_chain_data[[#This Row],[Total Amount]]-grocery_chain_data[[#This Row],[Discount Amount]]</f>
        <v>13</v>
      </c>
      <c r="K398">
        <v>290</v>
      </c>
      <c r="L398" t="str">
        <f>IF(grocery_chain_data[[#This Row],[Final Amount]]&lt;0,"Return","Sale")</f>
        <v>Sale</v>
      </c>
      <c r="M398">
        <f>IF(grocery_chain_data[[#This Row],[Final Amount]]&lt;0,0,grocery_chain_data[[#This Row],[Final Amount]])</f>
        <v>13</v>
      </c>
    </row>
    <row r="399" spans="1:13" x14ac:dyDescent="0.3">
      <c r="A399">
        <v>9548</v>
      </c>
      <c r="B399" t="s">
        <v>5</v>
      </c>
      <c r="C399" s="1">
        <v>45650</v>
      </c>
      <c r="D399" s="1" t="str">
        <f t="shared" si="6"/>
        <v>Meat &amp; Seafood</v>
      </c>
      <c r="E399" t="s">
        <v>26</v>
      </c>
      <c r="F399" s="2">
        <v>5</v>
      </c>
      <c r="G399" s="3">
        <v>21</v>
      </c>
      <c r="H399" s="3">
        <f>grocery_chain_data[[#This Row],[Quantity]]*grocery_chain_data[[#This Row],[Unit Price]]</f>
        <v>105</v>
      </c>
      <c r="I399" s="3">
        <v>0</v>
      </c>
      <c r="J399" s="3">
        <f>grocery_chain_data[[#This Row],[Total Amount]]-grocery_chain_data[[#This Row],[Discount Amount]]</f>
        <v>105</v>
      </c>
      <c r="K399">
        <v>59</v>
      </c>
      <c r="L399" t="str">
        <f>IF(grocery_chain_data[[#This Row],[Final Amount]]&lt;0,"Return","Sale")</f>
        <v>Sale</v>
      </c>
      <c r="M399">
        <f>IF(grocery_chain_data[[#This Row],[Final Amount]]&lt;0,0,grocery_chain_data[[#This Row],[Final Amount]])</f>
        <v>105</v>
      </c>
    </row>
    <row r="400" spans="1:13" x14ac:dyDescent="0.3">
      <c r="A400">
        <v>5425</v>
      </c>
      <c r="B400" t="s">
        <v>2</v>
      </c>
      <c r="C400" s="1">
        <v>45623</v>
      </c>
      <c r="D400" s="1" t="str">
        <f t="shared" si="6"/>
        <v>Dairy</v>
      </c>
      <c r="E400" t="s">
        <v>19</v>
      </c>
      <c r="F400" s="2">
        <v>1</v>
      </c>
      <c r="G400" s="3">
        <v>8</v>
      </c>
      <c r="H400" s="3">
        <f>grocery_chain_data[[#This Row],[Quantity]]*grocery_chain_data[[#This Row],[Unit Price]]</f>
        <v>8</v>
      </c>
      <c r="I400" s="3">
        <v>1</v>
      </c>
      <c r="J400" s="3">
        <f>grocery_chain_data[[#This Row],[Total Amount]]-grocery_chain_data[[#This Row],[Discount Amount]]</f>
        <v>7</v>
      </c>
      <c r="K400">
        <v>241</v>
      </c>
      <c r="L400" t="str">
        <f>IF(grocery_chain_data[[#This Row],[Final Amount]]&lt;0,"Return","Sale")</f>
        <v>Sale</v>
      </c>
      <c r="M400">
        <f>IF(grocery_chain_data[[#This Row],[Final Amount]]&lt;0,0,grocery_chain_data[[#This Row],[Final Amount]])</f>
        <v>7</v>
      </c>
    </row>
    <row r="401" spans="1:13" x14ac:dyDescent="0.3">
      <c r="A401">
        <v>9817</v>
      </c>
      <c r="B401" t="s">
        <v>5</v>
      </c>
      <c r="C401" s="1">
        <v>45746</v>
      </c>
      <c r="D401" s="1" t="str">
        <f t="shared" si="6"/>
        <v>Dairy</v>
      </c>
      <c r="E401" t="s">
        <v>19</v>
      </c>
      <c r="F401" s="2">
        <v>5</v>
      </c>
      <c r="G401" s="3">
        <v>24</v>
      </c>
      <c r="H401" s="3">
        <f>grocery_chain_data[[#This Row],[Quantity]]*grocery_chain_data[[#This Row],[Unit Price]]</f>
        <v>120</v>
      </c>
      <c r="I401" s="3">
        <v>24</v>
      </c>
      <c r="J401" s="3">
        <f>grocery_chain_data[[#This Row],[Total Amount]]-grocery_chain_data[[#This Row],[Discount Amount]]</f>
        <v>96</v>
      </c>
      <c r="K401">
        <v>365</v>
      </c>
      <c r="L401" t="str">
        <f>IF(grocery_chain_data[[#This Row],[Final Amount]]&lt;0,"Return","Sale")</f>
        <v>Sale</v>
      </c>
      <c r="M401">
        <f>IF(grocery_chain_data[[#This Row],[Final Amount]]&lt;0,0,grocery_chain_data[[#This Row],[Final Amount]])</f>
        <v>96</v>
      </c>
    </row>
    <row r="402" spans="1:13" x14ac:dyDescent="0.3">
      <c r="A402">
        <v>8921</v>
      </c>
      <c r="B402" t="s">
        <v>16</v>
      </c>
      <c r="C402" s="1">
        <v>45506</v>
      </c>
      <c r="D402" s="1" t="str">
        <f t="shared" si="6"/>
        <v>Dairy</v>
      </c>
      <c r="E402" t="s">
        <v>3</v>
      </c>
      <c r="F402" s="2">
        <v>3</v>
      </c>
      <c r="G402" s="3">
        <v>9</v>
      </c>
      <c r="H402" s="3">
        <f>grocery_chain_data[[#This Row],[Quantity]]*grocery_chain_data[[#This Row],[Unit Price]]</f>
        <v>27</v>
      </c>
      <c r="I402" s="3">
        <v>3</v>
      </c>
      <c r="J402" s="3">
        <f>grocery_chain_data[[#This Row],[Total Amount]]-grocery_chain_data[[#This Row],[Discount Amount]]</f>
        <v>24</v>
      </c>
      <c r="K402">
        <v>39</v>
      </c>
      <c r="L402" t="str">
        <f>IF(grocery_chain_data[[#This Row],[Final Amount]]&lt;0,"Return","Sale")</f>
        <v>Sale</v>
      </c>
      <c r="M402">
        <f>IF(grocery_chain_data[[#This Row],[Final Amount]]&lt;0,0,grocery_chain_data[[#This Row],[Final Amount]])</f>
        <v>24</v>
      </c>
    </row>
    <row r="403" spans="1:13" x14ac:dyDescent="0.3">
      <c r="A403">
        <v>8136</v>
      </c>
      <c r="B403" t="s">
        <v>13</v>
      </c>
      <c r="C403" s="1">
        <v>45786</v>
      </c>
      <c r="D403" s="1" t="str">
        <f t="shared" si="6"/>
        <v>Meat &amp; Seafood</v>
      </c>
      <c r="E403" t="s">
        <v>9</v>
      </c>
      <c r="F403" s="2">
        <v>5</v>
      </c>
      <c r="G403" s="3">
        <v>29</v>
      </c>
      <c r="H403" s="3">
        <f>grocery_chain_data[[#This Row],[Quantity]]*grocery_chain_data[[#This Row],[Unit Price]]</f>
        <v>145</v>
      </c>
      <c r="I403" s="3">
        <v>5</v>
      </c>
      <c r="J403" s="3">
        <f>grocery_chain_data[[#This Row],[Total Amount]]-grocery_chain_data[[#This Row],[Discount Amount]]</f>
        <v>140</v>
      </c>
      <c r="K403">
        <v>488</v>
      </c>
      <c r="L403" t="str">
        <f>IF(grocery_chain_data[[#This Row],[Final Amount]]&lt;0,"Return","Sale")</f>
        <v>Sale</v>
      </c>
      <c r="M403">
        <f>IF(grocery_chain_data[[#This Row],[Final Amount]]&lt;0,0,grocery_chain_data[[#This Row],[Final Amount]])</f>
        <v>140</v>
      </c>
    </row>
    <row r="404" spans="1:13" x14ac:dyDescent="0.3">
      <c r="A404">
        <v>5397</v>
      </c>
      <c r="B404" t="s">
        <v>12</v>
      </c>
      <c r="C404" s="1">
        <v>45395</v>
      </c>
      <c r="D404" s="1" t="str">
        <f t="shared" si="6"/>
        <v>Pantry</v>
      </c>
      <c r="E404" t="s">
        <v>6</v>
      </c>
      <c r="F404" s="2">
        <v>1</v>
      </c>
      <c r="G404" s="3">
        <v>17</v>
      </c>
      <c r="H404" s="3">
        <f>grocery_chain_data[[#This Row],[Quantity]]*grocery_chain_data[[#This Row],[Unit Price]]</f>
        <v>17</v>
      </c>
      <c r="I404" s="3">
        <v>3</v>
      </c>
      <c r="J404" s="3">
        <f>grocery_chain_data[[#This Row],[Total Amount]]-grocery_chain_data[[#This Row],[Discount Amount]]</f>
        <v>14</v>
      </c>
      <c r="K404">
        <v>4</v>
      </c>
      <c r="L404" t="str">
        <f>IF(grocery_chain_data[[#This Row],[Final Amount]]&lt;0,"Return","Sale")</f>
        <v>Sale</v>
      </c>
      <c r="M404">
        <f>IF(grocery_chain_data[[#This Row],[Final Amount]]&lt;0,0,grocery_chain_data[[#This Row],[Final Amount]])</f>
        <v>14</v>
      </c>
    </row>
    <row r="405" spans="1:13" x14ac:dyDescent="0.3">
      <c r="A405">
        <v>5022</v>
      </c>
      <c r="B405" t="s">
        <v>12</v>
      </c>
      <c r="C405" s="1">
        <v>45790</v>
      </c>
      <c r="D405" s="1" t="str">
        <f t="shared" si="6"/>
        <v>Produce</v>
      </c>
      <c r="E405" t="s">
        <v>17</v>
      </c>
      <c r="F405" s="2">
        <v>5</v>
      </c>
      <c r="G405" s="3">
        <v>8</v>
      </c>
      <c r="H405" s="3">
        <f>grocery_chain_data[[#This Row],[Quantity]]*grocery_chain_data[[#This Row],[Unit Price]]</f>
        <v>40</v>
      </c>
      <c r="I405" s="3">
        <v>8</v>
      </c>
      <c r="J405" s="3">
        <f>grocery_chain_data[[#This Row],[Total Amount]]-grocery_chain_data[[#This Row],[Discount Amount]]</f>
        <v>32</v>
      </c>
      <c r="K405">
        <v>188</v>
      </c>
      <c r="L405" t="str">
        <f>IF(grocery_chain_data[[#This Row],[Final Amount]]&lt;0,"Return","Sale")</f>
        <v>Sale</v>
      </c>
      <c r="M405">
        <f>IF(grocery_chain_data[[#This Row],[Final Amount]]&lt;0,0,grocery_chain_data[[#This Row],[Final Amount]])</f>
        <v>32</v>
      </c>
    </row>
    <row r="406" spans="1:13" x14ac:dyDescent="0.3">
      <c r="A406">
        <v>2419</v>
      </c>
      <c r="B406" t="s">
        <v>2</v>
      </c>
      <c r="C406" s="1">
        <v>45361</v>
      </c>
      <c r="D406" s="1" t="str">
        <f t="shared" si="6"/>
        <v>Dairy</v>
      </c>
      <c r="E406" t="s">
        <v>20</v>
      </c>
      <c r="F406" s="2">
        <v>1</v>
      </c>
      <c r="G406" s="3">
        <v>28</v>
      </c>
      <c r="H406" s="3">
        <f>grocery_chain_data[[#This Row],[Quantity]]*grocery_chain_data[[#This Row],[Unit Price]]</f>
        <v>28</v>
      </c>
      <c r="I406" s="3">
        <v>2</v>
      </c>
      <c r="J406" s="3">
        <f>grocery_chain_data[[#This Row],[Total Amount]]-grocery_chain_data[[#This Row],[Discount Amount]]</f>
        <v>26</v>
      </c>
      <c r="K406">
        <v>12</v>
      </c>
      <c r="L406" t="str">
        <f>IF(grocery_chain_data[[#This Row],[Final Amount]]&lt;0,"Return","Sale")</f>
        <v>Sale</v>
      </c>
      <c r="M406">
        <f>IF(grocery_chain_data[[#This Row],[Final Amount]]&lt;0,0,grocery_chain_data[[#This Row],[Final Amount]])</f>
        <v>26</v>
      </c>
    </row>
    <row r="407" spans="1:13" x14ac:dyDescent="0.3">
      <c r="A407">
        <v>8385</v>
      </c>
      <c r="B407" t="s">
        <v>13</v>
      </c>
      <c r="C407" s="1">
        <v>45334</v>
      </c>
      <c r="D407" s="1" t="str">
        <f t="shared" si="6"/>
        <v>Produce</v>
      </c>
      <c r="E407" t="s">
        <v>18</v>
      </c>
      <c r="F407" s="2">
        <v>4</v>
      </c>
      <c r="G407" s="3">
        <v>26</v>
      </c>
      <c r="H407" s="3">
        <f>grocery_chain_data[[#This Row],[Quantity]]*grocery_chain_data[[#This Row],[Unit Price]]</f>
        <v>104</v>
      </c>
      <c r="I407" s="3">
        <v>2</v>
      </c>
      <c r="J407" s="3">
        <f>grocery_chain_data[[#This Row],[Total Amount]]-grocery_chain_data[[#This Row],[Discount Amount]]</f>
        <v>102</v>
      </c>
      <c r="K407">
        <v>372</v>
      </c>
      <c r="L407" t="str">
        <f>IF(grocery_chain_data[[#This Row],[Final Amount]]&lt;0,"Return","Sale")</f>
        <v>Sale</v>
      </c>
      <c r="M407">
        <f>IF(grocery_chain_data[[#This Row],[Final Amount]]&lt;0,0,grocery_chain_data[[#This Row],[Final Amount]])</f>
        <v>102</v>
      </c>
    </row>
    <row r="408" spans="1:13" x14ac:dyDescent="0.3">
      <c r="A408">
        <v>8613</v>
      </c>
      <c r="B408" t="s">
        <v>21</v>
      </c>
      <c r="C408" s="1">
        <v>45587</v>
      </c>
      <c r="D408" s="1" t="str">
        <f t="shared" si="6"/>
        <v>Produce</v>
      </c>
      <c r="E408" t="s">
        <v>25</v>
      </c>
      <c r="F408" s="2">
        <v>1</v>
      </c>
      <c r="G408" s="3">
        <v>29</v>
      </c>
      <c r="H408" s="3">
        <f>grocery_chain_data[[#This Row],[Quantity]]*grocery_chain_data[[#This Row],[Unit Price]]</f>
        <v>29</v>
      </c>
      <c r="I408" s="3">
        <v>1</v>
      </c>
      <c r="J408" s="3">
        <f>grocery_chain_data[[#This Row],[Total Amount]]-grocery_chain_data[[#This Row],[Discount Amount]]</f>
        <v>28</v>
      </c>
      <c r="K408">
        <v>72</v>
      </c>
      <c r="L408" t="str">
        <f>IF(grocery_chain_data[[#This Row],[Final Amount]]&lt;0,"Return","Sale")</f>
        <v>Sale</v>
      </c>
      <c r="M408">
        <f>IF(grocery_chain_data[[#This Row],[Final Amount]]&lt;0,0,grocery_chain_data[[#This Row],[Final Amount]])</f>
        <v>28</v>
      </c>
    </row>
    <row r="409" spans="1:13" x14ac:dyDescent="0.3">
      <c r="A409">
        <v>7209</v>
      </c>
      <c r="B409" t="s">
        <v>21</v>
      </c>
      <c r="C409" s="1">
        <v>45406</v>
      </c>
      <c r="D409" s="1" t="str">
        <f t="shared" si="6"/>
        <v>Dairy</v>
      </c>
      <c r="E409" t="s">
        <v>3</v>
      </c>
      <c r="F409" s="2">
        <v>3</v>
      </c>
      <c r="G409" s="3">
        <v>14</v>
      </c>
      <c r="H409" s="3">
        <f>grocery_chain_data[[#This Row],[Quantity]]*grocery_chain_data[[#This Row],[Unit Price]]</f>
        <v>42</v>
      </c>
      <c r="I409" s="3">
        <v>1</v>
      </c>
      <c r="J409" s="3">
        <f>grocery_chain_data[[#This Row],[Total Amount]]-grocery_chain_data[[#This Row],[Discount Amount]]</f>
        <v>41</v>
      </c>
      <c r="K409">
        <v>382</v>
      </c>
      <c r="L409" t="str">
        <f>IF(grocery_chain_data[[#This Row],[Final Amount]]&lt;0,"Return","Sale")</f>
        <v>Sale</v>
      </c>
      <c r="M409">
        <f>IF(grocery_chain_data[[#This Row],[Final Amount]]&lt;0,0,grocery_chain_data[[#This Row],[Final Amount]])</f>
        <v>41</v>
      </c>
    </row>
    <row r="410" spans="1:13" x14ac:dyDescent="0.3">
      <c r="A410">
        <v>1470</v>
      </c>
      <c r="B410" t="s">
        <v>5</v>
      </c>
      <c r="C410" s="1">
        <v>45528</v>
      </c>
      <c r="D410" s="1" t="str">
        <f t="shared" si="6"/>
        <v>Produce</v>
      </c>
      <c r="E410" t="s">
        <v>14</v>
      </c>
      <c r="F410" s="2">
        <v>1</v>
      </c>
      <c r="G410" s="3">
        <v>18</v>
      </c>
      <c r="H410" s="3">
        <f>grocery_chain_data[[#This Row],[Quantity]]*grocery_chain_data[[#This Row],[Unit Price]]</f>
        <v>18</v>
      </c>
      <c r="I410" s="3">
        <v>0</v>
      </c>
      <c r="J410" s="3">
        <f>grocery_chain_data[[#This Row],[Total Amount]]-grocery_chain_data[[#This Row],[Discount Amount]]</f>
        <v>18</v>
      </c>
      <c r="K410">
        <v>31</v>
      </c>
      <c r="L410" t="str">
        <f>IF(grocery_chain_data[[#This Row],[Final Amount]]&lt;0,"Return","Sale")</f>
        <v>Sale</v>
      </c>
      <c r="M410">
        <f>IF(grocery_chain_data[[#This Row],[Final Amount]]&lt;0,0,grocery_chain_data[[#This Row],[Final Amount]])</f>
        <v>18</v>
      </c>
    </row>
    <row r="411" spans="1:13" x14ac:dyDescent="0.3">
      <c r="A411">
        <v>6325</v>
      </c>
      <c r="B411" t="s">
        <v>5</v>
      </c>
      <c r="C411" s="1">
        <v>45286</v>
      </c>
      <c r="D411" s="1" t="str">
        <f t="shared" si="6"/>
        <v>Produce</v>
      </c>
      <c r="E411" t="s">
        <v>17</v>
      </c>
      <c r="F411" s="2">
        <v>3</v>
      </c>
      <c r="G411" s="3">
        <v>26</v>
      </c>
      <c r="H411" s="3">
        <f>grocery_chain_data[[#This Row],[Quantity]]*grocery_chain_data[[#This Row],[Unit Price]]</f>
        <v>78</v>
      </c>
      <c r="I411" s="3">
        <v>0</v>
      </c>
      <c r="J411" s="3">
        <f>grocery_chain_data[[#This Row],[Total Amount]]-grocery_chain_data[[#This Row],[Discount Amount]]</f>
        <v>78</v>
      </c>
      <c r="K411">
        <v>474</v>
      </c>
      <c r="L411" t="str">
        <f>IF(grocery_chain_data[[#This Row],[Final Amount]]&lt;0,"Return","Sale")</f>
        <v>Sale</v>
      </c>
      <c r="M411">
        <f>IF(grocery_chain_data[[#This Row],[Final Amount]]&lt;0,0,grocery_chain_data[[#This Row],[Final Amount]])</f>
        <v>78</v>
      </c>
    </row>
    <row r="412" spans="1:13" x14ac:dyDescent="0.3">
      <c r="A412">
        <v>8988</v>
      </c>
      <c r="B412" t="s">
        <v>16</v>
      </c>
      <c r="C412" s="1">
        <v>45309</v>
      </c>
      <c r="D412" s="1" t="str">
        <f t="shared" si="6"/>
        <v>Meat &amp; Seafood</v>
      </c>
      <c r="E412" t="s">
        <v>15</v>
      </c>
      <c r="F412" s="2">
        <v>3</v>
      </c>
      <c r="G412" s="3">
        <v>8</v>
      </c>
      <c r="H412" s="3">
        <f>grocery_chain_data[[#This Row],[Quantity]]*grocery_chain_data[[#This Row],[Unit Price]]</f>
        <v>24</v>
      </c>
      <c r="I412" s="3">
        <v>5</v>
      </c>
      <c r="J412" s="3">
        <f>grocery_chain_data[[#This Row],[Total Amount]]-grocery_chain_data[[#This Row],[Discount Amount]]</f>
        <v>19</v>
      </c>
      <c r="K412">
        <v>483</v>
      </c>
      <c r="L412" t="str">
        <f>IF(grocery_chain_data[[#This Row],[Final Amount]]&lt;0,"Return","Sale")</f>
        <v>Sale</v>
      </c>
      <c r="M412">
        <f>IF(grocery_chain_data[[#This Row],[Final Amount]]&lt;0,0,grocery_chain_data[[#This Row],[Final Amount]])</f>
        <v>19</v>
      </c>
    </row>
    <row r="413" spans="1:13" x14ac:dyDescent="0.3">
      <c r="A413">
        <v>6813</v>
      </c>
      <c r="B413" t="s">
        <v>0</v>
      </c>
      <c r="C413" s="1">
        <v>45764</v>
      </c>
      <c r="D413" s="1" t="str">
        <f t="shared" si="6"/>
        <v>Meat &amp; Seafood</v>
      </c>
      <c r="E413" t="s">
        <v>26</v>
      </c>
      <c r="F413" s="2">
        <v>2</v>
      </c>
      <c r="G413" s="3">
        <v>14</v>
      </c>
      <c r="H413" s="3">
        <f>grocery_chain_data[[#This Row],[Quantity]]*grocery_chain_data[[#This Row],[Unit Price]]</f>
        <v>28</v>
      </c>
      <c r="I413" s="3">
        <v>3</v>
      </c>
      <c r="J413" s="3">
        <f>grocery_chain_data[[#This Row],[Total Amount]]-grocery_chain_data[[#This Row],[Discount Amount]]</f>
        <v>25</v>
      </c>
      <c r="K413">
        <v>160</v>
      </c>
      <c r="L413" t="str">
        <f>IF(grocery_chain_data[[#This Row],[Final Amount]]&lt;0,"Return","Sale")</f>
        <v>Sale</v>
      </c>
      <c r="M413">
        <f>IF(grocery_chain_data[[#This Row],[Final Amount]]&lt;0,0,grocery_chain_data[[#This Row],[Final Amount]])</f>
        <v>25</v>
      </c>
    </row>
    <row r="414" spans="1:13" x14ac:dyDescent="0.3">
      <c r="A414">
        <v>5232</v>
      </c>
      <c r="B414" t="s">
        <v>21</v>
      </c>
      <c r="C414" s="1">
        <v>45409</v>
      </c>
      <c r="D414" s="1" t="str">
        <f t="shared" si="6"/>
        <v>Produce</v>
      </c>
      <c r="E414" t="s">
        <v>17</v>
      </c>
      <c r="F414" s="2">
        <v>4</v>
      </c>
      <c r="G414" s="3">
        <v>9</v>
      </c>
      <c r="H414" s="3">
        <f>grocery_chain_data[[#This Row],[Quantity]]*grocery_chain_data[[#This Row],[Unit Price]]</f>
        <v>36</v>
      </c>
      <c r="I414" s="3">
        <v>7</v>
      </c>
      <c r="J414" s="3">
        <f>grocery_chain_data[[#This Row],[Total Amount]]-grocery_chain_data[[#This Row],[Discount Amount]]</f>
        <v>29</v>
      </c>
      <c r="K414">
        <v>61</v>
      </c>
      <c r="L414" t="str">
        <f>IF(grocery_chain_data[[#This Row],[Final Amount]]&lt;0,"Return","Sale")</f>
        <v>Sale</v>
      </c>
      <c r="M414">
        <f>IF(grocery_chain_data[[#This Row],[Final Amount]]&lt;0,0,grocery_chain_data[[#This Row],[Final Amount]])</f>
        <v>29</v>
      </c>
    </row>
    <row r="415" spans="1:13" x14ac:dyDescent="0.3">
      <c r="A415">
        <v>5581</v>
      </c>
      <c r="B415" t="s">
        <v>12</v>
      </c>
      <c r="C415" s="1">
        <v>45828</v>
      </c>
      <c r="D415" s="1" t="str">
        <f t="shared" si="6"/>
        <v>Dairy</v>
      </c>
      <c r="E415" t="s">
        <v>19</v>
      </c>
      <c r="F415" s="2">
        <v>2</v>
      </c>
      <c r="G415" s="3">
        <v>25</v>
      </c>
      <c r="H415" s="3">
        <f>grocery_chain_data[[#This Row],[Quantity]]*grocery_chain_data[[#This Row],[Unit Price]]</f>
        <v>50</v>
      </c>
      <c r="I415" s="3">
        <v>4</v>
      </c>
      <c r="J415" s="3">
        <f>grocery_chain_data[[#This Row],[Total Amount]]-grocery_chain_data[[#This Row],[Discount Amount]]</f>
        <v>46</v>
      </c>
      <c r="K415">
        <v>167</v>
      </c>
      <c r="L415" t="str">
        <f>IF(grocery_chain_data[[#This Row],[Final Amount]]&lt;0,"Return","Sale")</f>
        <v>Sale</v>
      </c>
      <c r="M415">
        <f>IF(grocery_chain_data[[#This Row],[Final Amount]]&lt;0,0,grocery_chain_data[[#This Row],[Final Amount]])</f>
        <v>46</v>
      </c>
    </row>
    <row r="416" spans="1:13" x14ac:dyDescent="0.3">
      <c r="A416">
        <v>5526</v>
      </c>
      <c r="B416" t="s">
        <v>16</v>
      </c>
      <c r="C416" s="1">
        <v>45576</v>
      </c>
      <c r="D416" s="1" t="str">
        <f t="shared" si="6"/>
        <v>Produce</v>
      </c>
      <c r="E416" t="s">
        <v>24</v>
      </c>
      <c r="F416" s="2">
        <v>1</v>
      </c>
      <c r="G416" s="3">
        <v>21</v>
      </c>
      <c r="H416" s="3">
        <f>grocery_chain_data[[#This Row],[Quantity]]*grocery_chain_data[[#This Row],[Unit Price]]</f>
        <v>21</v>
      </c>
      <c r="I416" s="3">
        <v>5</v>
      </c>
      <c r="J416" s="3">
        <f>grocery_chain_data[[#This Row],[Total Amount]]-grocery_chain_data[[#This Row],[Discount Amount]]</f>
        <v>16</v>
      </c>
      <c r="K416">
        <v>133</v>
      </c>
      <c r="L416" t="str">
        <f>IF(grocery_chain_data[[#This Row],[Final Amount]]&lt;0,"Return","Sale")</f>
        <v>Sale</v>
      </c>
      <c r="M416">
        <f>IF(grocery_chain_data[[#This Row],[Final Amount]]&lt;0,0,grocery_chain_data[[#This Row],[Final Amount]])</f>
        <v>16</v>
      </c>
    </row>
    <row r="417" spans="1:13" x14ac:dyDescent="0.3">
      <c r="A417">
        <v>1166</v>
      </c>
      <c r="B417" t="s">
        <v>10</v>
      </c>
      <c r="C417" s="1">
        <v>45546</v>
      </c>
      <c r="D417" s="1" t="str">
        <f t="shared" si="6"/>
        <v>Produce</v>
      </c>
      <c r="E417" t="s">
        <v>4</v>
      </c>
      <c r="F417" s="2">
        <v>2</v>
      </c>
      <c r="G417" s="3">
        <v>4</v>
      </c>
      <c r="H417" s="3">
        <f>grocery_chain_data[[#This Row],[Quantity]]*grocery_chain_data[[#This Row],[Unit Price]]</f>
        <v>8</v>
      </c>
      <c r="I417" s="3">
        <v>1</v>
      </c>
      <c r="J417" s="3">
        <f>grocery_chain_data[[#This Row],[Total Amount]]-grocery_chain_data[[#This Row],[Discount Amount]]</f>
        <v>7</v>
      </c>
      <c r="K417">
        <v>52</v>
      </c>
      <c r="L417" t="str">
        <f>IF(grocery_chain_data[[#This Row],[Final Amount]]&lt;0,"Return","Sale")</f>
        <v>Sale</v>
      </c>
      <c r="M417">
        <f>IF(grocery_chain_data[[#This Row],[Final Amount]]&lt;0,0,grocery_chain_data[[#This Row],[Final Amount]])</f>
        <v>7</v>
      </c>
    </row>
    <row r="418" spans="1:13" x14ac:dyDescent="0.3">
      <c r="A418">
        <v>4130</v>
      </c>
      <c r="B418" t="s">
        <v>21</v>
      </c>
      <c r="C418" s="1">
        <v>45211</v>
      </c>
      <c r="D418" s="1" t="str">
        <f t="shared" si="6"/>
        <v>Dairy</v>
      </c>
      <c r="E418" t="s">
        <v>23</v>
      </c>
      <c r="F418" s="2">
        <v>4</v>
      </c>
      <c r="G418" s="3">
        <v>12</v>
      </c>
      <c r="H418" s="3">
        <f>grocery_chain_data[[#This Row],[Quantity]]*grocery_chain_data[[#This Row],[Unit Price]]</f>
        <v>48</v>
      </c>
      <c r="I418" s="3">
        <v>3</v>
      </c>
      <c r="J418" s="3">
        <f>grocery_chain_data[[#This Row],[Total Amount]]-grocery_chain_data[[#This Row],[Discount Amount]]</f>
        <v>45</v>
      </c>
      <c r="K418">
        <v>322</v>
      </c>
      <c r="L418" t="str">
        <f>IF(grocery_chain_data[[#This Row],[Final Amount]]&lt;0,"Return","Sale")</f>
        <v>Sale</v>
      </c>
      <c r="M418">
        <f>IF(grocery_chain_data[[#This Row],[Final Amount]]&lt;0,0,grocery_chain_data[[#This Row],[Final Amount]])</f>
        <v>45</v>
      </c>
    </row>
    <row r="419" spans="1:13" x14ac:dyDescent="0.3">
      <c r="A419">
        <v>4954</v>
      </c>
      <c r="B419" t="s">
        <v>0</v>
      </c>
      <c r="C419" s="1">
        <v>45704</v>
      </c>
      <c r="D419" s="1" t="str">
        <f t="shared" si="6"/>
        <v>Bakery</v>
      </c>
      <c r="E419" t="s">
        <v>22</v>
      </c>
      <c r="F419" s="2">
        <v>2</v>
      </c>
      <c r="G419" s="3">
        <v>27</v>
      </c>
      <c r="H419" s="3">
        <f>grocery_chain_data[[#This Row],[Quantity]]*grocery_chain_data[[#This Row],[Unit Price]]</f>
        <v>54</v>
      </c>
      <c r="I419" s="3">
        <v>5</v>
      </c>
      <c r="J419" s="3">
        <f>grocery_chain_data[[#This Row],[Total Amount]]-grocery_chain_data[[#This Row],[Discount Amount]]</f>
        <v>49</v>
      </c>
      <c r="K419">
        <v>227</v>
      </c>
      <c r="L419" t="str">
        <f>IF(grocery_chain_data[[#This Row],[Final Amount]]&lt;0,"Return","Sale")</f>
        <v>Sale</v>
      </c>
      <c r="M419">
        <f>IF(grocery_chain_data[[#This Row],[Final Amount]]&lt;0,0,grocery_chain_data[[#This Row],[Final Amount]])</f>
        <v>49</v>
      </c>
    </row>
    <row r="420" spans="1:13" x14ac:dyDescent="0.3">
      <c r="A420">
        <v>7658</v>
      </c>
      <c r="B420" t="s">
        <v>27</v>
      </c>
      <c r="C420" s="1">
        <v>45524</v>
      </c>
      <c r="D420" s="1" t="str">
        <f t="shared" si="6"/>
        <v>Dairy</v>
      </c>
      <c r="E420" t="s">
        <v>19</v>
      </c>
      <c r="F420" s="2">
        <v>4</v>
      </c>
      <c r="G420" s="3">
        <v>2</v>
      </c>
      <c r="H420" s="3">
        <f>grocery_chain_data[[#This Row],[Quantity]]*grocery_chain_data[[#This Row],[Unit Price]]</f>
        <v>8</v>
      </c>
      <c r="I420" s="3">
        <v>0</v>
      </c>
      <c r="J420" s="3">
        <f>grocery_chain_data[[#This Row],[Total Amount]]-grocery_chain_data[[#This Row],[Discount Amount]]</f>
        <v>8</v>
      </c>
      <c r="K420">
        <v>473</v>
      </c>
      <c r="L420" t="str">
        <f>IF(grocery_chain_data[[#This Row],[Final Amount]]&lt;0,"Return","Sale")</f>
        <v>Sale</v>
      </c>
      <c r="M420">
        <f>IF(grocery_chain_data[[#This Row],[Final Amount]]&lt;0,0,grocery_chain_data[[#This Row],[Final Amount]])</f>
        <v>8</v>
      </c>
    </row>
    <row r="421" spans="1:13" x14ac:dyDescent="0.3">
      <c r="A421">
        <v>4937</v>
      </c>
      <c r="B421" t="s">
        <v>8</v>
      </c>
      <c r="C421" s="1">
        <v>45681</v>
      </c>
      <c r="D421" s="1" t="str">
        <f t="shared" si="6"/>
        <v>Produce</v>
      </c>
      <c r="E421" t="s">
        <v>18</v>
      </c>
      <c r="F421" s="2">
        <v>4</v>
      </c>
      <c r="G421" s="3">
        <v>21</v>
      </c>
      <c r="H421" s="3">
        <f>grocery_chain_data[[#This Row],[Quantity]]*grocery_chain_data[[#This Row],[Unit Price]]</f>
        <v>84</v>
      </c>
      <c r="I421" s="3">
        <v>17</v>
      </c>
      <c r="J421" s="3">
        <f>grocery_chain_data[[#This Row],[Total Amount]]-grocery_chain_data[[#This Row],[Discount Amount]]</f>
        <v>67</v>
      </c>
      <c r="K421">
        <v>88</v>
      </c>
      <c r="L421" t="str">
        <f>IF(grocery_chain_data[[#This Row],[Final Amount]]&lt;0,"Return","Sale")</f>
        <v>Sale</v>
      </c>
      <c r="M421">
        <f>IF(grocery_chain_data[[#This Row],[Final Amount]]&lt;0,0,grocery_chain_data[[#This Row],[Final Amount]])</f>
        <v>67</v>
      </c>
    </row>
    <row r="422" spans="1:13" x14ac:dyDescent="0.3">
      <c r="A422">
        <v>8800</v>
      </c>
      <c r="B422" t="s">
        <v>5</v>
      </c>
      <c r="C422" s="1">
        <v>45646</v>
      </c>
      <c r="D422" s="1" t="str">
        <f t="shared" si="6"/>
        <v>Pantry</v>
      </c>
      <c r="E422" t="s">
        <v>1</v>
      </c>
      <c r="F422" s="2">
        <v>4</v>
      </c>
      <c r="G422" s="3">
        <v>27</v>
      </c>
      <c r="H422" s="3">
        <f>grocery_chain_data[[#This Row],[Quantity]]*grocery_chain_data[[#This Row],[Unit Price]]</f>
        <v>108</v>
      </c>
      <c r="I422" s="3">
        <v>0</v>
      </c>
      <c r="J422" s="3">
        <f>grocery_chain_data[[#This Row],[Total Amount]]-grocery_chain_data[[#This Row],[Discount Amount]]</f>
        <v>108</v>
      </c>
      <c r="K422">
        <v>17</v>
      </c>
      <c r="L422" t="str">
        <f>IF(grocery_chain_data[[#This Row],[Final Amount]]&lt;0,"Return","Sale")</f>
        <v>Sale</v>
      </c>
      <c r="M422">
        <f>IF(grocery_chain_data[[#This Row],[Final Amount]]&lt;0,0,grocery_chain_data[[#This Row],[Final Amount]])</f>
        <v>108</v>
      </c>
    </row>
    <row r="423" spans="1:13" x14ac:dyDescent="0.3">
      <c r="A423">
        <v>9041</v>
      </c>
      <c r="B423" t="s">
        <v>12</v>
      </c>
      <c r="C423" s="1">
        <v>45493</v>
      </c>
      <c r="D423" s="1" t="str">
        <f t="shared" si="6"/>
        <v>Dairy</v>
      </c>
      <c r="E423" t="s">
        <v>3</v>
      </c>
      <c r="F423" s="2">
        <v>5</v>
      </c>
      <c r="G423" s="3">
        <v>15</v>
      </c>
      <c r="H423" s="3">
        <f>grocery_chain_data[[#This Row],[Quantity]]*grocery_chain_data[[#This Row],[Unit Price]]</f>
        <v>75</v>
      </c>
      <c r="I423" s="3">
        <v>7</v>
      </c>
      <c r="J423" s="3">
        <f>grocery_chain_data[[#This Row],[Total Amount]]-grocery_chain_data[[#This Row],[Discount Amount]]</f>
        <v>68</v>
      </c>
      <c r="K423">
        <v>44</v>
      </c>
      <c r="L423" t="str">
        <f>IF(grocery_chain_data[[#This Row],[Final Amount]]&lt;0,"Return","Sale")</f>
        <v>Sale</v>
      </c>
      <c r="M423">
        <f>IF(grocery_chain_data[[#This Row],[Final Amount]]&lt;0,0,grocery_chain_data[[#This Row],[Final Amount]])</f>
        <v>68</v>
      </c>
    </row>
    <row r="424" spans="1:13" x14ac:dyDescent="0.3">
      <c r="A424">
        <v>1282</v>
      </c>
      <c r="B424" t="s">
        <v>5</v>
      </c>
      <c r="C424" s="1">
        <v>45217</v>
      </c>
      <c r="D424" s="1" t="str">
        <f t="shared" si="6"/>
        <v>Dairy</v>
      </c>
      <c r="E424" t="s">
        <v>23</v>
      </c>
      <c r="F424" s="2">
        <v>5</v>
      </c>
      <c r="G424" s="3">
        <v>8</v>
      </c>
      <c r="H424" s="3">
        <f>grocery_chain_data[[#This Row],[Quantity]]*grocery_chain_data[[#This Row],[Unit Price]]</f>
        <v>40</v>
      </c>
      <c r="I424" s="3">
        <v>4</v>
      </c>
      <c r="J424" s="3">
        <f>grocery_chain_data[[#This Row],[Total Amount]]-grocery_chain_data[[#This Row],[Discount Amount]]</f>
        <v>36</v>
      </c>
      <c r="K424">
        <v>410</v>
      </c>
      <c r="L424" t="str">
        <f>IF(grocery_chain_data[[#This Row],[Final Amount]]&lt;0,"Return","Sale")</f>
        <v>Sale</v>
      </c>
      <c r="M424">
        <f>IF(grocery_chain_data[[#This Row],[Final Amount]]&lt;0,0,grocery_chain_data[[#This Row],[Final Amount]])</f>
        <v>36</v>
      </c>
    </row>
    <row r="425" spans="1:13" x14ac:dyDescent="0.3">
      <c r="A425">
        <v>5820</v>
      </c>
      <c r="B425" t="s">
        <v>16</v>
      </c>
      <c r="C425" s="1">
        <v>45317</v>
      </c>
      <c r="D425" s="1" t="str">
        <f t="shared" si="6"/>
        <v>Produce</v>
      </c>
      <c r="E425" t="s">
        <v>4</v>
      </c>
      <c r="F425" s="2">
        <v>4</v>
      </c>
      <c r="G425" s="3">
        <v>11</v>
      </c>
      <c r="H425" s="3">
        <f>grocery_chain_data[[#This Row],[Quantity]]*grocery_chain_data[[#This Row],[Unit Price]]</f>
        <v>44</v>
      </c>
      <c r="I425" s="3">
        <v>4</v>
      </c>
      <c r="J425" s="3">
        <f>grocery_chain_data[[#This Row],[Total Amount]]-grocery_chain_data[[#This Row],[Discount Amount]]</f>
        <v>40</v>
      </c>
      <c r="K425">
        <v>289</v>
      </c>
      <c r="L425" t="str">
        <f>IF(grocery_chain_data[[#This Row],[Final Amount]]&lt;0,"Return","Sale")</f>
        <v>Sale</v>
      </c>
      <c r="M425">
        <f>IF(grocery_chain_data[[#This Row],[Final Amount]]&lt;0,0,grocery_chain_data[[#This Row],[Final Amount]])</f>
        <v>40</v>
      </c>
    </row>
    <row r="426" spans="1:13" x14ac:dyDescent="0.3">
      <c r="A426">
        <v>7625</v>
      </c>
      <c r="B426" t="s">
        <v>12</v>
      </c>
      <c r="C426" s="1">
        <v>45682</v>
      </c>
      <c r="D426" s="1" t="str">
        <f t="shared" si="6"/>
        <v>Produce</v>
      </c>
      <c r="E426" t="s">
        <v>18</v>
      </c>
      <c r="F426" s="2">
        <v>3</v>
      </c>
      <c r="G426" s="3">
        <v>18</v>
      </c>
      <c r="H426" s="3">
        <f>grocery_chain_data[[#This Row],[Quantity]]*grocery_chain_data[[#This Row],[Unit Price]]</f>
        <v>54</v>
      </c>
      <c r="I426" s="3">
        <v>4</v>
      </c>
      <c r="J426" s="3">
        <f>grocery_chain_data[[#This Row],[Total Amount]]-grocery_chain_data[[#This Row],[Discount Amount]]</f>
        <v>50</v>
      </c>
      <c r="K426">
        <v>15</v>
      </c>
      <c r="L426" t="str">
        <f>IF(grocery_chain_data[[#This Row],[Final Amount]]&lt;0,"Return","Sale")</f>
        <v>Sale</v>
      </c>
      <c r="M426">
        <f>IF(grocery_chain_data[[#This Row],[Final Amount]]&lt;0,0,grocery_chain_data[[#This Row],[Final Amount]])</f>
        <v>50</v>
      </c>
    </row>
    <row r="427" spans="1:13" x14ac:dyDescent="0.3">
      <c r="A427">
        <v>4986</v>
      </c>
      <c r="B427" t="s">
        <v>10</v>
      </c>
      <c r="C427" s="1">
        <v>45382</v>
      </c>
      <c r="D427" s="1" t="str">
        <f t="shared" si="6"/>
        <v>Beverages</v>
      </c>
      <c r="E427" t="s">
        <v>7</v>
      </c>
      <c r="F427" s="2">
        <v>5</v>
      </c>
      <c r="G427" s="3">
        <v>30</v>
      </c>
      <c r="H427" s="3">
        <f>grocery_chain_data[[#This Row],[Quantity]]*grocery_chain_data[[#This Row],[Unit Price]]</f>
        <v>150</v>
      </c>
      <c r="I427" s="3">
        <v>2</v>
      </c>
      <c r="J427" s="3">
        <f>grocery_chain_data[[#This Row],[Total Amount]]-grocery_chain_data[[#This Row],[Discount Amount]]</f>
        <v>148</v>
      </c>
      <c r="K427">
        <v>498</v>
      </c>
      <c r="L427" t="str">
        <f>IF(grocery_chain_data[[#This Row],[Final Amount]]&lt;0,"Return","Sale")</f>
        <v>Sale</v>
      </c>
      <c r="M427">
        <f>IF(grocery_chain_data[[#This Row],[Final Amount]]&lt;0,0,grocery_chain_data[[#This Row],[Final Amount]])</f>
        <v>148</v>
      </c>
    </row>
    <row r="428" spans="1:13" x14ac:dyDescent="0.3">
      <c r="A428">
        <v>7046</v>
      </c>
      <c r="B428" t="s">
        <v>21</v>
      </c>
      <c r="C428" s="1">
        <v>45512</v>
      </c>
      <c r="D428" s="1" t="str">
        <f t="shared" si="6"/>
        <v>Produce</v>
      </c>
      <c r="E428" t="s">
        <v>4</v>
      </c>
      <c r="F428" s="2">
        <v>1</v>
      </c>
      <c r="G428" s="3">
        <v>23</v>
      </c>
      <c r="H428" s="3">
        <f>grocery_chain_data[[#This Row],[Quantity]]*grocery_chain_data[[#This Row],[Unit Price]]</f>
        <v>23</v>
      </c>
      <c r="I428" s="3">
        <v>4</v>
      </c>
      <c r="J428" s="3">
        <f>grocery_chain_data[[#This Row],[Total Amount]]-grocery_chain_data[[#This Row],[Discount Amount]]</f>
        <v>19</v>
      </c>
      <c r="K428">
        <v>485</v>
      </c>
      <c r="L428" t="str">
        <f>IF(grocery_chain_data[[#This Row],[Final Amount]]&lt;0,"Return","Sale")</f>
        <v>Sale</v>
      </c>
      <c r="M428">
        <f>IF(grocery_chain_data[[#This Row],[Final Amount]]&lt;0,0,grocery_chain_data[[#This Row],[Final Amount]])</f>
        <v>19</v>
      </c>
    </row>
    <row r="429" spans="1:13" x14ac:dyDescent="0.3">
      <c r="A429">
        <v>9698</v>
      </c>
      <c r="B429" t="s">
        <v>8</v>
      </c>
      <c r="C429" s="1">
        <v>45412</v>
      </c>
      <c r="D429" s="1" t="str">
        <f t="shared" si="6"/>
        <v>Produce</v>
      </c>
      <c r="E429" t="s">
        <v>11</v>
      </c>
      <c r="F429" s="2">
        <v>2</v>
      </c>
      <c r="G429" s="3">
        <v>8</v>
      </c>
      <c r="H429" s="3">
        <f>grocery_chain_data[[#This Row],[Quantity]]*grocery_chain_data[[#This Row],[Unit Price]]</f>
        <v>16</v>
      </c>
      <c r="I429" s="3">
        <v>1</v>
      </c>
      <c r="J429" s="3">
        <f>grocery_chain_data[[#This Row],[Total Amount]]-grocery_chain_data[[#This Row],[Discount Amount]]</f>
        <v>15</v>
      </c>
      <c r="K429">
        <v>162</v>
      </c>
      <c r="L429" t="str">
        <f>IF(grocery_chain_data[[#This Row],[Final Amount]]&lt;0,"Return","Sale")</f>
        <v>Sale</v>
      </c>
      <c r="M429">
        <f>IF(grocery_chain_data[[#This Row],[Final Amount]]&lt;0,0,grocery_chain_data[[#This Row],[Final Amount]])</f>
        <v>15</v>
      </c>
    </row>
    <row r="430" spans="1:13" x14ac:dyDescent="0.3">
      <c r="A430">
        <v>7971</v>
      </c>
      <c r="B430" t="s">
        <v>16</v>
      </c>
      <c r="C430" s="1">
        <v>45724</v>
      </c>
      <c r="D430" s="1" t="str">
        <f t="shared" si="6"/>
        <v>Dairy</v>
      </c>
      <c r="E430" t="s">
        <v>20</v>
      </c>
      <c r="F430" s="2">
        <v>5</v>
      </c>
      <c r="G430" s="3">
        <v>28</v>
      </c>
      <c r="H430" s="3">
        <f>grocery_chain_data[[#This Row],[Quantity]]*grocery_chain_data[[#This Row],[Unit Price]]</f>
        <v>140</v>
      </c>
      <c r="I430" s="3">
        <v>2</v>
      </c>
      <c r="J430" s="3">
        <f>grocery_chain_data[[#This Row],[Total Amount]]-grocery_chain_data[[#This Row],[Discount Amount]]</f>
        <v>138</v>
      </c>
      <c r="K430">
        <v>428</v>
      </c>
      <c r="L430" t="str">
        <f>IF(grocery_chain_data[[#This Row],[Final Amount]]&lt;0,"Return","Sale")</f>
        <v>Sale</v>
      </c>
      <c r="M430">
        <f>IF(grocery_chain_data[[#This Row],[Final Amount]]&lt;0,0,grocery_chain_data[[#This Row],[Final Amount]])</f>
        <v>138</v>
      </c>
    </row>
    <row r="431" spans="1:13" x14ac:dyDescent="0.3">
      <c r="A431">
        <v>6419</v>
      </c>
      <c r="B431" t="s">
        <v>10</v>
      </c>
      <c r="C431" s="1">
        <v>45418</v>
      </c>
      <c r="D431" s="1" t="str">
        <f t="shared" si="6"/>
        <v>Bakery</v>
      </c>
      <c r="E431" t="s">
        <v>22</v>
      </c>
      <c r="F431" s="2">
        <v>1</v>
      </c>
      <c r="G431" s="3">
        <v>8</v>
      </c>
      <c r="H431" s="3">
        <f>grocery_chain_data[[#This Row],[Quantity]]*grocery_chain_data[[#This Row],[Unit Price]]</f>
        <v>8</v>
      </c>
      <c r="I431" s="3">
        <v>3</v>
      </c>
      <c r="J431" s="3">
        <f>grocery_chain_data[[#This Row],[Total Amount]]-grocery_chain_data[[#This Row],[Discount Amount]]</f>
        <v>5</v>
      </c>
      <c r="K431">
        <v>112</v>
      </c>
      <c r="L431" t="str">
        <f>IF(grocery_chain_data[[#This Row],[Final Amount]]&lt;0,"Return","Sale")</f>
        <v>Sale</v>
      </c>
      <c r="M431">
        <f>IF(grocery_chain_data[[#This Row],[Final Amount]]&lt;0,0,grocery_chain_data[[#This Row],[Final Amount]])</f>
        <v>5</v>
      </c>
    </row>
    <row r="432" spans="1:13" x14ac:dyDescent="0.3">
      <c r="A432">
        <v>8434</v>
      </c>
      <c r="B432" t="s">
        <v>16</v>
      </c>
      <c r="C432" s="1">
        <v>45355</v>
      </c>
      <c r="D432" s="1" t="str">
        <f t="shared" si="6"/>
        <v>Dairy</v>
      </c>
      <c r="E432" t="s">
        <v>23</v>
      </c>
      <c r="F432" s="2">
        <v>2</v>
      </c>
      <c r="G432" s="3">
        <v>11</v>
      </c>
      <c r="H432" s="3">
        <f>grocery_chain_data[[#This Row],[Quantity]]*grocery_chain_data[[#This Row],[Unit Price]]</f>
        <v>22</v>
      </c>
      <c r="I432" s="3">
        <v>1</v>
      </c>
      <c r="J432" s="3">
        <f>grocery_chain_data[[#This Row],[Total Amount]]-grocery_chain_data[[#This Row],[Discount Amount]]</f>
        <v>21</v>
      </c>
      <c r="K432">
        <v>90</v>
      </c>
      <c r="L432" t="str">
        <f>IF(grocery_chain_data[[#This Row],[Final Amount]]&lt;0,"Return","Sale")</f>
        <v>Sale</v>
      </c>
      <c r="M432">
        <f>IF(grocery_chain_data[[#This Row],[Final Amount]]&lt;0,0,grocery_chain_data[[#This Row],[Final Amount]])</f>
        <v>21</v>
      </c>
    </row>
    <row r="433" spans="1:13" x14ac:dyDescent="0.3">
      <c r="A433">
        <v>6023</v>
      </c>
      <c r="B433" t="s">
        <v>5</v>
      </c>
      <c r="C433" s="1">
        <v>45340</v>
      </c>
      <c r="D433" s="1" t="str">
        <f t="shared" si="6"/>
        <v>Produce</v>
      </c>
      <c r="E433" t="s">
        <v>24</v>
      </c>
      <c r="F433" s="2">
        <v>3</v>
      </c>
      <c r="G433" s="3">
        <v>29</v>
      </c>
      <c r="H433" s="3">
        <f>grocery_chain_data[[#This Row],[Quantity]]*grocery_chain_data[[#This Row],[Unit Price]]</f>
        <v>87</v>
      </c>
      <c r="I433" s="3">
        <v>1</v>
      </c>
      <c r="J433" s="3">
        <f>grocery_chain_data[[#This Row],[Total Amount]]-grocery_chain_data[[#This Row],[Discount Amount]]</f>
        <v>86</v>
      </c>
      <c r="K433">
        <v>191</v>
      </c>
      <c r="L433" t="str">
        <f>IF(grocery_chain_data[[#This Row],[Final Amount]]&lt;0,"Return","Sale")</f>
        <v>Sale</v>
      </c>
      <c r="M433">
        <f>IF(grocery_chain_data[[#This Row],[Final Amount]]&lt;0,0,grocery_chain_data[[#This Row],[Final Amount]])</f>
        <v>86</v>
      </c>
    </row>
    <row r="434" spans="1:13" x14ac:dyDescent="0.3">
      <c r="A434">
        <v>4777</v>
      </c>
      <c r="B434" t="s">
        <v>12</v>
      </c>
      <c r="C434" s="1">
        <v>45238</v>
      </c>
      <c r="D434" s="1" t="str">
        <f t="shared" si="6"/>
        <v>Dairy</v>
      </c>
      <c r="E434" t="s">
        <v>20</v>
      </c>
      <c r="F434" s="2">
        <v>2</v>
      </c>
      <c r="G434" s="3">
        <v>22</v>
      </c>
      <c r="H434" s="3">
        <f>grocery_chain_data[[#This Row],[Quantity]]*grocery_chain_data[[#This Row],[Unit Price]]</f>
        <v>44</v>
      </c>
      <c r="I434" s="3">
        <v>0</v>
      </c>
      <c r="J434" s="3">
        <f>grocery_chain_data[[#This Row],[Total Amount]]-grocery_chain_data[[#This Row],[Discount Amount]]</f>
        <v>44</v>
      </c>
      <c r="K434">
        <v>223</v>
      </c>
      <c r="L434" t="str">
        <f>IF(grocery_chain_data[[#This Row],[Final Amount]]&lt;0,"Return","Sale")</f>
        <v>Sale</v>
      </c>
      <c r="M434">
        <f>IF(grocery_chain_data[[#This Row],[Final Amount]]&lt;0,0,grocery_chain_data[[#This Row],[Final Amount]])</f>
        <v>44</v>
      </c>
    </row>
    <row r="435" spans="1:13" x14ac:dyDescent="0.3">
      <c r="A435">
        <v>4155</v>
      </c>
      <c r="B435" t="s">
        <v>16</v>
      </c>
      <c r="C435" s="1">
        <v>45390</v>
      </c>
      <c r="D435" s="1" t="str">
        <f t="shared" si="6"/>
        <v>Produce</v>
      </c>
      <c r="E435" t="s">
        <v>4</v>
      </c>
      <c r="F435" s="2">
        <v>5</v>
      </c>
      <c r="G435" s="3">
        <v>24</v>
      </c>
      <c r="H435" s="3">
        <f>grocery_chain_data[[#This Row],[Quantity]]*grocery_chain_data[[#This Row],[Unit Price]]</f>
        <v>120</v>
      </c>
      <c r="I435" s="3">
        <v>12</v>
      </c>
      <c r="J435" s="3">
        <f>grocery_chain_data[[#This Row],[Total Amount]]-grocery_chain_data[[#This Row],[Discount Amount]]</f>
        <v>108</v>
      </c>
      <c r="K435">
        <v>114</v>
      </c>
      <c r="L435" t="str">
        <f>IF(grocery_chain_data[[#This Row],[Final Amount]]&lt;0,"Return","Sale")</f>
        <v>Sale</v>
      </c>
      <c r="M435">
        <f>IF(grocery_chain_data[[#This Row],[Final Amount]]&lt;0,0,grocery_chain_data[[#This Row],[Final Amount]])</f>
        <v>108</v>
      </c>
    </row>
    <row r="436" spans="1:13" x14ac:dyDescent="0.3">
      <c r="A436">
        <v>2958</v>
      </c>
      <c r="B436" t="s">
        <v>12</v>
      </c>
      <c r="C436" s="1">
        <v>45722</v>
      </c>
      <c r="D436" s="1" t="str">
        <f t="shared" si="6"/>
        <v>Dairy</v>
      </c>
      <c r="E436" t="s">
        <v>20</v>
      </c>
      <c r="F436" s="2">
        <v>2</v>
      </c>
      <c r="G436" s="3">
        <v>22</v>
      </c>
      <c r="H436" s="3">
        <f>grocery_chain_data[[#This Row],[Quantity]]*grocery_chain_data[[#This Row],[Unit Price]]</f>
        <v>44</v>
      </c>
      <c r="I436" s="3">
        <v>1</v>
      </c>
      <c r="J436" s="3">
        <f>grocery_chain_data[[#This Row],[Total Amount]]-grocery_chain_data[[#This Row],[Discount Amount]]</f>
        <v>43</v>
      </c>
      <c r="K436">
        <v>485</v>
      </c>
      <c r="L436" t="str">
        <f>IF(grocery_chain_data[[#This Row],[Final Amount]]&lt;0,"Return","Sale")</f>
        <v>Sale</v>
      </c>
      <c r="M436">
        <f>IF(grocery_chain_data[[#This Row],[Final Amount]]&lt;0,0,grocery_chain_data[[#This Row],[Final Amount]])</f>
        <v>43</v>
      </c>
    </row>
    <row r="437" spans="1:13" x14ac:dyDescent="0.3">
      <c r="A437">
        <v>9779</v>
      </c>
      <c r="B437" t="s">
        <v>16</v>
      </c>
      <c r="C437" s="1">
        <v>45737</v>
      </c>
      <c r="D437" s="1" t="str">
        <f t="shared" si="6"/>
        <v>Meat &amp; Seafood</v>
      </c>
      <c r="E437" t="s">
        <v>9</v>
      </c>
      <c r="F437" s="2">
        <v>5</v>
      </c>
      <c r="G437" s="3">
        <v>4</v>
      </c>
      <c r="H437" s="3">
        <f>grocery_chain_data[[#This Row],[Quantity]]*grocery_chain_data[[#This Row],[Unit Price]]</f>
        <v>20</v>
      </c>
      <c r="I437" s="3">
        <v>3</v>
      </c>
      <c r="J437" s="3">
        <f>grocery_chain_data[[#This Row],[Total Amount]]-grocery_chain_data[[#This Row],[Discount Amount]]</f>
        <v>17</v>
      </c>
      <c r="K437">
        <v>254</v>
      </c>
      <c r="L437" t="str">
        <f>IF(grocery_chain_data[[#This Row],[Final Amount]]&lt;0,"Return","Sale")</f>
        <v>Sale</v>
      </c>
      <c r="M437">
        <f>IF(grocery_chain_data[[#This Row],[Final Amount]]&lt;0,0,grocery_chain_data[[#This Row],[Final Amount]])</f>
        <v>17</v>
      </c>
    </row>
    <row r="438" spans="1:13" x14ac:dyDescent="0.3">
      <c r="A438">
        <v>4033</v>
      </c>
      <c r="B438" t="s">
        <v>0</v>
      </c>
      <c r="C438" s="1">
        <v>45293</v>
      </c>
      <c r="D438" s="1" t="str">
        <f t="shared" si="6"/>
        <v>Beverages</v>
      </c>
      <c r="E438" t="s">
        <v>7</v>
      </c>
      <c r="F438" s="2">
        <v>3</v>
      </c>
      <c r="G438" s="3">
        <v>6</v>
      </c>
      <c r="H438" s="3">
        <f>grocery_chain_data[[#This Row],[Quantity]]*grocery_chain_data[[#This Row],[Unit Price]]</f>
        <v>18</v>
      </c>
      <c r="I438" s="3">
        <v>0</v>
      </c>
      <c r="J438" s="3">
        <f>grocery_chain_data[[#This Row],[Total Amount]]-grocery_chain_data[[#This Row],[Discount Amount]]</f>
        <v>18</v>
      </c>
      <c r="K438">
        <v>453</v>
      </c>
      <c r="L438" t="str">
        <f>IF(grocery_chain_data[[#This Row],[Final Amount]]&lt;0,"Return","Sale")</f>
        <v>Sale</v>
      </c>
      <c r="M438">
        <f>IF(grocery_chain_data[[#This Row],[Final Amount]]&lt;0,0,grocery_chain_data[[#This Row],[Final Amount]])</f>
        <v>18</v>
      </c>
    </row>
    <row r="439" spans="1:13" x14ac:dyDescent="0.3">
      <c r="A439">
        <v>4545</v>
      </c>
      <c r="B439" t="s">
        <v>16</v>
      </c>
      <c r="C439" s="1">
        <v>45718</v>
      </c>
      <c r="D439" s="1" t="str">
        <f t="shared" si="6"/>
        <v>Produce</v>
      </c>
      <c r="E439" t="s">
        <v>18</v>
      </c>
      <c r="F439" s="2">
        <v>3</v>
      </c>
      <c r="G439" s="3">
        <v>7</v>
      </c>
      <c r="H439" s="3">
        <f>grocery_chain_data[[#This Row],[Quantity]]*grocery_chain_data[[#This Row],[Unit Price]]</f>
        <v>21</v>
      </c>
      <c r="I439" s="3">
        <v>3</v>
      </c>
      <c r="J439" s="3">
        <f>grocery_chain_data[[#This Row],[Total Amount]]-grocery_chain_data[[#This Row],[Discount Amount]]</f>
        <v>18</v>
      </c>
      <c r="K439">
        <v>354</v>
      </c>
      <c r="L439" t="str">
        <f>IF(grocery_chain_data[[#This Row],[Final Amount]]&lt;0,"Return","Sale")</f>
        <v>Sale</v>
      </c>
      <c r="M439">
        <f>IF(grocery_chain_data[[#This Row],[Final Amount]]&lt;0,0,grocery_chain_data[[#This Row],[Final Amount]])</f>
        <v>18</v>
      </c>
    </row>
    <row r="440" spans="1:13" x14ac:dyDescent="0.3">
      <c r="A440">
        <v>8933</v>
      </c>
      <c r="B440" t="s">
        <v>12</v>
      </c>
      <c r="C440" s="1">
        <v>45359</v>
      </c>
      <c r="D440" s="1" t="str">
        <f t="shared" si="6"/>
        <v>Produce</v>
      </c>
      <c r="E440" t="s">
        <v>18</v>
      </c>
      <c r="F440" s="2">
        <v>1</v>
      </c>
      <c r="G440" s="3">
        <v>12</v>
      </c>
      <c r="H440" s="3">
        <f>grocery_chain_data[[#This Row],[Quantity]]*grocery_chain_data[[#This Row],[Unit Price]]</f>
        <v>12</v>
      </c>
      <c r="I440" s="3">
        <v>2</v>
      </c>
      <c r="J440" s="3">
        <f>grocery_chain_data[[#This Row],[Total Amount]]-grocery_chain_data[[#This Row],[Discount Amount]]</f>
        <v>10</v>
      </c>
      <c r="K440">
        <v>375</v>
      </c>
      <c r="L440" t="str">
        <f>IF(grocery_chain_data[[#This Row],[Final Amount]]&lt;0,"Return","Sale")</f>
        <v>Sale</v>
      </c>
      <c r="M440">
        <f>IF(grocery_chain_data[[#This Row],[Final Amount]]&lt;0,0,grocery_chain_data[[#This Row],[Final Amount]])</f>
        <v>10</v>
      </c>
    </row>
    <row r="441" spans="1:13" x14ac:dyDescent="0.3">
      <c r="A441">
        <v>9595</v>
      </c>
      <c r="B441" t="s">
        <v>8</v>
      </c>
      <c r="C441" s="1">
        <v>45608</v>
      </c>
      <c r="D441" s="1" t="str">
        <f t="shared" si="6"/>
        <v>Produce</v>
      </c>
      <c r="E441" t="s">
        <v>14</v>
      </c>
      <c r="F441" s="2">
        <v>3</v>
      </c>
      <c r="G441" s="3">
        <v>17</v>
      </c>
      <c r="H441" s="3">
        <f>grocery_chain_data[[#This Row],[Quantity]]*grocery_chain_data[[#This Row],[Unit Price]]</f>
        <v>51</v>
      </c>
      <c r="I441" s="3">
        <v>4</v>
      </c>
      <c r="J441" s="3">
        <f>grocery_chain_data[[#This Row],[Total Amount]]-grocery_chain_data[[#This Row],[Discount Amount]]</f>
        <v>47</v>
      </c>
      <c r="K441">
        <v>51</v>
      </c>
      <c r="L441" t="str">
        <f>IF(grocery_chain_data[[#This Row],[Final Amount]]&lt;0,"Return","Sale")</f>
        <v>Sale</v>
      </c>
      <c r="M441">
        <f>IF(grocery_chain_data[[#This Row],[Final Amount]]&lt;0,0,grocery_chain_data[[#This Row],[Final Amount]])</f>
        <v>47</v>
      </c>
    </row>
    <row r="442" spans="1:13" x14ac:dyDescent="0.3">
      <c r="A442">
        <v>5636</v>
      </c>
      <c r="B442" t="s">
        <v>21</v>
      </c>
      <c r="C442" s="1">
        <v>45223</v>
      </c>
      <c r="D442" s="1" t="str">
        <f t="shared" si="6"/>
        <v>Meat &amp; Seafood</v>
      </c>
      <c r="E442" t="s">
        <v>15</v>
      </c>
      <c r="F442" s="2">
        <v>1</v>
      </c>
      <c r="G442" s="3">
        <v>24</v>
      </c>
      <c r="H442" s="3">
        <f>grocery_chain_data[[#This Row],[Quantity]]*grocery_chain_data[[#This Row],[Unit Price]]</f>
        <v>24</v>
      </c>
      <c r="I442" s="3">
        <v>2</v>
      </c>
      <c r="J442" s="3">
        <f>grocery_chain_data[[#This Row],[Total Amount]]-grocery_chain_data[[#This Row],[Discount Amount]]</f>
        <v>22</v>
      </c>
      <c r="K442">
        <v>17</v>
      </c>
      <c r="L442" t="str">
        <f>IF(grocery_chain_data[[#This Row],[Final Amount]]&lt;0,"Return","Sale")</f>
        <v>Sale</v>
      </c>
      <c r="M442">
        <f>IF(grocery_chain_data[[#This Row],[Final Amount]]&lt;0,0,grocery_chain_data[[#This Row],[Final Amount]])</f>
        <v>22</v>
      </c>
    </row>
    <row r="443" spans="1:13" x14ac:dyDescent="0.3">
      <c r="A443">
        <v>4180</v>
      </c>
      <c r="B443" t="s">
        <v>0</v>
      </c>
      <c r="C443" s="1">
        <v>45375</v>
      </c>
      <c r="D443" s="1" t="str">
        <f t="shared" si="6"/>
        <v>Pantry</v>
      </c>
      <c r="E443" t="s">
        <v>6</v>
      </c>
      <c r="F443" s="2">
        <v>2</v>
      </c>
      <c r="G443" s="3">
        <v>27</v>
      </c>
      <c r="H443" s="3">
        <f>grocery_chain_data[[#This Row],[Quantity]]*grocery_chain_data[[#This Row],[Unit Price]]</f>
        <v>54</v>
      </c>
      <c r="I443" s="3">
        <v>5</v>
      </c>
      <c r="J443" s="3">
        <f>grocery_chain_data[[#This Row],[Total Amount]]-grocery_chain_data[[#This Row],[Discount Amount]]</f>
        <v>49</v>
      </c>
      <c r="K443">
        <v>82</v>
      </c>
      <c r="L443" t="str">
        <f>IF(grocery_chain_data[[#This Row],[Final Amount]]&lt;0,"Return","Sale")</f>
        <v>Sale</v>
      </c>
      <c r="M443">
        <f>IF(grocery_chain_data[[#This Row],[Final Amount]]&lt;0,0,grocery_chain_data[[#This Row],[Final Amount]])</f>
        <v>49</v>
      </c>
    </row>
    <row r="444" spans="1:13" x14ac:dyDescent="0.3">
      <c r="A444">
        <v>4727</v>
      </c>
      <c r="B444" t="s">
        <v>0</v>
      </c>
      <c r="C444" s="1">
        <v>45425</v>
      </c>
      <c r="D444" s="1" t="str">
        <f t="shared" si="6"/>
        <v>Produce</v>
      </c>
      <c r="E444" t="s">
        <v>25</v>
      </c>
      <c r="F444" s="2">
        <v>1</v>
      </c>
      <c r="G444" s="3">
        <v>14</v>
      </c>
      <c r="H444" s="3">
        <f>grocery_chain_data[[#This Row],[Quantity]]*grocery_chain_data[[#This Row],[Unit Price]]</f>
        <v>14</v>
      </c>
      <c r="I444" s="3">
        <v>5</v>
      </c>
      <c r="J444" s="3">
        <f>grocery_chain_data[[#This Row],[Total Amount]]-grocery_chain_data[[#This Row],[Discount Amount]]</f>
        <v>9</v>
      </c>
      <c r="K444">
        <v>334</v>
      </c>
      <c r="L444" t="str">
        <f>IF(grocery_chain_data[[#This Row],[Final Amount]]&lt;0,"Return","Sale")</f>
        <v>Sale</v>
      </c>
      <c r="M444">
        <f>IF(grocery_chain_data[[#This Row],[Final Amount]]&lt;0,0,grocery_chain_data[[#This Row],[Final Amount]])</f>
        <v>9</v>
      </c>
    </row>
    <row r="445" spans="1:13" x14ac:dyDescent="0.3">
      <c r="A445">
        <v>3939</v>
      </c>
      <c r="B445" t="s">
        <v>5</v>
      </c>
      <c r="C445" s="1">
        <v>45379</v>
      </c>
      <c r="D445" s="1" t="str">
        <f t="shared" si="6"/>
        <v>Meat &amp; Seafood</v>
      </c>
      <c r="E445" t="s">
        <v>26</v>
      </c>
      <c r="F445" s="2">
        <v>3</v>
      </c>
      <c r="G445" s="3">
        <v>7</v>
      </c>
      <c r="H445" s="3">
        <f>grocery_chain_data[[#This Row],[Quantity]]*grocery_chain_data[[#This Row],[Unit Price]]</f>
        <v>21</v>
      </c>
      <c r="I445" s="3">
        <v>0</v>
      </c>
      <c r="J445" s="3">
        <f>grocery_chain_data[[#This Row],[Total Amount]]-grocery_chain_data[[#This Row],[Discount Amount]]</f>
        <v>21</v>
      </c>
      <c r="K445">
        <v>97</v>
      </c>
      <c r="L445" t="str">
        <f>IF(grocery_chain_data[[#This Row],[Final Amount]]&lt;0,"Return","Sale")</f>
        <v>Sale</v>
      </c>
      <c r="M445">
        <f>IF(grocery_chain_data[[#This Row],[Final Amount]]&lt;0,0,grocery_chain_data[[#This Row],[Final Amount]])</f>
        <v>21</v>
      </c>
    </row>
    <row r="446" spans="1:13" x14ac:dyDescent="0.3">
      <c r="A446">
        <v>1231</v>
      </c>
      <c r="B446" t="s">
        <v>2</v>
      </c>
      <c r="C446" s="1">
        <v>45694</v>
      </c>
      <c r="D446" s="1" t="str">
        <f t="shared" si="6"/>
        <v>Pantry</v>
      </c>
      <c r="E446" t="s">
        <v>1</v>
      </c>
      <c r="F446" s="2">
        <v>3</v>
      </c>
      <c r="G446" s="3">
        <v>10</v>
      </c>
      <c r="H446" s="3">
        <f>grocery_chain_data[[#This Row],[Quantity]]*grocery_chain_data[[#This Row],[Unit Price]]</f>
        <v>30</v>
      </c>
      <c r="I446" s="3">
        <v>3</v>
      </c>
      <c r="J446" s="3">
        <f>grocery_chain_data[[#This Row],[Total Amount]]-grocery_chain_data[[#This Row],[Discount Amount]]</f>
        <v>27</v>
      </c>
      <c r="K446">
        <v>49</v>
      </c>
      <c r="L446" t="str">
        <f>IF(grocery_chain_data[[#This Row],[Final Amount]]&lt;0,"Return","Sale")</f>
        <v>Sale</v>
      </c>
      <c r="M446">
        <f>IF(grocery_chain_data[[#This Row],[Final Amount]]&lt;0,0,grocery_chain_data[[#This Row],[Final Amount]])</f>
        <v>27</v>
      </c>
    </row>
    <row r="447" spans="1:13" x14ac:dyDescent="0.3">
      <c r="A447">
        <v>9751</v>
      </c>
      <c r="B447" t="s">
        <v>2</v>
      </c>
      <c r="C447" s="1">
        <v>45243</v>
      </c>
      <c r="D447" s="1" t="str">
        <f t="shared" si="6"/>
        <v>Dairy</v>
      </c>
      <c r="E447" t="s">
        <v>20</v>
      </c>
      <c r="F447" s="2">
        <v>1</v>
      </c>
      <c r="G447" s="3">
        <v>11</v>
      </c>
      <c r="H447" s="3">
        <f>grocery_chain_data[[#This Row],[Quantity]]*grocery_chain_data[[#This Row],[Unit Price]]</f>
        <v>11</v>
      </c>
      <c r="I447" s="3">
        <v>2</v>
      </c>
      <c r="J447" s="3">
        <f>grocery_chain_data[[#This Row],[Total Amount]]-grocery_chain_data[[#This Row],[Discount Amount]]</f>
        <v>9</v>
      </c>
      <c r="K447">
        <v>218</v>
      </c>
      <c r="L447" t="str">
        <f>IF(grocery_chain_data[[#This Row],[Final Amount]]&lt;0,"Return","Sale")</f>
        <v>Sale</v>
      </c>
      <c r="M447">
        <f>IF(grocery_chain_data[[#This Row],[Final Amount]]&lt;0,0,grocery_chain_data[[#This Row],[Final Amount]])</f>
        <v>9</v>
      </c>
    </row>
    <row r="448" spans="1:13" x14ac:dyDescent="0.3">
      <c r="A448">
        <v>5494</v>
      </c>
      <c r="B448" t="s">
        <v>10</v>
      </c>
      <c r="C448" s="1">
        <v>45180</v>
      </c>
      <c r="D448" s="1" t="str">
        <f t="shared" si="6"/>
        <v>Meat &amp; Seafood</v>
      </c>
      <c r="E448" t="s">
        <v>26</v>
      </c>
      <c r="F448" s="2">
        <v>1</v>
      </c>
      <c r="G448" s="3">
        <v>7</v>
      </c>
      <c r="H448" s="3">
        <f>grocery_chain_data[[#This Row],[Quantity]]*grocery_chain_data[[#This Row],[Unit Price]]</f>
        <v>7</v>
      </c>
      <c r="I448" s="3">
        <v>3</v>
      </c>
      <c r="J448" s="3">
        <f>grocery_chain_data[[#This Row],[Total Amount]]-grocery_chain_data[[#This Row],[Discount Amount]]</f>
        <v>4</v>
      </c>
      <c r="K448">
        <v>326</v>
      </c>
      <c r="L448" t="str">
        <f>IF(grocery_chain_data[[#This Row],[Final Amount]]&lt;0,"Return","Sale")</f>
        <v>Sale</v>
      </c>
      <c r="M448">
        <f>IF(grocery_chain_data[[#This Row],[Final Amount]]&lt;0,0,grocery_chain_data[[#This Row],[Final Amount]])</f>
        <v>4</v>
      </c>
    </row>
    <row r="449" spans="1:13" x14ac:dyDescent="0.3">
      <c r="A449">
        <v>1893</v>
      </c>
      <c r="B449" t="s">
        <v>0</v>
      </c>
      <c r="C449" s="1">
        <v>45574</v>
      </c>
      <c r="D449" s="1" t="str">
        <f t="shared" si="6"/>
        <v>Produce</v>
      </c>
      <c r="E449" t="s">
        <v>14</v>
      </c>
      <c r="F449" s="2">
        <v>4</v>
      </c>
      <c r="G449" s="3">
        <v>15</v>
      </c>
      <c r="H449" s="3">
        <f>grocery_chain_data[[#This Row],[Quantity]]*grocery_chain_data[[#This Row],[Unit Price]]</f>
        <v>60</v>
      </c>
      <c r="I449" s="3">
        <v>4</v>
      </c>
      <c r="J449" s="3">
        <f>grocery_chain_data[[#This Row],[Total Amount]]-grocery_chain_data[[#This Row],[Discount Amount]]</f>
        <v>56</v>
      </c>
      <c r="K449">
        <v>338</v>
      </c>
      <c r="L449" t="str">
        <f>IF(grocery_chain_data[[#This Row],[Final Amount]]&lt;0,"Return","Sale")</f>
        <v>Sale</v>
      </c>
      <c r="M449">
        <f>IF(grocery_chain_data[[#This Row],[Final Amount]]&lt;0,0,grocery_chain_data[[#This Row],[Final Amount]])</f>
        <v>56</v>
      </c>
    </row>
    <row r="450" spans="1:13" x14ac:dyDescent="0.3">
      <c r="A450">
        <v>5786</v>
      </c>
      <c r="B450" t="s">
        <v>8</v>
      </c>
      <c r="C450" s="1">
        <v>45686</v>
      </c>
      <c r="D450" s="1" t="str">
        <f t="shared" ref="D450:D513" si="7">IF(E450="Pasta","Pantry",
IF(E450="Cheese","Dairy",
IF(E450="Onions","Produce",
IF(E450="Cereal","Pantry",
IF(E450="Orange Juice","Beverages",
IF(E450="Ground Beef","Meat &amp; Seafood",
IF(E450="Apples","Produce",
IF(E450="Milk","Dairy",
IF(E450="Bananas","Produce",
IF(E450="Bread","Bakery",
IF(E450="Carrots","Produce",
IF(E450="Chicken Breast","Meat &amp; Seafood",
IF(E450="Eggs","Dairy",
IF(E450="Potatoes","Produce",
IF(E450="Rice","Produce",
IF(E450="Salmon","Meat &amp; Seafood",
IF(E450="Tomatoes","Produce",
IF(E450="Yogurt","Dairy",
"Others"))))))))))))))))))</f>
        <v>Beverages</v>
      </c>
      <c r="E450" t="s">
        <v>7</v>
      </c>
      <c r="F450" s="2">
        <v>4</v>
      </c>
      <c r="G450" s="3">
        <v>12</v>
      </c>
      <c r="H450" s="3">
        <f>grocery_chain_data[[#This Row],[Quantity]]*grocery_chain_data[[#This Row],[Unit Price]]</f>
        <v>48</v>
      </c>
      <c r="I450" s="3">
        <v>7</v>
      </c>
      <c r="J450" s="3">
        <f>grocery_chain_data[[#This Row],[Total Amount]]-grocery_chain_data[[#This Row],[Discount Amount]]</f>
        <v>41</v>
      </c>
      <c r="K450">
        <v>228</v>
      </c>
      <c r="L450" t="str">
        <f>IF(grocery_chain_data[[#This Row],[Final Amount]]&lt;0,"Return","Sale")</f>
        <v>Sale</v>
      </c>
      <c r="M450">
        <f>IF(grocery_chain_data[[#This Row],[Final Amount]]&lt;0,0,grocery_chain_data[[#This Row],[Final Amount]])</f>
        <v>41</v>
      </c>
    </row>
    <row r="451" spans="1:13" x14ac:dyDescent="0.3">
      <c r="A451">
        <v>3068</v>
      </c>
      <c r="B451" t="s">
        <v>10</v>
      </c>
      <c r="C451" s="1">
        <v>45640</v>
      </c>
      <c r="D451" s="1" t="str">
        <f t="shared" si="7"/>
        <v>Pantry</v>
      </c>
      <c r="E451" t="s">
        <v>1</v>
      </c>
      <c r="F451" s="2">
        <v>2</v>
      </c>
      <c r="G451" s="3">
        <v>25</v>
      </c>
      <c r="H451" s="3">
        <f>grocery_chain_data[[#This Row],[Quantity]]*grocery_chain_data[[#This Row],[Unit Price]]</f>
        <v>50</v>
      </c>
      <c r="I451" s="3">
        <v>10</v>
      </c>
      <c r="J451" s="3">
        <f>grocery_chain_data[[#This Row],[Total Amount]]-grocery_chain_data[[#This Row],[Discount Amount]]</f>
        <v>40</v>
      </c>
      <c r="K451">
        <v>288</v>
      </c>
      <c r="L451" t="str">
        <f>IF(grocery_chain_data[[#This Row],[Final Amount]]&lt;0,"Return","Sale")</f>
        <v>Sale</v>
      </c>
      <c r="M451">
        <f>IF(grocery_chain_data[[#This Row],[Final Amount]]&lt;0,0,grocery_chain_data[[#This Row],[Final Amount]])</f>
        <v>40</v>
      </c>
    </row>
    <row r="452" spans="1:13" x14ac:dyDescent="0.3">
      <c r="A452">
        <v>9042</v>
      </c>
      <c r="B452" t="s">
        <v>0</v>
      </c>
      <c r="C452" s="1">
        <v>45224</v>
      </c>
      <c r="D452" s="1" t="str">
        <f t="shared" si="7"/>
        <v>Beverages</v>
      </c>
      <c r="E452" t="s">
        <v>7</v>
      </c>
      <c r="F452" s="2">
        <v>5</v>
      </c>
      <c r="G452" s="3">
        <v>13</v>
      </c>
      <c r="H452" s="3">
        <f>grocery_chain_data[[#This Row],[Quantity]]*grocery_chain_data[[#This Row],[Unit Price]]</f>
        <v>65</v>
      </c>
      <c r="I452" s="3">
        <v>1</v>
      </c>
      <c r="J452" s="3">
        <f>grocery_chain_data[[#This Row],[Total Amount]]-grocery_chain_data[[#This Row],[Discount Amount]]</f>
        <v>64</v>
      </c>
      <c r="K452">
        <v>387</v>
      </c>
      <c r="L452" t="str">
        <f>IF(grocery_chain_data[[#This Row],[Final Amount]]&lt;0,"Return","Sale")</f>
        <v>Sale</v>
      </c>
      <c r="M452">
        <f>IF(grocery_chain_data[[#This Row],[Final Amount]]&lt;0,0,grocery_chain_data[[#This Row],[Final Amount]])</f>
        <v>64</v>
      </c>
    </row>
    <row r="453" spans="1:13" x14ac:dyDescent="0.3">
      <c r="A453">
        <v>1200</v>
      </c>
      <c r="B453" t="s">
        <v>8</v>
      </c>
      <c r="C453" s="1">
        <v>45590</v>
      </c>
      <c r="D453" s="1" t="str">
        <f t="shared" si="7"/>
        <v>Dairy</v>
      </c>
      <c r="E453" t="s">
        <v>3</v>
      </c>
      <c r="F453" s="2">
        <v>5</v>
      </c>
      <c r="G453" s="3">
        <v>21</v>
      </c>
      <c r="H453" s="3">
        <f>grocery_chain_data[[#This Row],[Quantity]]*grocery_chain_data[[#This Row],[Unit Price]]</f>
        <v>105</v>
      </c>
      <c r="I453" s="3">
        <v>5</v>
      </c>
      <c r="J453" s="3">
        <f>grocery_chain_data[[#This Row],[Total Amount]]-grocery_chain_data[[#This Row],[Discount Amount]]</f>
        <v>100</v>
      </c>
      <c r="K453">
        <v>479</v>
      </c>
      <c r="L453" t="str">
        <f>IF(grocery_chain_data[[#This Row],[Final Amount]]&lt;0,"Return","Sale")</f>
        <v>Sale</v>
      </c>
      <c r="M453">
        <f>IF(grocery_chain_data[[#This Row],[Final Amount]]&lt;0,0,grocery_chain_data[[#This Row],[Final Amount]])</f>
        <v>100</v>
      </c>
    </row>
    <row r="454" spans="1:13" x14ac:dyDescent="0.3">
      <c r="A454">
        <v>5658</v>
      </c>
      <c r="B454" t="s">
        <v>10</v>
      </c>
      <c r="C454" s="1">
        <v>45509</v>
      </c>
      <c r="D454" s="1" t="str">
        <f t="shared" si="7"/>
        <v>Bakery</v>
      </c>
      <c r="E454" t="s">
        <v>22</v>
      </c>
      <c r="F454" s="2">
        <v>4</v>
      </c>
      <c r="G454" s="3">
        <v>27</v>
      </c>
      <c r="H454" s="3">
        <f>grocery_chain_data[[#This Row],[Quantity]]*grocery_chain_data[[#This Row],[Unit Price]]</f>
        <v>108</v>
      </c>
      <c r="I454" s="3">
        <v>3</v>
      </c>
      <c r="J454" s="3">
        <f>grocery_chain_data[[#This Row],[Total Amount]]-grocery_chain_data[[#This Row],[Discount Amount]]</f>
        <v>105</v>
      </c>
      <c r="K454">
        <v>365</v>
      </c>
      <c r="L454" t="str">
        <f>IF(grocery_chain_data[[#This Row],[Final Amount]]&lt;0,"Return","Sale")</f>
        <v>Sale</v>
      </c>
      <c r="M454">
        <f>IF(grocery_chain_data[[#This Row],[Final Amount]]&lt;0,0,grocery_chain_data[[#This Row],[Final Amount]])</f>
        <v>105</v>
      </c>
    </row>
    <row r="455" spans="1:13" x14ac:dyDescent="0.3">
      <c r="A455">
        <v>8843</v>
      </c>
      <c r="B455" t="s">
        <v>2</v>
      </c>
      <c r="C455" s="1">
        <v>45487</v>
      </c>
      <c r="D455" s="1" t="str">
        <f t="shared" si="7"/>
        <v>Dairy</v>
      </c>
      <c r="E455" t="s">
        <v>20</v>
      </c>
      <c r="F455" s="2">
        <v>1</v>
      </c>
      <c r="G455" s="3">
        <v>29</v>
      </c>
      <c r="H455" s="3">
        <f>grocery_chain_data[[#This Row],[Quantity]]*grocery_chain_data[[#This Row],[Unit Price]]</f>
        <v>29</v>
      </c>
      <c r="I455" s="3">
        <v>6</v>
      </c>
      <c r="J455" s="3">
        <f>grocery_chain_data[[#This Row],[Total Amount]]-grocery_chain_data[[#This Row],[Discount Amount]]</f>
        <v>23</v>
      </c>
      <c r="K455">
        <v>229</v>
      </c>
      <c r="L455" t="str">
        <f>IF(grocery_chain_data[[#This Row],[Final Amount]]&lt;0,"Return","Sale")</f>
        <v>Sale</v>
      </c>
      <c r="M455">
        <f>IF(grocery_chain_data[[#This Row],[Final Amount]]&lt;0,0,grocery_chain_data[[#This Row],[Final Amount]])</f>
        <v>23</v>
      </c>
    </row>
    <row r="456" spans="1:13" x14ac:dyDescent="0.3">
      <c r="A456">
        <v>6582</v>
      </c>
      <c r="B456" t="s">
        <v>21</v>
      </c>
      <c r="C456" s="1">
        <v>45288</v>
      </c>
      <c r="D456" s="1" t="str">
        <f t="shared" si="7"/>
        <v>Dairy</v>
      </c>
      <c r="E456" t="s">
        <v>20</v>
      </c>
      <c r="F456" s="2">
        <v>1</v>
      </c>
      <c r="G456" s="3">
        <v>13</v>
      </c>
      <c r="H456" s="3">
        <f>grocery_chain_data[[#This Row],[Quantity]]*grocery_chain_data[[#This Row],[Unit Price]]</f>
        <v>13</v>
      </c>
      <c r="I456" s="3">
        <v>3</v>
      </c>
      <c r="J456" s="3">
        <f>grocery_chain_data[[#This Row],[Total Amount]]-grocery_chain_data[[#This Row],[Discount Amount]]</f>
        <v>10</v>
      </c>
      <c r="K456">
        <v>349</v>
      </c>
      <c r="L456" t="str">
        <f>IF(grocery_chain_data[[#This Row],[Final Amount]]&lt;0,"Return","Sale")</f>
        <v>Sale</v>
      </c>
      <c r="M456">
        <f>IF(grocery_chain_data[[#This Row],[Final Amount]]&lt;0,0,grocery_chain_data[[#This Row],[Final Amount]])</f>
        <v>10</v>
      </c>
    </row>
    <row r="457" spans="1:13" x14ac:dyDescent="0.3">
      <c r="A457">
        <v>1841</v>
      </c>
      <c r="B457" t="s">
        <v>5</v>
      </c>
      <c r="C457" s="1">
        <v>45341</v>
      </c>
      <c r="D457" s="1" t="str">
        <f t="shared" si="7"/>
        <v>Pantry</v>
      </c>
      <c r="E457" t="s">
        <v>1</v>
      </c>
      <c r="F457" s="2">
        <v>3</v>
      </c>
      <c r="G457" s="3">
        <v>27</v>
      </c>
      <c r="H457" s="3">
        <f>grocery_chain_data[[#This Row],[Quantity]]*grocery_chain_data[[#This Row],[Unit Price]]</f>
        <v>81</v>
      </c>
      <c r="I457" s="3">
        <v>3</v>
      </c>
      <c r="J457" s="3">
        <f>grocery_chain_data[[#This Row],[Total Amount]]-grocery_chain_data[[#This Row],[Discount Amount]]</f>
        <v>78</v>
      </c>
      <c r="K457">
        <v>468</v>
      </c>
      <c r="L457" t="str">
        <f>IF(grocery_chain_data[[#This Row],[Final Amount]]&lt;0,"Return","Sale")</f>
        <v>Sale</v>
      </c>
      <c r="M457">
        <f>IF(grocery_chain_data[[#This Row],[Final Amount]]&lt;0,0,grocery_chain_data[[#This Row],[Final Amount]])</f>
        <v>78</v>
      </c>
    </row>
    <row r="458" spans="1:13" x14ac:dyDescent="0.3">
      <c r="A458">
        <v>8827</v>
      </c>
      <c r="B458" t="s">
        <v>8</v>
      </c>
      <c r="C458" s="1">
        <v>45233</v>
      </c>
      <c r="D458" s="1" t="str">
        <f t="shared" si="7"/>
        <v>Pantry</v>
      </c>
      <c r="E458" t="s">
        <v>6</v>
      </c>
      <c r="F458" s="2">
        <v>3</v>
      </c>
      <c r="G458" s="3">
        <v>16</v>
      </c>
      <c r="H458" s="3">
        <f>grocery_chain_data[[#This Row],[Quantity]]*grocery_chain_data[[#This Row],[Unit Price]]</f>
        <v>48</v>
      </c>
      <c r="I458" s="3">
        <v>0</v>
      </c>
      <c r="J458" s="3">
        <f>grocery_chain_data[[#This Row],[Total Amount]]-grocery_chain_data[[#This Row],[Discount Amount]]</f>
        <v>48</v>
      </c>
      <c r="K458">
        <v>469</v>
      </c>
      <c r="L458" t="str">
        <f>IF(grocery_chain_data[[#This Row],[Final Amount]]&lt;0,"Return","Sale")</f>
        <v>Sale</v>
      </c>
      <c r="M458">
        <f>IF(grocery_chain_data[[#This Row],[Final Amount]]&lt;0,0,grocery_chain_data[[#This Row],[Final Amount]])</f>
        <v>48</v>
      </c>
    </row>
    <row r="459" spans="1:13" x14ac:dyDescent="0.3">
      <c r="A459">
        <v>2070</v>
      </c>
      <c r="B459" t="s">
        <v>2</v>
      </c>
      <c r="C459" s="1">
        <v>45456</v>
      </c>
      <c r="D459" s="1" t="str">
        <f t="shared" si="7"/>
        <v>Meat &amp; Seafood</v>
      </c>
      <c r="E459" t="s">
        <v>26</v>
      </c>
      <c r="F459" s="2">
        <v>4</v>
      </c>
      <c r="G459" s="3">
        <v>5</v>
      </c>
      <c r="H459" s="3">
        <f>grocery_chain_data[[#This Row],[Quantity]]*grocery_chain_data[[#This Row],[Unit Price]]</f>
        <v>20</v>
      </c>
      <c r="I459" s="3">
        <v>3</v>
      </c>
      <c r="J459" s="3">
        <f>grocery_chain_data[[#This Row],[Total Amount]]-grocery_chain_data[[#This Row],[Discount Amount]]</f>
        <v>17</v>
      </c>
      <c r="K459">
        <v>290</v>
      </c>
      <c r="L459" t="str">
        <f>IF(grocery_chain_data[[#This Row],[Final Amount]]&lt;0,"Return","Sale")</f>
        <v>Sale</v>
      </c>
      <c r="M459">
        <f>IF(grocery_chain_data[[#This Row],[Final Amount]]&lt;0,0,grocery_chain_data[[#This Row],[Final Amount]])</f>
        <v>17</v>
      </c>
    </row>
    <row r="460" spans="1:13" x14ac:dyDescent="0.3">
      <c r="A460">
        <v>9056</v>
      </c>
      <c r="B460" t="s">
        <v>0</v>
      </c>
      <c r="C460" s="1">
        <v>45202</v>
      </c>
      <c r="D460" s="1" t="str">
        <f t="shared" si="7"/>
        <v>Produce</v>
      </c>
      <c r="E460" t="s">
        <v>4</v>
      </c>
      <c r="F460" s="2">
        <v>3</v>
      </c>
      <c r="G460" s="3">
        <v>26</v>
      </c>
      <c r="H460" s="3">
        <f>grocery_chain_data[[#This Row],[Quantity]]*grocery_chain_data[[#This Row],[Unit Price]]</f>
        <v>78</v>
      </c>
      <c r="I460" s="3">
        <v>0</v>
      </c>
      <c r="J460" s="3">
        <f>grocery_chain_data[[#This Row],[Total Amount]]-grocery_chain_data[[#This Row],[Discount Amount]]</f>
        <v>78</v>
      </c>
      <c r="K460">
        <v>135</v>
      </c>
      <c r="L460" t="str">
        <f>IF(grocery_chain_data[[#This Row],[Final Amount]]&lt;0,"Return","Sale")</f>
        <v>Sale</v>
      </c>
      <c r="M460">
        <f>IF(grocery_chain_data[[#This Row],[Final Amount]]&lt;0,0,grocery_chain_data[[#This Row],[Final Amount]])</f>
        <v>78</v>
      </c>
    </row>
    <row r="461" spans="1:13" x14ac:dyDescent="0.3">
      <c r="A461">
        <v>1878</v>
      </c>
      <c r="B461" t="s">
        <v>10</v>
      </c>
      <c r="C461" s="1">
        <v>45262</v>
      </c>
      <c r="D461" s="1" t="str">
        <f t="shared" si="7"/>
        <v>Produce</v>
      </c>
      <c r="E461" t="s">
        <v>25</v>
      </c>
      <c r="F461" s="2">
        <v>1</v>
      </c>
      <c r="G461" s="3">
        <v>6</v>
      </c>
      <c r="H461" s="3">
        <f>grocery_chain_data[[#This Row],[Quantity]]*grocery_chain_data[[#This Row],[Unit Price]]</f>
        <v>6</v>
      </c>
      <c r="I461" s="3">
        <v>3</v>
      </c>
      <c r="J461" s="3">
        <f>grocery_chain_data[[#This Row],[Total Amount]]-grocery_chain_data[[#This Row],[Discount Amount]]</f>
        <v>3</v>
      </c>
      <c r="K461">
        <v>206</v>
      </c>
      <c r="L461" t="str">
        <f>IF(grocery_chain_data[[#This Row],[Final Amount]]&lt;0,"Return","Sale")</f>
        <v>Sale</v>
      </c>
      <c r="M461">
        <f>IF(grocery_chain_data[[#This Row],[Final Amount]]&lt;0,0,grocery_chain_data[[#This Row],[Final Amount]])</f>
        <v>3</v>
      </c>
    </row>
    <row r="462" spans="1:13" x14ac:dyDescent="0.3">
      <c r="A462">
        <v>3444</v>
      </c>
      <c r="B462" t="s">
        <v>8</v>
      </c>
      <c r="C462" s="1">
        <v>45775</v>
      </c>
      <c r="D462" s="1" t="str">
        <f t="shared" si="7"/>
        <v>Produce</v>
      </c>
      <c r="E462" t="s">
        <v>14</v>
      </c>
      <c r="F462" s="2">
        <v>3</v>
      </c>
      <c r="G462" s="3">
        <v>21</v>
      </c>
      <c r="H462" s="3">
        <f>grocery_chain_data[[#This Row],[Quantity]]*grocery_chain_data[[#This Row],[Unit Price]]</f>
        <v>63</v>
      </c>
      <c r="I462" s="3">
        <v>9</v>
      </c>
      <c r="J462" s="3">
        <f>grocery_chain_data[[#This Row],[Total Amount]]-grocery_chain_data[[#This Row],[Discount Amount]]</f>
        <v>54</v>
      </c>
      <c r="K462">
        <v>25</v>
      </c>
      <c r="L462" t="str">
        <f>IF(grocery_chain_data[[#This Row],[Final Amount]]&lt;0,"Return","Sale")</f>
        <v>Sale</v>
      </c>
      <c r="M462">
        <f>IF(grocery_chain_data[[#This Row],[Final Amount]]&lt;0,0,grocery_chain_data[[#This Row],[Final Amount]])</f>
        <v>54</v>
      </c>
    </row>
    <row r="463" spans="1:13" x14ac:dyDescent="0.3">
      <c r="A463">
        <v>5978</v>
      </c>
      <c r="B463" t="s">
        <v>16</v>
      </c>
      <c r="C463" s="1">
        <v>45211</v>
      </c>
      <c r="D463" s="1" t="str">
        <f t="shared" si="7"/>
        <v>Pantry</v>
      </c>
      <c r="E463" t="s">
        <v>6</v>
      </c>
      <c r="F463" s="2">
        <v>3</v>
      </c>
      <c r="G463" s="3">
        <v>10</v>
      </c>
      <c r="H463" s="3">
        <f>grocery_chain_data[[#This Row],[Quantity]]*grocery_chain_data[[#This Row],[Unit Price]]</f>
        <v>30</v>
      </c>
      <c r="I463" s="3">
        <v>0</v>
      </c>
      <c r="J463" s="3">
        <f>grocery_chain_data[[#This Row],[Total Amount]]-grocery_chain_data[[#This Row],[Discount Amount]]</f>
        <v>30</v>
      </c>
      <c r="K463">
        <v>431</v>
      </c>
      <c r="L463" t="str">
        <f>IF(grocery_chain_data[[#This Row],[Final Amount]]&lt;0,"Return","Sale")</f>
        <v>Sale</v>
      </c>
      <c r="M463">
        <f>IF(grocery_chain_data[[#This Row],[Final Amount]]&lt;0,0,grocery_chain_data[[#This Row],[Final Amount]])</f>
        <v>30</v>
      </c>
    </row>
    <row r="464" spans="1:13" x14ac:dyDescent="0.3">
      <c r="A464">
        <v>5066</v>
      </c>
      <c r="B464" t="s">
        <v>0</v>
      </c>
      <c r="C464" s="1">
        <v>45237</v>
      </c>
      <c r="D464" s="1" t="str">
        <f t="shared" si="7"/>
        <v>Dairy</v>
      </c>
      <c r="E464" t="s">
        <v>20</v>
      </c>
      <c r="F464" s="2">
        <v>3</v>
      </c>
      <c r="G464" s="3">
        <v>29</v>
      </c>
      <c r="H464" s="3">
        <f>grocery_chain_data[[#This Row],[Quantity]]*grocery_chain_data[[#This Row],[Unit Price]]</f>
        <v>87</v>
      </c>
      <c r="I464" s="3">
        <v>13</v>
      </c>
      <c r="J464" s="3">
        <f>grocery_chain_data[[#This Row],[Total Amount]]-grocery_chain_data[[#This Row],[Discount Amount]]</f>
        <v>74</v>
      </c>
      <c r="K464">
        <v>226</v>
      </c>
      <c r="L464" t="str">
        <f>IF(grocery_chain_data[[#This Row],[Final Amount]]&lt;0,"Return","Sale")</f>
        <v>Sale</v>
      </c>
      <c r="M464">
        <f>IF(grocery_chain_data[[#This Row],[Final Amount]]&lt;0,0,grocery_chain_data[[#This Row],[Final Amount]])</f>
        <v>74</v>
      </c>
    </row>
    <row r="465" spans="1:13" x14ac:dyDescent="0.3">
      <c r="A465">
        <v>7818</v>
      </c>
      <c r="B465" t="s">
        <v>8</v>
      </c>
      <c r="C465" s="1">
        <v>45615</v>
      </c>
      <c r="D465" s="1" t="str">
        <f t="shared" si="7"/>
        <v>Bakery</v>
      </c>
      <c r="E465" t="s">
        <v>22</v>
      </c>
      <c r="F465" s="2">
        <v>2</v>
      </c>
      <c r="G465" s="3">
        <v>14</v>
      </c>
      <c r="H465" s="3">
        <f>grocery_chain_data[[#This Row],[Quantity]]*grocery_chain_data[[#This Row],[Unit Price]]</f>
        <v>28</v>
      </c>
      <c r="I465" s="3">
        <v>0</v>
      </c>
      <c r="J465" s="3">
        <f>grocery_chain_data[[#This Row],[Total Amount]]-grocery_chain_data[[#This Row],[Discount Amount]]</f>
        <v>28</v>
      </c>
      <c r="K465">
        <v>467</v>
      </c>
      <c r="L465" t="str">
        <f>IF(grocery_chain_data[[#This Row],[Final Amount]]&lt;0,"Return","Sale")</f>
        <v>Sale</v>
      </c>
      <c r="M465">
        <f>IF(grocery_chain_data[[#This Row],[Final Amount]]&lt;0,0,grocery_chain_data[[#This Row],[Final Amount]])</f>
        <v>28</v>
      </c>
    </row>
    <row r="466" spans="1:13" x14ac:dyDescent="0.3">
      <c r="A466">
        <v>4697</v>
      </c>
      <c r="B466" t="s">
        <v>10</v>
      </c>
      <c r="C466" s="1">
        <v>45747</v>
      </c>
      <c r="D466" s="1" t="str">
        <f t="shared" si="7"/>
        <v>Beverages</v>
      </c>
      <c r="E466" t="s">
        <v>7</v>
      </c>
      <c r="F466" s="2">
        <v>1</v>
      </c>
      <c r="G466" s="3">
        <v>16</v>
      </c>
      <c r="H466" s="3">
        <f>grocery_chain_data[[#This Row],[Quantity]]*grocery_chain_data[[#This Row],[Unit Price]]</f>
        <v>16</v>
      </c>
      <c r="I466" s="3">
        <v>2</v>
      </c>
      <c r="J466" s="3">
        <f>grocery_chain_data[[#This Row],[Total Amount]]-grocery_chain_data[[#This Row],[Discount Amount]]</f>
        <v>14</v>
      </c>
      <c r="K466">
        <v>81</v>
      </c>
      <c r="L466" t="str">
        <f>IF(grocery_chain_data[[#This Row],[Final Amount]]&lt;0,"Return","Sale")</f>
        <v>Sale</v>
      </c>
      <c r="M466">
        <f>IF(grocery_chain_data[[#This Row],[Final Amount]]&lt;0,0,grocery_chain_data[[#This Row],[Final Amount]])</f>
        <v>14</v>
      </c>
    </row>
    <row r="467" spans="1:13" x14ac:dyDescent="0.3">
      <c r="A467">
        <v>9561</v>
      </c>
      <c r="B467" t="s">
        <v>2</v>
      </c>
      <c r="C467" s="1">
        <v>45440</v>
      </c>
      <c r="D467" s="1" t="str">
        <f t="shared" si="7"/>
        <v>Dairy</v>
      </c>
      <c r="E467" t="s">
        <v>20</v>
      </c>
      <c r="F467" s="2">
        <v>5</v>
      </c>
      <c r="G467" s="3">
        <v>26</v>
      </c>
      <c r="H467" s="3">
        <f>grocery_chain_data[[#This Row],[Quantity]]*grocery_chain_data[[#This Row],[Unit Price]]</f>
        <v>130</v>
      </c>
      <c r="I467" s="3">
        <v>26</v>
      </c>
      <c r="J467" s="3">
        <f>grocery_chain_data[[#This Row],[Total Amount]]-grocery_chain_data[[#This Row],[Discount Amount]]</f>
        <v>104</v>
      </c>
      <c r="K467">
        <v>14</v>
      </c>
      <c r="L467" t="str">
        <f>IF(grocery_chain_data[[#This Row],[Final Amount]]&lt;0,"Return","Sale")</f>
        <v>Sale</v>
      </c>
      <c r="M467">
        <f>IF(grocery_chain_data[[#This Row],[Final Amount]]&lt;0,0,grocery_chain_data[[#This Row],[Final Amount]])</f>
        <v>104</v>
      </c>
    </row>
    <row r="468" spans="1:13" x14ac:dyDescent="0.3">
      <c r="A468">
        <v>8381</v>
      </c>
      <c r="B468" t="s">
        <v>21</v>
      </c>
      <c r="C468" s="1">
        <v>45850</v>
      </c>
      <c r="D468" s="1" t="str">
        <f t="shared" si="7"/>
        <v>Meat &amp; Seafood</v>
      </c>
      <c r="E468" t="s">
        <v>9</v>
      </c>
      <c r="F468" s="2">
        <v>1</v>
      </c>
      <c r="G468" s="3">
        <v>14</v>
      </c>
      <c r="H468" s="3">
        <f>grocery_chain_data[[#This Row],[Quantity]]*grocery_chain_data[[#This Row],[Unit Price]]</f>
        <v>14</v>
      </c>
      <c r="I468" s="3">
        <v>0</v>
      </c>
      <c r="J468" s="3">
        <f>grocery_chain_data[[#This Row],[Total Amount]]-grocery_chain_data[[#This Row],[Discount Amount]]</f>
        <v>14</v>
      </c>
      <c r="K468">
        <v>470</v>
      </c>
      <c r="L468" t="str">
        <f>IF(grocery_chain_data[[#This Row],[Final Amount]]&lt;0,"Return","Sale")</f>
        <v>Sale</v>
      </c>
      <c r="M468">
        <f>IF(grocery_chain_data[[#This Row],[Final Amount]]&lt;0,0,grocery_chain_data[[#This Row],[Final Amount]])</f>
        <v>14</v>
      </c>
    </row>
    <row r="469" spans="1:13" x14ac:dyDescent="0.3">
      <c r="A469">
        <v>8253</v>
      </c>
      <c r="B469" t="s">
        <v>21</v>
      </c>
      <c r="C469" s="1">
        <v>45375</v>
      </c>
      <c r="D469" s="1" t="str">
        <f t="shared" si="7"/>
        <v>Beverages</v>
      </c>
      <c r="E469" t="s">
        <v>7</v>
      </c>
      <c r="F469" s="2">
        <v>4</v>
      </c>
      <c r="G469" s="3">
        <v>16</v>
      </c>
      <c r="H469" s="3">
        <f>grocery_chain_data[[#This Row],[Quantity]]*grocery_chain_data[[#This Row],[Unit Price]]</f>
        <v>64</v>
      </c>
      <c r="I469" s="3">
        <v>0</v>
      </c>
      <c r="J469" s="3">
        <f>grocery_chain_data[[#This Row],[Total Amount]]-grocery_chain_data[[#This Row],[Discount Amount]]</f>
        <v>64</v>
      </c>
      <c r="K469">
        <v>325</v>
      </c>
      <c r="L469" t="str">
        <f>IF(grocery_chain_data[[#This Row],[Final Amount]]&lt;0,"Return","Sale")</f>
        <v>Sale</v>
      </c>
      <c r="M469">
        <f>IF(grocery_chain_data[[#This Row],[Final Amount]]&lt;0,0,grocery_chain_data[[#This Row],[Final Amount]])</f>
        <v>64</v>
      </c>
    </row>
    <row r="470" spans="1:13" x14ac:dyDescent="0.3">
      <c r="A470">
        <v>8025</v>
      </c>
      <c r="B470" t="s">
        <v>13</v>
      </c>
      <c r="C470" s="1">
        <v>45382</v>
      </c>
      <c r="D470" s="1" t="str">
        <f t="shared" si="7"/>
        <v>Beverages</v>
      </c>
      <c r="E470" t="s">
        <v>7</v>
      </c>
      <c r="F470" s="2">
        <v>4</v>
      </c>
      <c r="G470" s="3">
        <v>18</v>
      </c>
      <c r="H470" s="3">
        <f>grocery_chain_data[[#This Row],[Quantity]]*grocery_chain_data[[#This Row],[Unit Price]]</f>
        <v>72</v>
      </c>
      <c r="I470" s="3">
        <v>3</v>
      </c>
      <c r="J470" s="3">
        <f>grocery_chain_data[[#This Row],[Total Amount]]-grocery_chain_data[[#This Row],[Discount Amount]]</f>
        <v>69</v>
      </c>
      <c r="K470">
        <v>90</v>
      </c>
      <c r="L470" t="str">
        <f>IF(grocery_chain_data[[#This Row],[Final Amount]]&lt;0,"Return","Sale")</f>
        <v>Sale</v>
      </c>
      <c r="M470">
        <f>IF(grocery_chain_data[[#This Row],[Final Amount]]&lt;0,0,grocery_chain_data[[#This Row],[Final Amount]])</f>
        <v>69</v>
      </c>
    </row>
    <row r="471" spans="1:13" x14ac:dyDescent="0.3">
      <c r="A471">
        <v>1986</v>
      </c>
      <c r="B471" t="s">
        <v>16</v>
      </c>
      <c r="C471" s="1">
        <v>45618</v>
      </c>
      <c r="D471" s="1" t="str">
        <f t="shared" si="7"/>
        <v>Pantry</v>
      </c>
      <c r="E471" t="s">
        <v>1</v>
      </c>
      <c r="F471" s="2">
        <v>1</v>
      </c>
      <c r="G471" s="3">
        <v>9</v>
      </c>
      <c r="H471" s="3">
        <f>grocery_chain_data[[#This Row],[Quantity]]*grocery_chain_data[[#This Row],[Unit Price]]</f>
        <v>9</v>
      </c>
      <c r="I471" s="3">
        <v>2</v>
      </c>
      <c r="J471" s="3">
        <f>grocery_chain_data[[#This Row],[Total Amount]]-grocery_chain_data[[#This Row],[Discount Amount]]</f>
        <v>7</v>
      </c>
      <c r="K471">
        <v>197</v>
      </c>
      <c r="L471" t="str">
        <f>IF(grocery_chain_data[[#This Row],[Final Amount]]&lt;0,"Return","Sale")</f>
        <v>Sale</v>
      </c>
      <c r="M471">
        <f>IF(grocery_chain_data[[#This Row],[Final Amount]]&lt;0,0,grocery_chain_data[[#This Row],[Final Amount]])</f>
        <v>7</v>
      </c>
    </row>
    <row r="472" spans="1:13" x14ac:dyDescent="0.3">
      <c r="A472">
        <v>2625</v>
      </c>
      <c r="B472" t="s">
        <v>21</v>
      </c>
      <c r="C472" s="1">
        <v>45737</v>
      </c>
      <c r="D472" s="1" t="str">
        <f t="shared" si="7"/>
        <v>Meat &amp; Seafood</v>
      </c>
      <c r="E472" t="s">
        <v>9</v>
      </c>
      <c r="F472" s="2">
        <v>2</v>
      </c>
      <c r="G472" s="3">
        <v>9</v>
      </c>
      <c r="H472" s="3">
        <f>grocery_chain_data[[#This Row],[Quantity]]*grocery_chain_data[[#This Row],[Unit Price]]</f>
        <v>18</v>
      </c>
      <c r="I472" s="3">
        <v>0</v>
      </c>
      <c r="J472" s="3">
        <f>grocery_chain_data[[#This Row],[Total Amount]]-grocery_chain_data[[#This Row],[Discount Amount]]</f>
        <v>18</v>
      </c>
      <c r="K472">
        <v>209</v>
      </c>
      <c r="L472" t="str">
        <f>IF(grocery_chain_data[[#This Row],[Final Amount]]&lt;0,"Return","Sale")</f>
        <v>Sale</v>
      </c>
      <c r="M472">
        <f>IF(grocery_chain_data[[#This Row],[Final Amount]]&lt;0,0,grocery_chain_data[[#This Row],[Final Amount]])</f>
        <v>18</v>
      </c>
    </row>
    <row r="473" spans="1:13" x14ac:dyDescent="0.3">
      <c r="A473">
        <v>4404</v>
      </c>
      <c r="B473" t="s">
        <v>13</v>
      </c>
      <c r="C473" s="1">
        <v>45630</v>
      </c>
      <c r="D473" s="1" t="str">
        <f t="shared" si="7"/>
        <v>Dairy</v>
      </c>
      <c r="E473" t="s">
        <v>20</v>
      </c>
      <c r="F473" s="2">
        <v>2</v>
      </c>
      <c r="G473" s="3">
        <v>18</v>
      </c>
      <c r="H473" s="3">
        <f>grocery_chain_data[[#This Row],[Quantity]]*grocery_chain_data[[#This Row],[Unit Price]]</f>
        <v>36</v>
      </c>
      <c r="I473" s="3">
        <v>6</v>
      </c>
      <c r="J473" s="3">
        <f>grocery_chain_data[[#This Row],[Total Amount]]-grocery_chain_data[[#This Row],[Discount Amount]]</f>
        <v>30</v>
      </c>
      <c r="K473">
        <v>4</v>
      </c>
      <c r="L473" t="str">
        <f>IF(grocery_chain_data[[#This Row],[Final Amount]]&lt;0,"Return","Sale")</f>
        <v>Sale</v>
      </c>
      <c r="M473">
        <f>IF(grocery_chain_data[[#This Row],[Final Amount]]&lt;0,0,grocery_chain_data[[#This Row],[Final Amount]])</f>
        <v>30</v>
      </c>
    </row>
    <row r="474" spans="1:13" x14ac:dyDescent="0.3">
      <c r="A474">
        <v>4457</v>
      </c>
      <c r="B474" t="s">
        <v>12</v>
      </c>
      <c r="C474" s="1">
        <v>45350</v>
      </c>
      <c r="D474" s="1" t="str">
        <f t="shared" si="7"/>
        <v>Pantry</v>
      </c>
      <c r="E474" t="s">
        <v>1</v>
      </c>
      <c r="F474" s="2">
        <v>4</v>
      </c>
      <c r="G474" s="3">
        <v>27</v>
      </c>
      <c r="H474" s="3">
        <f>grocery_chain_data[[#This Row],[Quantity]]*grocery_chain_data[[#This Row],[Unit Price]]</f>
        <v>108</v>
      </c>
      <c r="I474" s="3">
        <v>11</v>
      </c>
      <c r="J474" s="3">
        <f>grocery_chain_data[[#This Row],[Total Amount]]-grocery_chain_data[[#This Row],[Discount Amount]]</f>
        <v>97</v>
      </c>
      <c r="K474">
        <v>436</v>
      </c>
      <c r="L474" t="str">
        <f>IF(grocery_chain_data[[#This Row],[Final Amount]]&lt;0,"Return","Sale")</f>
        <v>Sale</v>
      </c>
      <c r="M474">
        <f>IF(grocery_chain_data[[#This Row],[Final Amount]]&lt;0,0,grocery_chain_data[[#This Row],[Final Amount]])</f>
        <v>97</v>
      </c>
    </row>
    <row r="475" spans="1:13" x14ac:dyDescent="0.3">
      <c r="A475">
        <v>2330</v>
      </c>
      <c r="B475" t="s">
        <v>12</v>
      </c>
      <c r="C475" s="1">
        <v>45266</v>
      </c>
      <c r="D475" s="1" t="str">
        <f t="shared" si="7"/>
        <v>Meat &amp; Seafood</v>
      </c>
      <c r="E475" t="s">
        <v>15</v>
      </c>
      <c r="F475" s="2">
        <v>3</v>
      </c>
      <c r="G475" s="3">
        <v>21</v>
      </c>
      <c r="H475" s="3">
        <f>grocery_chain_data[[#This Row],[Quantity]]*grocery_chain_data[[#This Row],[Unit Price]]</f>
        <v>63</v>
      </c>
      <c r="I475" s="3">
        <v>1</v>
      </c>
      <c r="J475" s="3">
        <f>grocery_chain_data[[#This Row],[Total Amount]]-grocery_chain_data[[#This Row],[Discount Amount]]</f>
        <v>62</v>
      </c>
      <c r="K475">
        <v>422</v>
      </c>
      <c r="L475" t="str">
        <f>IF(grocery_chain_data[[#This Row],[Final Amount]]&lt;0,"Return","Sale")</f>
        <v>Sale</v>
      </c>
      <c r="M475">
        <f>IF(grocery_chain_data[[#This Row],[Final Amount]]&lt;0,0,grocery_chain_data[[#This Row],[Final Amount]])</f>
        <v>62</v>
      </c>
    </row>
    <row r="476" spans="1:13" x14ac:dyDescent="0.3">
      <c r="A476">
        <v>4929</v>
      </c>
      <c r="B476" t="s">
        <v>2</v>
      </c>
      <c r="C476" s="1">
        <v>45280</v>
      </c>
      <c r="D476" s="1" t="str">
        <f t="shared" si="7"/>
        <v>Beverages</v>
      </c>
      <c r="E476" t="s">
        <v>7</v>
      </c>
      <c r="F476" s="2">
        <v>5</v>
      </c>
      <c r="G476" s="3">
        <v>20</v>
      </c>
      <c r="H476" s="3">
        <f>grocery_chain_data[[#This Row],[Quantity]]*grocery_chain_data[[#This Row],[Unit Price]]</f>
        <v>100</v>
      </c>
      <c r="I476" s="3">
        <v>15</v>
      </c>
      <c r="J476" s="3">
        <f>grocery_chain_data[[#This Row],[Total Amount]]-grocery_chain_data[[#This Row],[Discount Amount]]</f>
        <v>85</v>
      </c>
      <c r="K476">
        <v>311</v>
      </c>
      <c r="L476" t="str">
        <f>IF(grocery_chain_data[[#This Row],[Final Amount]]&lt;0,"Return","Sale")</f>
        <v>Sale</v>
      </c>
      <c r="M476">
        <f>IF(grocery_chain_data[[#This Row],[Final Amount]]&lt;0,0,grocery_chain_data[[#This Row],[Final Amount]])</f>
        <v>85</v>
      </c>
    </row>
    <row r="477" spans="1:13" x14ac:dyDescent="0.3">
      <c r="A477">
        <v>2229</v>
      </c>
      <c r="B477" t="s">
        <v>0</v>
      </c>
      <c r="C477" s="1">
        <v>45266</v>
      </c>
      <c r="D477" s="1" t="str">
        <f t="shared" si="7"/>
        <v>Bakery</v>
      </c>
      <c r="E477" t="s">
        <v>22</v>
      </c>
      <c r="F477" s="2">
        <v>3</v>
      </c>
      <c r="G477" s="3">
        <v>30</v>
      </c>
      <c r="H477" s="3">
        <f>grocery_chain_data[[#This Row],[Quantity]]*grocery_chain_data[[#This Row],[Unit Price]]</f>
        <v>90</v>
      </c>
      <c r="I477" s="3">
        <v>13</v>
      </c>
      <c r="J477" s="3">
        <f>grocery_chain_data[[#This Row],[Total Amount]]-grocery_chain_data[[#This Row],[Discount Amount]]</f>
        <v>77</v>
      </c>
      <c r="K477">
        <v>327</v>
      </c>
      <c r="L477" t="str">
        <f>IF(grocery_chain_data[[#This Row],[Final Amount]]&lt;0,"Return","Sale")</f>
        <v>Sale</v>
      </c>
      <c r="M477">
        <f>IF(grocery_chain_data[[#This Row],[Final Amount]]&lt;0,0,grocery_chain_data[[#This Row],[Final Amount]])</f>
        <v>77</v>
      </c>
    </row>
    <row r="478" spans="1:13" x14ac:dyDescent="0.3">
      <c r="A478">
        <v>1043</v>
      </c>
      <c r="B478" t="s">
        <v>12</v>
      </c>
      <c r="C478" s="1">
        <v>45462</v>
      </c>
      <c r="D478" s="1" t="str">
        <f t="shared" si="7"/>
        <v>Produce</v>
      </c>
      <c r="E478" t="s">
        <v>17</v>
      </c>
      <c r="F478" s="2">
        <v>2</v>
      </c>
      <c r="G478" s="3">
        <v>5</v>
      </c>
      <c r="H478" s="3">
        <f>grocery_chain_data[[#This Row],[Quantity]]*grocery_chain_data[[#This Row],[Unit Price]]</f>
        <v>10</v>
      </c>
      <c r="I478" s="3">
        <v>4</v>
      </c>
      <c r="J478" s="3">
        <f>grocery_chain_data[[#This Row],[Total Amount]]-grocery_chain_data[[#This Row],[Discount Amount]]</f>
        <v>6</v>
      </c>
      <c r="K478">
        <v>391</v>
      </c>
      <c r="L478" t="str">
        <f>IF(grocery_chain_data[[#This Row],[Final Amount]]&lt;0,"Return","Sale")</f>
        <v>Sale</v>
      </c>
      <c r="M478">
        <f>IF(grocery_chain_data[[#This Row],[Final Amount]]&lt;0,0,grocery_chain_data[[#This Row],[Final Amount]])</f>
        <v>6</v>
      </c>
    </row>
    <row r="479" spans="1:13" x14ac:dyDescent="0.3">
      <c r="A479">
        <v>8381</v>
      </c>
      <c r="B479" t="s">
        <v>8</v>
      </c>
      <c r="C479" s="1">
        <v>45680</v>
      </c>
      <c r="D479" s="1" t="str">
        <f t="shared" si="7"/>
        <v>Pantry</v>
      </c>
      <c r="E479" t="s">
        <v>6</v>
      </c>
      <c r="F479" s="2">
        <v>2</v>
      </c>
      <c r="G479" s="3">
        <v>22</v>
      </c>
      <c r="H479" s="3">
        <f>grocery_chain_data[[#This Row],[Quantity]]*grocery_chain_data[[#This Row],[Unit Price]]</f>
        <v>44</v>
      </c>
      <c r="I479" s="3">
        <v>7</v>
      </c>
      <c r="J479" s="3">
        <f>grocery_chain_data[[#This Row],[Total Amount]]-grocery_chain_data[[#This Row],[Discount Amount]]</f>
        <v>37</v>
      </c>
      <c r="K479">
        <v>335</v>
      </c>
      <c r="L479" t="str">
        <f>IF(grocery_chain_data[[#This Row],[Final Amount]]&lt;0,"Return","Sale")</f>
        <v>Sale</v>
      </c>
      <c r="M479">
        <f>IF(grocery_chain_data[[#This Row],[Final Amount]]&lt;0,0,grocery_chain_data[[#This Row],[Final Amount]])</f>
        <v>37</v>
      </c>
    </row>
    <row r="480" spans="1:13" x14ac:dyDescent="0.3">
      <c r="A480">
        <v>8699</v>
      </c>
      <c r="B480" t="s">
        <v>12</v>
      </c>
      <c r="C480" s="1">
        <v>45371</v>
      </c>
      <c r="D480" s="1" t="str">
        <f t="shared" si="7"/>
        <v>Produce</v>
      </c>
      <c r="E480" t="s">
        <v>14</v>
      </c>
      <c r="F480" s="2">
        <v>4</v>
      </c>
      <c r="G480" s="3">
        <v>22</v>
      </c>
      <c r="H480" s="3">
        <f>grocery_chain_data[[#This Row],[Quantity]]*grocery_chain_data[[#This Row],[Unit Price]]</f>
        <v>88</v>
      </c>
      <c r="I480" s="3">
        <v>13</v>
      </c>
      <c r="J480" s="3">
        <f>grocery_chain_data[[#This Row],[Total Amount]]-grocery_chain_data[[#This Row],[Discount Amount]]</f>
        <v>75</v>
      </c>
      <c r="K480">
        <v>298</v>
      </c>
      <c r="L480" t="str">
        <f>IF(grocery_chain_data[[#This Row],[Final Amount]]&lt;0,"Return","Sale")</f>
        <v>Sale</v>
      </c>
      <c r="M480">
        <f>IF(grocery_chain_data[[#This Row],[Final Amount]]&lt;0,0,grocery_chain_data[[#This Row],[Final Amount]])</f>
        <v>75</v>
      </c>
    </row>
    <row r="481" spans="1:13" x14ac:dyDescent="0.3">
      <c r="A481">
        <v>1534</v>
      </c>
      <c r="B481" t="s">
        <v>21</v>
      </c>
      <c r="C481" s="1">
        <v>45324</v>
      </c>
      <c r="D481" s="1" t="str">
        <f t="shared" si="7"/>
        <v>Produce</v>
      </c>
      <c r="E481" t="s">
        <v>4</v>
      </c>
      <c r="F481" s="2">
        <v>4</v>
      </c>
      <c r="G481" s="3">
        <v>27</v>
      </c>
      <c r="H481" s="3">
        <f>grocery_chain_data[[#This Row],[Quantity]]*grocery_chain_data[[#This Row],[Unit Price]]</f>
        <v>108</v>
      </c>
      <c r="I481" s="3">
        <v>2</v>
      </c>
      <c r="J481" s="3">
        <f>grocery_chain_data[[#This Row],[Total Amount]]-grocery_chain_data[[#This Row],[Discount Amount]]</f>
        <v>106</v>
      </c>
      <c r="K481">
        <v>343</v>
      </c>
      <c r="L481" t="str">
        <f>IF(grocery_chain_data[[#This Row],[Final Amount]]&lt;0,"Return","Sale")</f>
        <v>Sale</v>
      </c>
      <c r="M481">
        <f>IF(grocery_chain_data[[#This Row],[Final Amount]]&lt;0,0,grocery_chain_data[[#This Row],[Final Amount]])</f>
        <v>106</v>
      </c>
    </row>
    <row r="482" spans="1:13" x14ac:dyDescent="0.3">
      <c r="A482">
        <v>5720</v>
      </c>
      <c r="B482" t="s">
        <v>5</v>
      </c>
      <c r="C482" s="1">
        <v>45694</v>
      </c>
      <c r="D482" s="1" t="str">
        <f t="shared" si="7"/>
        <v>Produce</v>
      </c>
      <c r="E482" t="s">
        <v>4</v>
      </c>
      <c r="F482" s="2">
        <v>2</v>
      </c>
      <c r="G482" s="3">
        <v>10</v>
      </c>
      <c r="H482" s="3">
        <f>grocery_chain_data[[#This Row],[Quantity]]*grocery_chain_data[[#This Row],[Unit Price]]</f>
        <v>20</v>
      </c>
      <c r="I482" s="3">
        <v>0</v>
      </c>
      <c r="J482" s="3">
        <f>grocery_chain_data[[#This Row],[Total Amount]]-grocery_chain_data[[#This Row],[Discount Amount]]</f>
        <v>20</v>
      </c>
      <c r="K482">
        <v>241</v>
      </c>
      <c r="L482" t="str">
        <f>IF(grocery_chain_data[[#This Row],[Final Amount]]&lt;0,"Return","Sale")</f>
        <v>Sale</v>
      </c>
      <c r="M482">
        <f>IF(grocery_chain_data[[#This Row],[Final Amount]]&lt;0,0,grocery_chain_data[[#This Row],[Final Amount]])</f>
        <v>20</v>
      </c>
    </row>
    <row r="483" spans="1:13" x14ac:dyDescent="0.3">
      <c r="A483">
        <v>5632</v>
      </c>
      <c r="B483" t="s">
        <v>12</v>
      </c>
      <c r="C483" s="1">
        <v>45691</v>
      </c>
      <c r="D483" s="1" t="str">
        <f t="shared" si="7"/>
        <v>Produce</v>
      </c>
      <c r="E483" t="s">
        <v>11</v>
      </c>
      <c r="F483" s="2">
        <v>3</v>
      </c>
      <c r="G483" s="3">
        <v>20</v>
      </c>
      <c r="H483" s="3">
        <f>grocery_chain_data[[#This Row],[Quantity]]*grocery_chain_data[[#This Row],[Unit Price]]</f>
        <v>60</v>
      </c>
      <c r="I483" s="3">
        <v>12</v>
      </c>
      <c r="J483" s="3">
        <f>grocery_chain_data[[#This Row],[Total Amount]]-grocery_chain_data[[#This Row],[Discount Amount]]</f>
        <v>48</v>
      </c>
      <c r="K483">
        <v>113</v>
      </c>
      <c r="L483" t="str">
        <f>IF(grocery_chain_data[[#This Row],[Final Amount]]&lt;0,"Return","Sale")</f>
        <v>Sale</v>
      </c>
      <c r="M483">
        <f>IF(grocery_chain_data[[#This Row],[Final Amount]]&lt;0,0,grocery_chain_data[[#This Row],[Final Amount]])</f>
        <v>48</v>
      </c>
    </row>
    <row r="484" spans="1:13" x14ac:dyDescent="0.3">
      <c r="A484">
        <v>8438</v>
      </c>
      <c r="B484" t="s">
        <v>12</v>
      </c>
      <c r="C484" s="1">
        <v>45200</v>
      </c>
      <c r="D484" s="1" t="str">
        <f t="shared" si="7"/>
        <v>Pantry</v>
      </c>
      <c r="E484" t="s">
        <v>6</v>
      </c>
      <c r="F484" s="2">
        <v>3</v>
      </c>
      <c r="G484" s="3">
        <v>9</v>
      </c>
      <c r="H484" s="3">
        <f>grocery_chain_data[[#This Row],[Quantity]]*grocery_chain_data[[#This Row],[Unit Price]]</f>
        <v>27</v>
      </c>
      <c r="I484" s="3">
        <v>3</v>
      </c>
      <c r="J484" s="3">
        <f>grocery_chain_data[[#This Row],[Total Amount]]-grocery_chain_data[[#This Row],[Discount Amount]]</f>
        <v>24</v>
      </c>
      <c r="K484">
        <v>150</v>
      </c>
      <c r="L484" t="str">
        <f>IF(grocery_chain_data[[#This Row],[Final Amount]]&lt;0,"Return","Sale")</f>
        <v>Sale</v>
      </c>
      <c r="M484">
        <f>IF(grocery_chain_data[[#This Row],[Final Amount]]&lt;0,0,grocery_chain_data[[#This Row],[Final Amount]])</f>
        <v>24</v>
      </c>
    </row>
    <row r="485" spans="1:13" x14ac:dyDescent="0.3">
      <c r="A485">
        <v>4824</v>
      </c>
      <c r="B485" t="s">
        <v>0</v>
      </c>
      <c r="C485" s="1">
        <v>45862</v>
      </c>
      <c r="D485" s="1" t="str">
        <f t="shared" si="7"/>
        <v>Dairy</v>
      </c>
      <c r="E485" t="s">
        <v>23</v>
      </c>
      <c r="F485" s="2">
        <v>5</v>
      </c>
      <c r="G485" s="3">
        <v>4</v>
      </c>
      <c r="H485" s="3">
        <f>grocery_chain_data[[#This Row],[Quantity]]*grocery_chain_data[[#This Row],[Unit Price]]</f>
        <v>20</v>
      </c>
      <c r="I485" s="3">
        <v>2</v>
      </c>
      <c r="J485" s="3">
        <f>grocery_chain_data[[#This Row],[Total Amount]]-grocery_chain_data[[#This Row],[Discount Amount]]</f>
        <v>18</v>
      </c>
      <c r="K485">
        <v>348</v>
      </c>
      <c r="L485" t="str">
        <f>IF(grocery_chain_data[[#This Row],[Final Amount]]&lt;0,"Return","Sale")</f>
        <v>Sale</v>
      </c>
      <c r="M485">
        <f>IF(grocery_chain_data[[#This Row],[Final Amount]]&lt;0,0,grocery_chain_data[[#This Row],[Final Amount]])</f>
        <v>18</v>
      </c>
    </row>
    <row r="486" spans="1:13" x14ac:dyDescent="0.3">
      <c r="A486">
        <v>5334</v>
      </c>
      <c r="B486" t="s">
        <v>13</v>
      </c>
      <c r="C486" s="1">
        <v>45756</v>
      </c>
      <c r="D486" s="1" t="str">
        <f t="shared" si="7"/>
        <v>Dairy</v>
      </c>
      <c r="E486" t="s">
        <v>20</v>
      </c>
      <c r="F486" s="2">
        <v>2</v>
      </c>
      <c r="G486" s="3">
        <v>11</v>
      </c>
      <c r="H486" s="3">
        <f>grocery_chain_data[[#This Row],[Quantity]]*grocery_chain_data[[#This Row],[Unit Price]]</f>
        <v>22</v>
      </c>
      <c r="I486" s="3">
        <v>4</v>
      </c>
      <c r="J486" s="3">
        <f>grocery_chain_data[[#This Row],[Total Amount]]-grocery_chain_data[[#This Row],[Discount Amount]]</f>
        <v>18</v>
      </c>
      <c r="K486">
        <v>291</v>
      </c>
      <c r="L486" t="str">
        <f>IF(grocery_chain_data[[#This Row],[Final Amount]]&lt;0,"Return","Sale")</f>
        <v>Sale</v>
      </c>
      <c r="M486">
        <f>IF(grocery_chain_data[[#This Row],[Final Amount]]&lt;0,0,grocery_chain_data[[#This Row],[Final Amount]])</f>
        <v>18</v>
      </c>
    </row>
    <row r="487" spans="1:13" x14ac:dyDescent="0.3">
      <c r="A487">
        <v>4241</v>
      </c>
      <c r="B487" t="s">
        <v>16</v>
      </c>
      <c r="C487" s="1">
        <v>45475</v>
      </c>
      <c r="D487" s="1" t="str">
        <f t="shared" si="7"/>
        <v>Bakery</v>
      </c>
      <c r="E487" t="s">
        <v>22</v>
      </c>
      <c r="F487" s="2">
        <v>4</v>
      </c>
      <c r="G487" s="3">
        <v>11</v>
      </c>
      <c r="H487" s="3">
        <f>grocery_chain_data[[#This Row],[Quantity]]*grocery_chain_data[[#This Row],[Unit Price]]</f>
        <v>44</v>
      </c>
      <c r="I487" s="3">
        <v>0</v>
      </c>
      <c r="J487" s="3">
        <f>grocery_chain_data[[#This Row],[Total Amount]]-grocery_chain_data[[#This Row],[Discount Amount]]</f>
        <v>44</v>
      </c>
      <c r="K487">
        <v>90</v>
      </c>
      <c r="L487" t="str">
        <f>IF(grocery_chain_data[[#This Row],[Final Amount]]&lt;0,"Return","Sale")</f>
        <v>Sale</v>
      </c>
      <c r="M487">
        <f>IF(grocery_chain_data[[#This Row],[Final Amount]]&lt;0,0,grocery_chain_data[[#This Row],[Final Amount]])</f>
        <v>44</v>
      </c>
    </row>
    <row r="488" spans="1:13" x14ac:dyDescent="0.3">
      <c r="A488">
        <v>2880</v>
      </c>
      <c r="B488" t="s">
        <v>13</v>
      </c>
      <c r="C488" s="1">
        <v>45567</v>
      </c>
      <c r="D488" s="1" t="str">
        <f t="shared" si="7"/>
        <v>Meat &amp; Seafood</v>
      </c>
      <c r="E488" t="s">
        <v>15</v>
      </c>
      <c r="F488" s="2">
        <v>3</v>
      </c>
      <c r="G488" s="3">
        <v>7</v>
      </c>
      <c r="H488" s="3">
        <f>grocery_chain_data[[#This Row],[Quantity]]*grocery_chain_data[[#This Row],[Unit Price]]</f>
        <v>21</v>
      </c>
      <c r="I488" s="3">
        <v>4</v>
      </c>
      <c r="J488" s="3">
        <f>grocery_chain_data[[#This Row],[Total Amount]]-grocery_chain_data[[#This Row],[Discount Amount]]</f>
        <v>17</v>
      </c>
      <c r="K488">
        <v>396</v>
      </c>
      <c r="L488" t="str">
        <f>IF(grocery_chain_data[[#This Row],[Final Amount]]&lt;0,"Return","Sale")</f>
        <v>Sale</v>
      </c>
      <c r="M488">
        <f>IF(grocery_chain_data[[#This Row],[Final Amount]]&lt;0,0,grocery_chain_data[[#This Row],[Final Amount]])</f>
        <v>17</v>
      </c>
    </row>
    <row r="489" spans="1:13" x14ac:dyDescent="0.3">
      <c r="A489">
        <v>4683</v>
      </c>
      <c r="B489" t="s">
        <v>10</v>
      </c>
      <c r="C489" s="1">
        <v>45648</v>
      </c>
      <c r="D489" s="1" t="str">
        <f t="shared" si="7"/>
        <v>Dairy</v>
      </c>
      <c r="E489" t="s">
        <v>20</v>
      </c>
      <c r="F489" s="2">
        <v>5</v>
      </c>
      <c r="G489" s="3">
        <v>14</v>
      </c>
      <c r="H489" s="3">
        <f>grocery_chain_data[[#This Row],[Quantity]]*grocery_chain_data[[#This Row],[Unit Price]]</f>
        <v>70</v>
      </c>
      <c r="I489" s="3">
        <v>7</v>
      </c>
      <c r="J489" s="3">
        <f>grocery_chain_data[[#This Row],[Total Amount]]-grocery_chain_data[[#This Row],[Discount Amount]]</f>
        <v>63</v>
      </c>
      <c r="K489">
        <v>219</v>
      </c>
      <c r="L489" t="str">
        <f>IF(grocery_chain_data[[#This Row],[Final Amount]]&lt;0,"Return","Sale")</f>
        <v>Sale</v>
      </c>
      <c r="M489">
        <f>IF(grocery_chain_data[[#This Row],[Final Amount]]&lt;0,0,grocery_chain_data[[#This Row],[Final Amount]])</f>
        <v>63</v>
      </c>
    </row>
    <row r="490" spans="1:13" x14ac:dyDescent="0.3">
      <c r="A490">
        <v>3441</v>
      </c>
      <c r="B490" t="s">
        <v>10</v>
      </c>
      <c r="C490" s="1">
        <v>45850</v>
      </c>
      <c r="D490" s="1" t="str">
        <f t="shared" si="7"/>
        <v>Produce</v>
      </c>
      <c r="E490" t="s">
        <v>18</v>
      </c>
      <c r="F490" s="2">
        <v>1</v>
      </c>
      <c r="G490" s="3">
        <v>16</v>
      </c>
      <c r="H490" s="3">
        <f>grocery_chain_data[[#This Row],[Quantity]]*grocery_chain_data[[#This Row],[Unit Price]]</f>
        <v>16</v>
      </c>
      <c r="I490" s="3">
        <v>5</v>
      </c>
      <c r="J490" s="3">
        <f>grocery_chain_data[[#This Row],[Total Amount]]-grocery_chain_data[[#This Row],[Discount Amount]]</f>
        <v>11</v>
      </c>
      <c r="K490">
        <v>374</v>
      </c>
      <c r="L490" t="str">
        <f>IF(grocery_chain_data[[#This Row],[Final Amount]]&lt;0,"Return","Sale")</f>
        <v>Sale</v>
      </c>
      <c r="M490">
        <f>IF(grocery_chain_data[[#This Row],[Final Amount]]&lt;0,0,grocery_chain_data[[#This Row],[Final Amount]])</f>
        <v>11</v>
      </c>
    </row>
    <row r="491" spans="1:13" x14ac:dyDescent="0.3">
      <c r="A491">
        <v>5352</v>
      </c>
      <c r="B491" t="s">
        <v>2</v>
      </c>
      <c r="C491" s="1">
        <v>45787</v>
      </c>
      <c r="D491" s="1" t="str">
        <f t="shared" si="7"/>
        <v>Produce</v>
      </c>
      <c r="E491" t="s">
        <v>18</v>
      </c>
      <c r="F491" s="2">
        <v>1</v>
      </c>
      <c r="G491" s="3">
        <v>19</v>
      </c>
      <c r="H491" s="3">
        <f>grocery_chain_data[[#This Row],[Quantity]]*grocery_chain_data[[#This Row],[Unit Price]]</f>
        <v>19</v>
      </c>
      <c r="I491" s="3">
        <v>0</v>
      </c>
      <c r="J491" s="3">
        <f>grocery_chain_data[[#This Row],[Total Amount]]-grocery_chain_data[[#This Row],[Discount Amount]]</f>
        <v>19</v>
      </c>
      <c r="K491">
        <v>127</v>
      </c>
      <c r="L491" t="str">
        <f>IF(grocery_chain_data[[#This Row],[Final Amount]]&lt;0,"Return","Sale")</f>
        <v>Sale</v>
      </c>
      <c r="M491">
        <f>IF(grocery_chain_data[[#This Row],[Final Amount]]&lt;0,0,grocery_chain_data[[#This Row],[Final Amount]])</f>
        <v>19</v>
      </c>
    </row>
    <row r="492" spans="1:13" x14ac:dyDescent="0.3">
      <c r="A492">
        <v>3330</v>
      </c>
      <c r="B492" t="s">
        <v>16</v>
      </c>
      <c r="C492" s="1">
        <v>45200</v>
      </c>
      <c r="D492" s="1" t="str">
        <f t="shared" si="7"/>
        <v>Dairy</v>
      </c>
      <c r="E492" t="s">
        <v>20</v>
      </c>
      <c r="F492" s="2">
        <v>1</v>
      </c>
      <c r="G492" s="3">
        <v>12</v>
      </c>
      <c r="H492" s="3">
        <f>grocery_chain_data[[#This Row],[Quantity]]*grocery_chain_data[[#This Row],[Unit Price]]</f>
        <v>12</v>
      </c>
      <c r="I492" s="3">
        <v>2</v>
      </c>
      <c r="J492" s="3">
        <f>grocery_chain_data[[#This Row],[Total Amount]]-grocery_chain_data[[#This Row],[Discount Amount]]</f>
        <v>10</v>
      </c>
      <c r="K492">
        <v>301</v>
      </c>
      <c r="L492" t="str">
        <f>IF(grocery_chain_data[[#This Row],[Final Amount]]&lt;0,"Return","Sale")</f>
        <v>Sale</v>
      </c>
      <c r="M492">
        <f>IF(grocery_chain_data[[#This Row],[Final Amount]]&lt;0,0,grocery_chain_data[[#This Row],[Final Amount]])</f>
        <v>10</v>
      </c>
    </row>
    <row r="493" spans="1:13" x14ac:dyDescent="0.3">
      <c r="A493">
        <v>1977</v>
      </c>
      <c r="B493" t="s">
        <v>0</v>
      </c>
      <c r="C493" s="1">
        <v>45273</v>
      </c>
      <c r="D493" s="1" t="str">
        <f t="shared" si="7"/>
        <v>Produce</v>
      </c>
      <c r="E493" t="s">
        <v>17</v>
      </c>
      <c r="F493" s="2">
        <v>3</v>
      </c>
      <c r="G493" s="3">
        <v>14</v>
      </c>
      <c r="H493" s="3">
        <f>grocery_chain_data[[#This Row],[Quantity]]*grocery_chain_data[[#This Row],[Unit Price]]</f>
        <v>42</v>
      </c>
      <c r="I493" s="3">
        <v>4</v>
      </c>
      <c r="J493" s="3">
        <f>grocery_chain_data[[#This Row],[Total Amount]]-grocery_chain_data[[#This Row],[Discount Amount]]</f>
        <v>38</v>
      </c>
      <c r="K493">
        <v>266</v>
      </c>
      <c r="L493" t="str">
        <f>IF(grocery_chain_data[[#This Row],[Final Amount]]&lt;0,"Return","Sale")</f>
        <v>Sale</v>
      </c>
      <c r="M493">
        <f>IF(grocery_chain_data[[#This Row],[Final Amount]]&lt;0,0,grocery_chain_data[[#This Row],[Final Amount]])</f>
        <v>38</v>
      </c>
    </row>
    <row r="494" spans="1:13" x14ac:dyDescent="0.3">
      <c r="A494">
        <v>6039</v>
      </c>
      <c r="B494" t="s">
        <v>5</v>
      </c>
      <c r="C494" s="1">
        <v>45607</v>
      </c>
      <c r="D494" s="1" t="str">
        <f t="shared" si="7"/>
        <v>Produce</v>
      </c>
      <c r="E494" t="s">
        <v>25</v>
      </c>
      <c r="F494" s="2">
        <v>3</v>
      </c>
      <c r="G494" s="3">
        <v>23</v>
      </c>
      <c r="H494" s="3">
        <f>grocery_chain_data[[#This Row],[Quantity]]*grocery_chain_data[[#This Row],[Unit Price]]</f>
        <v>69</v>
      </c>
      <c r="I494" s="3">
        <v>2</v>
      </c>
      <c r="J494" s="3">
        <f>grocery_chain_data[[#This Row],[Total Amount]]-grocery_chain_data[[#This Row],[Discount Amount]]</f>
        <v>67</v>
      </c>
      <c r="K494">
        <v>84</v>
      </c>
      <c r="L494" t="str">
        <f>IF(grocery_chain_data[[#This Row],[Final Amount]]&lt;0,"Return","Sale")</f>
        <v>Sale</v>
      </c>
      <c r="M494">
        <f>IF(grocery_chain_data[[#This Row],[Final Amount]]&lt;0,0,grocery_chain_data[[#This Row],[Final Amount]])</f>
        <v>67</v>
      </c>
    </row>
    <row r="495" spans="1:13" x14ac:dyDescent="0.3">
      <c r="A495">
        <v>5728</v>
      </c>
      <c r="B495" t="s">
        <v>5</v>
      </c>
      <c r="C495" s="1">
        <v>45486</v>
      </c>
      <c r="D495" s="1" t="str">
        <f t="shared" si="7"/>
        <v>Produce</v>
      </c>
      <c r="E495" t="s">
        <v>18</v>
      </c>
      <c r="F495" s="2">
        <v>5</v>
      </c>
      <c r="G495" s="3">
        <v>16</v>
      </c>
      <c r="H495" s="3">
        <f>grocery_chain_data[[#This Row],[Quantity]]*grocery_chain_data[[#This Row],[Unit Price]]</f>
        <v>80</v>
      </c>
      <c r="I495" s="3">
        <v>0</v>
      </c>
      <c r="J495" s="3">
        <f>grocery_chain_data[[#This Row],[Total Amount]]-grocery_chain_data[[#This Row],[Discount Amount]]</f>
        <v>80</v>
      </c>
      <c r="K495">
        <v>63</v>
      </c>
      <c r="L495" t="str">
        <f>IF(grocery_chain_data[[#This Row],[Final Amount]]&lt;0,"Return","Sale")</f>
        <v>Sale</v>
      </c>
      <c r="M495">
        <f>IF(grocery_chain_data[[#This Row],[Final Amount]]&lt;0,0,grocery_chain_data[[#This Row],[Final Amount]])</f>
        <v>80</v>
      </c>
    </row>
    <row r="496" spans="1:13" x14ac:dyDescent="0.3">
      <c r="A496">
        <v>3037</v>
      </c>
      <c r="B496" t="s">
        <v>13</v>
      </c>
      <c r="C496" s="1">
        <v>45509</v>
      </c>
      <c r="D496" s="1" t="str">
        <f t="shared" si="7"/>
        <v>Pantry</v>
      </c>
      <c r="E496" t="s">
        <v>1</v>
      </c>
      <c r="F496" s="2">
        <v>5</v>
      </c>
      <c r="G496" s="3">
        <v>19</v>
      </c>
      <c r="H496" s="3">
        <f>grocery_chain_data[[#This Row],[Quantity]]*grocery_chain_data[[#This Row],[Unit Price]]</f>
        <v>95</v>
      </c>
      <c r="I496" s="3">
        <v>0</v>
      </c>
      <c r="J496" s="3">
        <f>grocery_chain_data[[#This Row],[Total Amount]]-grocery_chain_data[[#This Row],[Discount Amount]]</f>
        <v>95</v>
      </c>
      <c r="K496">
        <v>304</v>
      </c>
      <c r="L496" t="str">
        <f>IF(grocery_chain_data[[#This Row],[Final Amount]]&lt;0,"Return","Sale")</f>
        <v>Sale</v>
      </c>
      <c r="M496">
        <f>IF(grocery_chain_data[[#This Row],[Final Amount]]&lt;0,0,grocery_chain_data[[#This Row],[Final Amount]])</f>
        <v>95</v>
      </c>
    </row>
    <row r="497" spans="1:13" x14ac:dyDescent="0.3">
      <c r="A497">
        <v>5982</v>
      </c>
      <c r="B497" t="s">
        <v>0</v>
      </c>
      <c r="C497" s="1">
        <v>45688</v>
      </c>
      <c r="D497" s="1" t="str">
        <f t="shared" si="7"/>
        <v>Produce</v>
      </c>
      <c r="E497" t="s">
        <v>18</v>
      </c>
      <c r="F497" s="2">
        <v>1</v>
      </c>
      <c r="G497" s="3">
        <v>21</v>
      </c>
      <c r="H497" s="3">
        <f>grocery_chain_data[[#This Row],[Quantity]]*grocery_chain_data[[#This Row],[Unit Price]]</f>
        <v>21</v>
      </c>
      <c r="I497" s="3">
        <v>2</v>
      </c>
      <c r="J497" s="3">
        <f>grocery_chain_data[[#This Row],[Total Amount]]-grocery_chain_data[[#This Row],[Discount Amount]]</f>
        <v>19</v>
      </c>
      <c r="K497">
        <v>213</v>
      </c>
      <c r="L497" t="str">
        <f>IF(grocery_chain_data[[#This Row],[Final Amount]]&lt;0,"Return","Sale")</f>
        <v>Sale</v>
      </c>
      <c r="M497">
        <f>IF(grocery_chain_data[[#This Row],[Final Amount]]&lt;0,0,grocery_chain_data[[#This Row],[Final Amount]])</f>
        <v>19</v>
      </c>
    </row>
    <row r="498" spans="1:13" x14ac:dyDescent="0.3">
      <c r="A498">
        <v>7594</v>
      </c>
      <c r="B498" t="s">
        <v>0</v>
      </c>
      <c r="C498" s="1">
        <v>45356</v>
      </c>
      <c r="D498" s="1" t="str">
        <f t="shared" si="7"/>
        <v>Pantry</v>
      </c>
      <c r="E498" t="s">
        <v>1</v>
      </c>
      <c r="F498" s="2">
        <v>4</v>
      </c>
      <c r="G498" s="3">
        <v>21</v>
      </c>
      <c r="H498" s="3">
        <f>grocery_chain_data[[#This Row],[Quantity]]*grocery_chain_data[[#This Row],[Unit Price]]</f>
        <v>84</v>
      </c>
      <c r="I498" s="3">
        <v>13</v>
      </c>
      <c r="J498" s="3">
        <f>grocery_chain_data[[#This Row],[Total Amount]]-grocery_chain_data[[#This Row],[Discount Amount]]</f>
        <v>71</v>
      </c>
      <c r="K498">
        <v>105</v>
      </c>
      <c r="L498" t="str">
        <f>IF(grocery_chain_data[[#This Row],[Final Amount]]&lt;0,"Return","Sale")</f>
        <v>Sale</v>
      </c>
      <c r="M498">
        <f>IF(grocery_chain_data[[#This Row],[Final Amount]]&lt;0,0,grocery_chain_data[[#This Row],[Final Amount]])</f>
        <v>71</v>
      </c>
    </row>
    <row r="499" spans="1:13" x14ac:dyDescent="0.3">
      <c r="A499">
        <v>9199</v>
      </c>
      <c r="B499" t="s">
        <v>8</v>
      </c>
      <c r="C499" s="1">
        <v>45564</v>
      </c>
      <c r="D499" s="1" t="str">
        <f t="shared" si="7"/>
        <v>Meat &amp; Seafood</v>
      </c>
      <c r="E499" t="s">
        <v>26</v>
      </c>
      <c r="F499" s="2">
        <v>5</v>
      </c>
      <c r="G499" s="3">
        <v>9</v>
      </c>
      <c r="H499" s="3">
        <f>grocery_chain_data[[#This Row],[Quantity]]*grocery_chain_data[[#This Row],[Unit Price]]</f>
        <v>45</v>
      </c>
      <c r="I499" s="3">
        <v>4</v>
      </c>
      <c r="J499" s="3">
        <f>grocery_chain_data[[#This Row],[Total Amount]]-grocery_chain_data[[#This Row],[Discount Amount]]</f>
        <v>41</v>
      </c>
      <c r="K499">
        <v>310</v>
      </c>
      <c r="L499" t="str">
        <f>IF(grocery_chain_data[[#This Row],[Final Amount]]&lt;0,"Return","Sale")</f>
        <v>Sale</v>
      </c>
      <c r="M499">
        <f>IF(grocery_chain_data[[#This Row],[Final Amount]]&lt;0,0,grocery_chain_data[[#This Row],[Final Amount]])</f>
        <v>41</v>
      </c>
    </row>
    <row r="500" spans="1:13" x14ac:dyDescent="0.3">
      <c r="A500">
        <v>9090</v>
      </c>
      <c r="B500" t="s">
        <v>0</v>
      </c>
      <c r="C500" s="1">
        <v>45485</v>
      </c>
      <c r="D500" s="1" t="str">
        <f t="shared" si="7"/>
        <v>Meat &amp; Seafood</v>
      </c>
      <c r="E500" t="s">
        <v>26</v>
      </c>
      <c r="F500" s="2">
        <v>3</v>
      </c>
      <c r="G500" s="3">
        <v>4</v>
      </c>
      <c r="H500" s="3">
        <f>grocery_chain_data[[#This Row],[Quantity]]*grocery_chain_data[[#This Row],[Unit Price]]</f>
        <v>12</v>
      </c>
      <c r="I500" s="3">
        <v>3</v>
      </c>
      <c r="J500" s="3">
        <f>grocery_chain_data[[#This Row],[Total Amount]]-grocery_chain_data[[#This Row],[Discount Amount]]</f>
        <v>9</v>
      </c>
      <c r="K500">
        <v>54</v>
      </c>
      <c r="L500" t="str">
        <f>IF(grocery_chain_data[[#This Row],[Final Amount]]&lt;0,"Return","Sale")</f>
        <v>Sale</v>
      </c>
      <c r="M500">
        <f>IF(grocery_chain_data[[#This Row],[Final Amount]]&lt;0,0,grocery_chain_data[[#This Row],[Final Amount]])</f>
        <v>9</v>
      </c>
    </row>
    <row r="501" spans="1:13" x14ac:dyDescent="0.3">
      <c r="A501">
        <v>2317</v>
      </c>
      <c r="B501" t="s">
        <v>21</v>
      </c>
      <c r="C501" s="1">
        <v>45609</v>
      </c>
      <c r="D501" s="1" t="str">
        <f t="shared" si="7"/>
        <v>Produce</v>
      </c>
      <c r="E501" t="s">
        <v>24</v>
      </c>
      <c r="F501" s="2">
        <v>2</v>
      </c>
      <c r="G501" s="3">
        <v>11</v>
      </c>
      <c r="H501" s="3">
        <f>grocery_chain_data[[#This Row],[Quantity]]*grocery_chain_data[[#This Row],[Unit Price]]</f>
        <v>22</v>
      </c>
      <c r="I501" s="3">
        <v>5</v>
      </c>
      <c r="J501" s="3">
        <f>grocery_chain_data[[#This Row],[Total Amount]]-grocery_chain_data[[#This Row],[Discount Amount]]</f>
        <v>17</v>
      </c>
      <c r="K501">
        <v>209</v>
      </c>
      <c r="L501" t="str">
        <f>IF(grocery_chain_data[[#This Row],[Final Amount]]&lt;0,"Return","Sale")</f>
        <v>Sale</v>
      </c>
      <c r="M501">
        <f>IF(grocery_chain_data[[#This Row],[Final Amount]]&lt;0,0,grocery_chain_data[[#This Row],[Final Amount]])</f>
        <v>17</v>
      </c>
    </row>
    <row r="502" spans="1:13" x14ac:dyDescent="0.3">
      <c r="A502">
        <v>1653</v>
      </c>
      <c r="B502" t="s">
        <v>13</v>
      </c>
      <c r="C502" s="1">
        <v>45835</v>
      </c>
      <c r="D502" s="1" t="str">
        <f t="shared" si="7"/>
        <v>Produce</v>
      </c>
      <c r="E502" t="s">
        <v>25</v>
      </c>
      <c r="F502" s="2">
        <v>2</v>
      </c>
      <c r="G502" s="3">
        <v>21</v>
      </c>
      <c r="H502" s="3">
        <f>grocery_chain_data[[#This Row],[Quantity]]*grocery_chain_data[[#This Row],[Unit Price]]</f>
        <v>42</v>
      </c>
      <c r="I502" s="3">
        <v>8</v>
      </c>
      <c r="J502" s="3">
        <f>grocery_chain_data[[#This Row],[Total Amount]]-grocery_chain_data[[#This Row],[Discount Amount]]</f>
        <v>34</v>
      </c>
      <c r="K502">
        <v>246</v>
      </c>
      <c r="L502" t="str">
        <f>IF(grocery_chain_data[[#This Row],[Final Amount]]&lt;0,"Return","Sale")</f>
        <v>Sale</v>
      </c>
      <c r="M502">
        <f>IF(grocery_chain_data[[#This Row],[Final Amount]]&lt;0,0,grocery_chain_data[[#This Row],[Final Amount]])</f>
        <v>34</v>
      </c>
    </row>
    <row r="503" spans="1:13" x14ac:dyDescent="0.3">
      <c r="A503">
        <v>8078</v>
      </c>
      <c r="B503" t="s">
        <v>13</v>
      </c>
      <c r="C503" s="1">
        <v>45715</v>
      </c>
      <c r="D503" s="1" t="str">
        <f t="shared" si="7"/>
        <v>Bakery</v>
      </c>
      <c r="E503" t="s">
        <v>22</v>
      </c>
      <c r="F503" s="2">
        <v>1</v>
      </c>
      <c r="G503" s="3">
        <v>25</v>
      </c>
      <c r="H503" s="3">
        <f>grocery_chain_data[[#This Row],[Quantity]]*grocery_chain_data[[#This Row],[Unit Price]]</f>
        <v>25</v>
      </c>
      <c r="I503" s="3">
        <v>5</v>
      </c>
      <c r="J503" s="3">
        <f>grocery_chain_data[[#This Row],[Total Amount]]-grocery_chain_data[[#This Row],[Discount Amount]]</f>
        <v>20</v>
      </c>
      <c r="K503">
        <v>342</v>
      </c>
      <c r="L503" t="str">
        <f>IF(grocery_chain_data[[#This Row],[Final Amount]]&lt;0,"Return","Sale")</f>
        <v>Sale</v>
      </c>
      <c r="M503">
        <f>IF(grocery_chain_data[[#This Row],[Final Amount]]&lt;0,0,grocery_chain_data[[#This Row],[Final Amount]])</f>
        <v>20</v>
      </c>
    </row>
    <row r="504" spans="1:13" x14ac:dyDescent="0.3">
      <c r="A504">
        <v>6280</v>
      </c>
      <c r="B504" t="s">
        <v>0</v>
      </c>
      <c r="C504" s="1">
        <v>45613</v>
      </c>
      <c r="D504" s="1" t="str">
        <f t="shared" si="7"/>
        <v>Bakery</v>
      </c>
      <c r="E504" t="s">
        <v>22</v>
      </c>
      <c r="F504" s="2">
        <v>1</v>
      </c>
      <c r="G504" s="3">
        <v>27</v>
      </c>
      <c r="H504" s="3">
        <f>grocery_chain_data[[#This Row],[Quantity]]*grocery_chain_data[[#This Row],[Unit Price]]</f>
        <v>27</v>
      </c>
      <c r="I504" s="3">
        <v>3</v>
      </c>
      <c r="J504" s="3">
        <f>grocery_chain_data[[#This Row],[Total Amount]]-grocery_chain_data[[#This Row],[Discount Amount]]</f>
        <v>24</v>
      </c>
      <c r="K504">
        <v>329</v>
      </c>
      <c r="L504" t="str">
        <f>IF(grocery_chain_data[[#This Row],[Final Amount]]&lt;0,"Return","Sale")</f>
        <v>Sale</v>
      </c>
      <c r="M504">
        <f>IF(grocery_chain_data[[#This Row],[Final Amount]]&lt;0,0,grocery_chain_data[[#This Row],[Final Amount]])</f>
        <v>24</v>
      </c>
    </row>
    <row r="505" spans="1:13" x14ac:dyDescent="0.3">
      <c r="A505">
        <v>5102</v>
      </c>
      <c r="B505" t="s">
        <v>12</v>
      </c>
      <c r="C505" s="1">
        <v>45165</v>
      </c>
      <c r="D505" s="1" t="str">
        <f t="shared" si="7"/>
        <v>Meat &amp; Seafood</v>
      </c>
      <c r="E505" t="s">
        <v>15</v>
      </c>
      <c r="F505" s="2">
        <v>1</v>
      </c>
      <c r="G505" s="3">
        <v>4</v>
      </c>
      <c r="H505" s="3">
        <f>grocery_chain_data[[#This Row],[Quantity]]*grocery_chain_data[[#This Row],[Unit Price]]</f>
        <v>4</v>
      </c>
      <c r="I505" s="3">
        <v>1</v>
      </c>
      <c r="J505" s="3">
        <f>grocery_chain_data[[#This Row],[Total Amount]]-grocery_chain_data[[#This Row],[Discount Amount]]</f>
        <v>3</v>
      </c>
      <c r="K505">
        <v>89</v>
      </c>
      <c r="L505" t="str">
        <f>IF(grocery_chain_data[[#This Row],[Final Amount]]&lt;0,"Return","Sale")</f>
        <v>Sale</v>
      </c>
      <c r="M505">
        <f>IF(grocery_chain_data[[#This Row],[Final Amount]]&lt;0,0,grocery_chain_data[[#This Row],[Final Amount]])</f>
        <v>3</v>
      </c>
    </row>
    <row r="506" spans="1:13" x14ac:dyDescent="0.3">
      <c r="A506">
        <v>2496</v>
      </c>
      <c r="B506" t="s">
        <v>16</v>
      </c>
      <c r="C506" s="1">
        <v>45322</v>
      </c>
      <c r="D506" s="1" t="str">
        <f t="shared" si="7"/>
        <v>Pantry</v>
      </c>
      <c r="E506" t="s">
        <v>6</v>
      </c>
      <c r="F506" s="2">
        <v>4</v>
      </c>
      <c r="G506" s="3">
        <v>22</v>
      </c>
      <c r="H506" s="3">
        <f>grocery_chain_data[[#This Row],[Quantity]]*grocery_chain_data[[#This Row],[Unit Price]]</f>
        <v>88</v>
      </c>
      <c r="I506" s="3">
        <v>4</v>
      </c>
      <c r="J506" s="3">
        <f>grocery_chain_data[[#This Row],[Total Amount]]-grocery_chain_data[[#This Row],[Discount Amount]]</f>
        <v>84</v>
      </c>
      <c r="K506">
        <v>48</v>
      </c>
      <c r="L506" t="str">
        <f>IF(grocery_chain_data[[#This Row],[Final Amount]]&lt;0,"Return","Sale")</f>
        <v>Sale</v>
      </c>
      <c r="M506">
        <f>IF(grocery_chain_data[[#This Row],[Final Amount]]&lt;0,0,grocery_chain_data[[#This Row],[Final Amount]])</f>
        <v>84</v>
      </c>
    </row>
    <row r="507" spans="1:13" x14ac:dyDescent="0.3">
      <c r="A507">
        <v>1339</v>
      </c>
      <c r="B507" t="s">
        <v>5</v>
      </c>
      <c r="C507" s="1">
        <v>45739</v>
      </c>
      <c r="D507" s="1" t="str">
        <f t="shared" si="7"/>
        <v>Beverages</v>
      </c>
      <c r="E507" t="s">
        <v>7</v>
      </c>
      <c r="F507" s="2">
        <v>4</v>
      </c>
      <c r="G507" s="3">
        <v>29</v>
      </c>
      <c r="H507" s="3">
        <f>grocery_chain_data[[#This Row],[Quantity]]*grocery_chain_data[[#This Row],[Unit Price]]</f>
        <v>116</v>
      </c>
      <c r="I507" s="3">
        <v>17</v>
      </c>
      <c r="J507" s="3">
        <f>grocery_chain_data[[#This Row],[Total Amount]]-grocery_chain_data[[#This Row],[Discount Amount]]</f>
        <v>99</v>
      </c>
      <c r="K507">
        <v>137</v>
      </c>
      <c r="L507" t="str">
        <f>IF(grocery_chain_data[[#This Row],[Final Amount]]&lt;0,"Return","Sale")</f>
        <v>Sale</v>
      </c>
      <c r="M507">
        <f>IF(grocery_chain_data[[#This Row],[Final Amount]]&lt;0,0,grocery_chain_data[[#This Row],[Final Amount]])</f>
        <v>99</v>
      </c>
    </row>
    <row r="508" spans="1:13" x14ac:dyDescent="0.3">
      <c r="A508">
        <v>5415</v>
      </c>
      <c r="B508" t="s">
        <v>16</v>
      </c>
      <c r="C508" s="1">
        <v>45592</v>
      </c>
      <c r="D508" s="1" t="str">
        <f t="shared" si="7"/>
        <v>Meat &amp; Seafood</v>
      </c>
      <c r="E508" t="s">
        <v>26</v>
      </c>
      <c r="F508" s="2">
        <v>4</v>
      </c>
      <c r="G508" s="3">
        <v>13</v>
      </c>
      <c r="H508" s="3">
        <f>grocery_chain_data[[#This Row],[Quantity]]*grocery_chain_data[[#This Row],[Unit Price]]</f>
        <v>52</v>
      </c>
      <c r="I508" s="3">
        <v>5</v>
      </c>
      <c r="J508" s="3">
        <f>grocery_chain_data[[#This Row],[Total Amount]]-grocery_chain_data[[#This Row],[Discount Amount]]</f>
        <v>47</v>
      </c>
      <c r="K508">
        <v>233</v>
      </c>
      <c r="L508" t="str">
        <f>IF(grocery_chain_data[[#This Row],[Final Amount]]&lt;0,"Return","Sale")</f>
        <v>Sale</v>
      </c>
      <c r="M508">
        <f>IF(grocery_chain_data[[#This Row],[Final Amount]]&lt;0,0,grocery_chain_data[[#This Row],[Final Amount]])</f>
        <v>47</v>
      </c>
    </row>
    <row r="509" spans="1:13" x14ac:dyDescent="0.3">
      <c r="A509">
        <v>1659</v>
      </c>
      <c r="B509" t="s">
        <v>10</v>
      </c>
      <c r="C509" s="1">
        <v>45737</v>
      </c>
      <c r="D509" s="1" t="str">
        <f t="shared" si="7"/>
        <v>Produce</v>
      </c>
      <c r="E509" t="s">
        <v>11</v>
      </c>
      <c r="F509" s="2">
        <v>1</v>
      </c>
      <c r="G509" s="3">
        <v>5</v>
      </c>
      <c r="H509" s="3">
        <f>grocery_chain_data[[#This Row],[Quantity]]*grocery_chain_data[[#This Row],[Unit Price]]</f>
        <v>5</v>
      </c>
      <c r="I509" s="3">
        <v>1</v>
      </c>
      <c r="J509" s="3">
        <f>grocery_chain_data[[#This Row],[Total Amount]]-grocery_chain_data[[#This Row],[Discount Amount]]</f>
        <v>4</v>
      </c>
      <c r="K509">
        <v>371</v>
      </c>
      <c r="L509" t="str">
        <f>IF(grocery_chain_data[[#This Row],[Final Amount]]&lt;0,"Return","Sale")</f>
        <v>Sale</v>
      </c>
      <c r="M509">
        <f>IF(grocery_chain_data[[#This Row],[Final Amount]]&lt;0,0,grocery_chain_data[[#This Row],[Final Amount]])</f>
        <v>4</v>
      </c>
    </row>
    <row r="510" spans="1:13" x14ac:dyDescent="0.3">
      <c r="A510">
        <v>3870</v>
      </c>
      <c r="B510" t="s">
        <v>0</v>
      </c>
      <c r="C510" s="1">
        <v>45510</v>
      </c>
      <c r="D510" s="1" t="str">
        <f t="shared" si="7"/>
        <v>Produce</v>
      </c>
      <c r="E510" t="s">
        <v>25</v>
      </c>
      <c r="F510" s="2">
        <v>5</v>
      </c>
      <c r="G510" s="3">
        <v>21</v>
      </c>
      <c r="H510" s="3">
        <f>grocery_chain_data[[#This Row],[Quantity]]*grocery_chain_data[[#This Row],[Unit Price]]</f>
        <v>105</v>
      </c>
      <c r="I510" s="3">
        <v>15</v>
      </c>
      <c r="J510" s="3">
        <f>grocery_chain_data[[#This Row],[Total Amount]]-grocery_chain_data[[#This Row],[Discount Amount]]</f>
        <v>90</v>
      </c>
      <c r="K510">
        <v>92</v>
      </c>
      <c r="L510" t="str">
        <f>IF(grocery_chain_data[[#This Row],[Final Amount]]&lt;0,"Return","Sale")</f>
        <v>Sale</v>
      </c>
      <c r="M510">
        <f>IF(grocery_chain_data[[#This Row],[Final Amount]]&lt;0,0,grocery_chain_data[[#This Row],[Final Amount]])</f>
        <v>90</v>
      </c>
    </row>
    <row r="511" spans="1:13" x14ac:dyDescent="0.3">
      <c r="A511">
        <v>9502</v>
      </c>
      <c r="B511" t="s">
        <v>13</v>
      </c>
      <c r="C511" s="1">
        <v>45651</v>
      </c>
      <c r="D511" s="1" t="str">
        <f t="shared" si="7"/>
        <v>Dairy</v>
      </c>
      <c r="E511" t="s">
        <v>20</v>
      </c>
      <c r="F511" s="2">
        <v>4</v>
      </c>
      <c r="G511" s="3">
        <v>28</v>
      </c>
      <c r="H511" s="3">
        <f>grocery_chain_data[[#This Row],[Quantity]]*grocery_chain_data[[#This Row],[Unit Price]]</f>
        <v>112</v>
      </c>
      <c r="I511" s="3">
        <v>11</v>
      </c>
      <c r="J511" s="3">
        <f>grocery_chain_data[[#This Row],[Total Amount]]-grocery_chain_data[[#This Row],[Discount Amount]]</f>
        <v>101</v>
      </c>
      <c r="K511">
        <v>57</v>
      </c>
      <c r="L511" t="str">
        <f>IF(grocery_chain_data[[#This Row],[Final Amount]]&lt;0,"Return","Sale")</f>
        <v>Sale</v>
      </c>
      <c r="M511">
        <f>IF(grocery_chain_data[[#This Row],[Final Amount]]&lt;0,0,grocery_chain_data[[#This Row],[Final Amount]])</f>
        <v>101</v>
      </c>
    </row>
    <row r="512" spans="1:13" x14ac:dyDescent="0.3">
      <c r="A512">
        <v>8245</v>
      </c>
      <c r="B512" t="s">
        <v>13</v>
      </c>
      <c r="C512" s="1">
        <v>45856</v>
      </c>
      <c r="D512" s="1" t="str">
        <f t="shared" si="7"/>
        <v>Pantry</v>
      </c>
      <c r="E512" t="s">
        <v>1</v>
      </c>
      <c r="F512" s="2">
        <v>3</v>
      </c>
      <c r="G512" s="3">
        <v>1</v>
      </c>
      <c r="H512" s="3">
        <f>grocery_chain_data[[#This Row],[Quantity]]*grocery_chain_data[[#This Row],[Unit Price]]</f>
        <v>3</v>
      </c>
      <c r="I512" s="3">
        <v>0</v>
      </c>
      <c r="J512" s="3">
        <f>grocery_chain_data[[#This Row],[Total Amount]]-grocery_chain_data[[#This Row],[Discount Amount]]</f>
        <v>3</v>
      </c>
      <c r="K512">
        <v>444</v>
      </c>
      <c r="L512" t="str">
        <f>IF(grocery_chain_data[[#This Row],[Final Amount]]&lt;0,"Return","Sale")</f>
        <v>Sale</v>
      </c>
      <c r="M512">
        <f>IF(grocery_chain_data[[#This Row],[Final Amount]]&lt;0,0,grocery_chain_data[[#This Row],[Final Amount]])</f>
        <v>3</v>
      </c>
    </row>
    <row r="513" spans="1:13" x14ac:dyDescent="0.3">
      <c r="A513">
        <v>5557</v>
      </c>
      <c r="B513" t="s">
        <v>16</v>
      </c>
      <c r="C513" s="1">
        <v>45285</v>
      </c>
      <c r="D513" s="1" t="str">
        <f t="shared" si="7"/>
        <v>Produce</v>
      </c>
      <c r="E513" t="s">
        <v>24</v>
      </c>
      <c r="F513" s="2">
        <v>5</v>
      </c>
      <c r="G513" s="3">
        <v>4</v>
      </c>
      <c r="H513" s="3">
        <f>grocery_chain_data[[#This Row],[Quantity]]*grocery_chain_data[[#This Row],[Unit Price]]</f>
        <v>20</v>
      </c>
      <c r="I513" s="3">
        <v>2</v>
      </c>
      <c r="J513" s="3">
        <f>grocery_chain_data[[#This Row],[Total Amount]]-grocery_chain_data[[#This Row],[Discount Amount]]</f>
        <v>18</v>
      </c>
      <c r="K513">
        <v>338</v>
      </c>
      <c r="L513" t="str">
        <f>IF(grocery_chain_data[[#This Row],[Final Amount]]&lt;0,"Return","Sale")</f>
        <v>Sale</v>
      </c>
      <c r="M513">
        <f>IF(grocery_chain_data[[#This Row],[Final Amount]]&lt;0,0,grocery_chain_data[[#This Row],[Final Amount]])</f>
        <v>18</v>
      </c>
    </row>
    <row r="514" spans="1:13" x14ac:dyDescent="0.3">
      <c r="A514">
        <v>8141</v>
      </c>
      <c r="B514" t="s">
        <v>16</v>
      </c>
      <c r="C514" s="1">
        <v>45638</v>
      </c>
      <c r="D514" s="1" t="str">
        <f t="shared" ref="D514:D577" si="8">IF(E514="Pasta","Pantry",
IF(E514="Cheese","Dairy",
IF(E514="Onions","Produce",
IF(E514="Cereal","Pantry",
IF(E514="Orange Juice","Beverages",
IF(E514="Ground Beef","Meat &amp; Seafood",
IF(E514="Apples","Produce",
IF(E514="Milk","Dairy",
IF(E514="Bananas","Produce",
IF(E514="Bread","Bakery",
IF(E514="Carrots","Produce",
IF(E514="Chicken Breast","Meat &amp; Seafood",
IF(E514="Eggs","Dairy",
IF(E514="Potatoes","Produce",
IF(E514="Rice","Produce",
IF(E514="Salmon","Meat &amp; Seafood",
IF(E514="Tomatoes","Produce",
IF(E514="Yogurt","Dairy",
"Others"))))))))))))))))))</f>
        <v>Produce</v>
      </c>
      <c r="E514" t="s">
        <v>14</v>
      </c>
      <c r="F514" s="2">
        <v>2</v>
      </c>
      <c r="G514" s="3">
        <v>25</v>
      </c>
      <c r="H514" s="3">
        <f>grocery_chain_data[[#This Row],[Quantity]]*grocery_chain_data[[#This Row],[Unit Price]]</f>
        <v>50</v>
      </c>
      <c r="I514" s="3">
        <v>4</v>
      </c>
      <c r="J514" s="3">
        <f>grocery_chain_data[[#This Row],[Total Amount]]-grocery_chain_data[[#This Row],[Discount Amount]]</f>
        <v>46</v>
      </c>
      <c r="K514">
        <v>285</v>
      </c>
      <c r="L514" t="str">
        <f>IF(grocery_chain_data[[#This Row],[Final Amount]]&lt;0,"Return","Sale")</f>
        <v>Sale</v>
      </c>
      <c r="M514">
        <f>IF(grocery_chain_data[[#This Row],[Final Amount]]&lt;0,0,grocery_chain_data[[#This Row],[Final Amount]])</f>
        <v>46</v>
      </c>
    </row>
    <row r="515" spans="1:13" x14ac:dyDescent="0.3">
      <c r="A515">
        <v>9056</v>
      </c>
      <c r="B515" t="s">
        <v>5</v>
      </c>
      <c r="C515" s="1">
        <v>45215</v>
      </c>
      <c r="D515" s="1" t="str">
        <f t="shared" si="8"/>
        <v>Produce</v>
      </c>
      <c r="E515" t="s">
        <v>25</v>
      </c>
      <c r="F515" s="2">
        <v>4</v>
      </c>
      <c r="G515" s="3">
        <v>26</v>
      </c>
      <c r="H515" s="3">
        <f>grocery_chain_data[[#This Row],[Quantity]]*grocery_chain_data[[#This Row],[Unit Price]]</f>
        <v>104</v>
      </c>
      <c r="I515" s="3">
        <v>16</v>
      </c>
      <c r="J515" s="3">
        <f>grocery_chain_data[[#This Row],[Total Amount]]-grocery_chain_data[[#This Row],[Discount Amount]]</f>
        <v>88</v>
      </c>
      <c r="K515">
        <v>38</v>
      </c>
      <c r="L515" t="str">
        <f>IF(grocery_chain_data[[#This Row],[Final Amount]]&lt;0,"Return","Sale")</f>
        <v>Sale</v>
      </c>
      <c r="M515">
        <f>IF(grocery_chain_data[[#This Row],[Final Amount]]&lt;0,0,grocery_chain_data[[#This Row],[Final Amount]])</f>
        <v>88</v>
      </c>
    </row>
    <row r="516" spans="1:13" x14ac:dyDescent="0.3">
      <c r="A516">
        <v>8700</v>
      </c>
      <c r="B516" t="s">
        <v>21</v>
      </c>
      <c r="C516" s="1">
        <v>45415</v>
      </c>
      <c r="D516" s="1" t="str">
        <f t="shared" si="8"/>
        <v>Pantry</v>
      </c>
      <c r="E516" t="s">
        <v>1</v>
      </c>
      <c r="F516" s="2">
        <v>1</v>
      </c>
      <c r="G516" s="3">
        <v>16</v>
      </c>
      <c r="H516" s="3">
        <f>grocery_chain_data[[#This Row],[Quantity]]*grocery_chain_data[[#This Row],[Unit Price]]</f>
        <v>16</v>
      </c>
      <c r="I516" s="3">
        <v>2</v>
      </c>
      <c r="J516" s="3">
        <f>grocery_chain_data[[#This Row],[Total Amount]]-grocery_chain_data[[#This Row],[Discount Amount]]</f>
        <v>14</v>
      </c>
      <c r="K516">
        <v>281</v>
      </c>
      <c r="L516" t="str">
        <f>IF(grocery_chain_data[[#This Row],[Final Amount]]&lt;0,"Return","Sale")</f>
        <v>Sale</v>
      </c>
      <c r="M516">
        <f>IF(grocery_chain_data[[#This Row],[Final Amount]]&lt;0,0,grocery_chain_data[[#This Row],[Final Amount]])</f>
        <v>14</v>
      </c>
    </row>
    <row r="517" spans="1:13" x14ac:dyDescent="0.3">
      <c r="A517">
        <v>7690</v>
      </c>
      <c r="B517" t="s">
        <v>21</v>
      </c>
      <c r="C517" s="1">
        <v>45403</v>
      </c>
      <c r="D517" s="1" t="str">
        <f t="shared" si="8"/>
        <v>Meat &amp; Seafood</v>
      </c>
      <c r="E517" t="s">
        <v>15</v>
      </c>
      <c r="F517" s="2">
        <v>4</v>
      </c>
      <c r="G517" s="3">
        <v>24</v>
      </c>
      <c r="H517" s="3">
        <f>grocery_chain_data[[#This Row],[Quantity]]*grocery_chain_data[[#This Row],[Unit Price]]</f>
        <v>96</v>
      </c>
      <c r="I517" s="3">
        <v>10</v>
      </c>
      <c r="J517" s="3">
        <f>grocery_chain_data[[#This Row],[Total Amount]]-grocery_chain_data[[#This Row],[Discount Amount]]</f>
        <v>86</v>
      </c>
      <c r="K517">
        <v>229</v>
      </c>
      <c r="L517" t="str">
        <f>IF(grocery_chain_data[[#This Row],[Final Amount]]&lt;0,"Return","Sale")</f>
        <v>Sale</v>
      </c>
      <c r="M517">
        <f>IF(grocery_chain_data[[#This Row],[Final Amount]]&lt;0,0,grocery_chain_data[[#This Row],[Final Amount]])</f>
        <v>86</v>
      </c>
    </row>
    <row r="518" spans="1:13" x14ac:dyDescent="0.3">
      <c r="A518">
        <v>6260</v>
      </c>
      <c r="B518" t="s">
        <v>10</v>
      </c>
      <c r="C518" s="1">
        <v>45665</v>
      </c>
      <c r="D518" s="1" t="str">
        <f t="shared" si="8"/>
        <v>Meat &amp; Seafood</v>
      </c>
      <c r="E518" t="s">
        <v>26</v>
      </c>
      <c r="F518" s="2">
        <v>4</v>
      </c>
      <c r="G518" s="3">
        <v>23</v>
      </c>
      <c r="H518" s="3">
        <f>grocery_chain_data[[#This Row],[Quantity]]*grocery_chain_data[[#This Row],[Unit Price]]</f>
        <v>92</v>
      </c>
      <c r="I518" s="3">
        <v>9</v>
      </c>
      <c r="J518" s="3">
        <f>grocery_chain_data[[#This Row],[Total Amount]]-grocery_chain_data[[#This Row],[Discount Amount]]</f>
        <v>83</v>
      </c>
      <c r="K518">
        <v>9</v>
      </c>
      <c r="L518" t="str">
        <f>IF(grocery_chain_data[[#This Row],[Final Amount]]&lt;0,"Return","Sale")</f>
        <v>Sale</v>
      </c>
      <c r="M518">
        <f>IF(grocery_chain_data[[#This Row],[Final Amount]]&lt;0,0,grocery_chain_data[[#This Row],[Final Amount]])</f>
        <v>83</v>
      </c>
    </row>
    <row r="519" spans="1:13" x14ac:dyDescent="0.3">
      <c r="A519">
        <v>2713</v>
      </c>
      <c r="B519" t="s">
        <v>8</v>
      </c>
      <c r="C519" s="1">
        <v>45811</v>
      </c>
      <c r="D519" s="1" t="str">
        <f t="shared" si="8"/>
        <v>Produce</v>
      </c>
      <c r="E519" t="s">
        <v>4</v>
      </c>
      <c r="F519" s="2">
        <v>5</v>
      </c>
      <c r="G519" s="3">
        <v>1</v>
      </c>
      <c r="H519" s="3">
        <f>grocery_chain_data[[#This Row],[Quantity]]*grocery_chain_data[[#This Row],[Unit Price]]</f>
        <v>5</v>
      </c>
      <c r="I519" s="3">
        <v>3</v>
      </c>
      <c r="J519" s="3">
        <f>grocery_chain_data[[#This Row],[Total Amount]]-grocery_chain_data[[#This Row],[Discount Amount]]</f>
        <v>2</v>
      </c>
      <c r="K519">
        <v>46</v>
      </c>
      <c r="L519" t="str">
        <f>IF(grocery_chain_data[[#This Row],[Final Amount]]&lt;0,"Return","Sale")</f>
        <v>Sale</v>
      </c>
      <c r="M519">
        <f>IF(grocery_chain_data[[#This Row],[Final Amount]]&lt;0,0,grocery_chain_data[[#This Row],[Final Amount]])</f>
        <v>2</v>
      </c>
    </row>
    <row r="520" spans="1:13" x14ac:dyDescent="0.3">
      <c r="A520">
        <v>3634</v>
      </c>
      <c r="B520" t="s">
        <v>10</v>
      </c>
      <c r="C520" s="1">
        <v>45401</v>
      </c>
      <c r="D520" s="1" t="str">
        <f t="shared" si="8"/>
        <v>Beverages</v>
      </c>
      <c r="E520" t="s">
        <v>7</v>
      </c>
      <c r="F520" s="2">
        <v>1</v>
      </c>
      <c r="G520" s="3">
        <v>25</v>
      </c>
      <c r="H520" s="3">
        <f>grocery_chain_data[[#This Row],[Quantity]]*grocery_chain_data[[#This Row],[Unit Price]]</f>
        <v>25</v>
      </c>
      <c r="I520" s="3">
        <v>4</v>
      </c>
      <c r="J520" s="3">
        <f>grocery_chain_data[[#This Row],[Total Amount]]-grocery_chain_data[[#This Row],[Discount Amount]]</f>
        <v>21</v>
      </c>
      <c r="K520">
        <v>432</v>
      </c>
      <c r="L520" t="str">
        <f>IF(grocery_chain_data[[#This Row],[Final Amount]]&lt;0,"Return","Sale")</f>
        <v>Sale</v>
      </c>
      <c r="M520">
        <f>IF(grocery_chain_data[[#This Row],[Final Amount]]&lt;0,0,grocery_chain_data[[#This Row],[Final Amount]])</f>
        <v>21</v>
      </c>
    </row>
    <row r="521" spans="1:13" x14ac:dyDescent="0.3">
      <c r="A521">
        <v>7744</v>
      </c>
      <c r="B521" t="s">
        <v>2</v>
      </c>
      <c r="C521" s="1">
        <v>45683</v>
      </c>
      <c r="D521" s="1" t="str">
        <f t="shared" si="8"/>
        <v>Produce</v>
      </c>
      <c r="E521" t="s">
        <v>25</v>
      </c>
      <c r="F521" s="2">
        <v>3</v>
      </c>
      <c r="G521" s="3">
        <v>22</v>
      </c>
      <c r="H521" s="3">
        <f>grocery_chain_data[[#This Row],[Quantity]]*grocery_chain_data[[#This Row],[Unit Price]]</f>
        <v>66</v>
      </c>
      <c r="I521" s="3">
        <v>0</v>
      </c>
      <c r="J521" s="3">
        <f>grocery_chain_data[[#This Row],[Total Amount]]-grocery_chain_data[[#This Row],[Discount Amount]]</f>
        <v>66</v>
      </c>
      <c r="K521">
        <v>58</v>
      </c>
      <c r="L521" t="str">
        <f>IF(grocery_chain_data[[#This Row],[Final Amount]]&lt;0,"Return","Sale")</f>
        <v>Sale</v>
      </c>
      <c r="M521">
        <f>IF(grocery_chain_data[[#This Row],[Final Amount]]&lt;0,0,grocery_chain_data[[#This Row],[Final Amount]])</f>
        <v>66</v>
      </c>
    </row>
    <row r="522" spans="1:13" x14ac:dyDescent="0.3">
      <c r="A522">
        <v>9117</v>
      </c>
      <c r="B522" t="s">
        <v>21</v>
      </c>
      <c r="C522" s="1">
        <v>45368</v>
      </c>
      <c r="D522" s="1" t="str">
        <f t="shared" si="8"/>
        <v>Pantry</v>
      </c>
      <c r="E522" t="s">
        <v>6</v>
      </c>
      <c r="F522" s="2">
        <v>3</v>
      </c>
      <c r="G522" s="3">
        <v>25</v>
      </c>
      <c r="H522" s="3">
        <f>grocery_chain_data[[#This Row],[Quantity]]*grocery_chain_data[[#This Row],[Unit Price]]</f>
        <v>75</v>
      </c>
      <c r="I522" s="3">
        <v>3</v>
      </c>
      <c r="J522" s="3">
        <f>grocery_chain_data[[#This Row],[Total Amount]]-grocery_chain_data[[#This Row],[Discount Amount]]</f>
        <v>72</v>
      </c>
      <c r="K522">
        <v>493</v>
      </c>
      <c r="L522" t="str">
        <f>IF(grocery_chain_data[[#This Row],[Final Amount]]&lt;0,"Return","Sale")</f>
        <v>Sale</v>
      </c>
      <c r="M522">
        <f>IF(grocery_chain_data[[#This Row],[Final Amount]]&lt;0,0,grocery_chain_data[[#This Row],[Final Amount]])</f>
        <v>72</v>
      </c>
    </row>
    <row r="523" spans="1:13" x14ac:dyDescent="0.3">
      <c r="A523">
        <v>7561</v>
      </c>
      <c r="B523" t="s">
        <v>0</v>
      </c>
      <c r="C523" s="1">
        <v>45776</v>
      </c>
      <c r="D523" s="1" t="str">
        <f t="shared" si="8"/>
        <v>Produce</v>
      </c>
      <c r="E523" t="s">
        <v>11</v>
      </c>
      <c r="F523" s="2">
        <v>4</v>
      </c>
      <c r="G523" s="3">
        <v>5</v>
      </c>
      <c r="H523" s="3">
        <f>grocery_chain_data[[#This Row],[Quantity]]*grocery_chain_data[[#This Row],[Unit Price]]</f>
        <v>20</v>
      </c>
      <c r="I523" s="3">
        <v>2</v>
      </c>
      <c r="J523" s="3">
        <f>grocery_chain_data[[#This Row],[Total Amount]]-grocery_chain_data[[#This Row],[Discount Amount]]</f>
        <v>18</v>
      </c>
      <c r="K523">
        <v>367</v>
      </c>
      <c r="L523" t="str">
        <f>IF(grocery_chain_data[[#This Row],[Final Amount]]&lt;0,"Return","Sale")</f>
        <v>Sale</v>
      </c>
      <c r="M523">
        <f>IF(grocery_chain_data[[#This Row],[Final Amount]]&lt;0,0,grocery_chain_data[[#This Row],[Final Amount]])</f>
        <v>18</v>
      </c>
    </row>
    <row r="524" spans="1:13" x14ac:dyDescent="0.3">
      <c r="A524">
        <v>1601</v>
      </c>
      <c r="B524" t="s">
        <v>21</v>
      </c>
      <c r="C524" s="1">
        <v>45498</v>
      </c>
      <c r="D524" s="1" t="str">
        <f t="shared" si="8"/>
        <v>Meat &amp; Seafood</v>
      </c>
      <c r="E524" t="s">
        <v>26</v>
      </c>
      <c r="F524" s="2">
        <v>4</v>
      </c>
      <c r="G524" s="3">
        <v>7</v>
      </c>
      <c r="H524" s="3">
        <f>grocery_chain_data[[#This Row],[Quantity]]*grocery_chain_data[[#This Row],[Unit Price]]</f>
        <v>28</v>
      </c>
      <c r="I524" s="3">
        <v>0</v>
      </c>
      <c r="J524" s="3">
        <f>grocery_chain_data[[#This Row],[Total Amount]]-grocery_chain_data[[#This Row],[Discount Amount]]</f>
        <v>28</v>
      </c>
      <c r="K524">
        <v>422</v>
      </c>
      <c r="L524" t="str">
        <f>IF(grocery_chain_data[[#This Row],[Final Amount]]&lt;0,"Return","Sale")</f>
        <v>Sale</v>
      </c>
      <c r="M524">
        <f>IF(grocery_chain_data[[#This Row],[Final Amount]]&lt;0,0,grocery_chain_data[[#This Row],[Final Amount]])</f>
        <v>28</v>
      </c>
    </row>
    <row r="525" spans="1:13" x14ac:dyDescent="0.3">
      <c r="A525">
        <v>2442</v>
      </c>
      <c r="B525" t="s">
        <v>16</v>
      </c>
      <c r="C525" s="1">
        <v>45389</v>
      </c>
      <c r="D525" s="1" t="str">
        <f t="shared" si="8"/>
        <v>Dairy</v>
      </c>
      <c r="E525" t="s">
        <v>3</v>
      </c>
      <c r="F525" s="2">
        <v>1</v>
      </c>
      <c r="G525" s="3">
        <v>28</v>
      </c>
      <c r="H525" s="3">
        <f>grocery_chain_data[[#This Row],[Quantity]]*grocery_chain_data[[#This Row],[Unit Price]]</f>
        <v>28</v>
      </c>
      <c r="I525" s="3">
        <v>3</v>
      </c>
      <c r="J525" s="3">
        <f>grocery_chain_data[[#This Row],[Total Amount]]-grocery_chain_data[[#This Row],[Discount Amount]]</f>
        <v>25</v>
      </c>
      <c r="K525">
        <v>428</v>
      </c>
      <c r="L525" t="str">
        <f>IF(grocery_chain_data[[#This Row],[Final Amount]]&lt;0,"Return","Sale")</f>
        <v>Sale</v>
      </c>
      <c r="M525">
        <f>IF(grocery_chain_data[[#This Row],[Final Amount]]&lt;0,0,grocery_chain_data[[#This Row],[Final Amount]])</f>
        <v>25</v>
      </c>
    </row>
    <row r="526" spans="1:13" x14ac:dyDescent="0.3">
      <c r="A526">
        <v>5135</v>
      </c>
      <c r="B526" t="s">
        <v>10</v>
      </c>
      <c r="C526" s="1">
        <v>45396</v>
      </c>
      <c r="D526" s="1" t="str">
        <f t="shared" si="8"/>
        <v>Produce</v>
      </c>
      <c r="E526" t="s">
        <v>24</v>
      </c>
      <c r="F526" s="2">
        <v>2</v>
      </c>
      <c r="G526" s="3">
        <v>29</v>
      </c>
      <c r="H526" s="3">
        <f>grocery_chain_data[[#This Row],[Quantity]]*grocery_chain_data[[#This Row],[Unit Price]]</f>
        <v>58</v>
      </c>
      <c r="I526" s="3">
        <v>5</v>
      </c>
      <c r="J526" s="3">
        <f>grocery_chain_data[[#This Row],[Total Amount]]-grocery_chain_data[[#This Row],[Discount Amount]]</f>
        <v>53</v>
      </c>
      <c r="K526">
        <v>2</v>
      </c>
      <c r="L526" t="str">
        <f>IF(grocery_chain_data[[#This Row],[Final Amount]]&lt;0,"Return","Sale")</f>
        <v>Sale</v>
      </c>
      <c r="M526">
        <f>IF(grocery_chain_data[[#This Row],[Final Amount]]&lt;0,0,grocery_chain_data[[#This Row],[Final Amount]])</f>
        <v>53</v>
      </c>
    </row>
    <row r="527" spans="1:13" x14ac:dyDescent="0.3">
      <c r="A527">
        <v>2899</v>
      </c>
      <c r="B527" t="s">
        <v>10</v>
      </c>
      <c r="C527" s="1">
        <v>45745</v>
      </c>
      <c r="D527" s="1" t="str">
        <f t="shared" si="8"/>
        <v>Produce</v>
      </c>
      <c r="E527" t="s">
        <v>11</v>
      </c>
      <c r="F527" s="2">
        <v>5</v>
      </c>
      <c r="G527" s="3">
        <v>6</v>
      </c>
      <c r="H527" s="3">
        <f>grocery_chain_data[[#This Row],[Quantity]]*grocery_chain_data[[#This Row],[Unit Price]]</f>
        <v>30</v>
      </c>
      <c r="I527" s="3">
        <v>3</v>
      </c>
      <c r="J527" s="3">
        <f>grocery_chain_data[[#This Row],[Total Amount]]-grocery_chain_data[[#This Row],[Discount Amount]]</f>
        <v>27</v>
      </c>
      <c r="K527">
        <v>417</v>
      </c>
      <c r="L527" t="str">
        <f>IF(grocery_chain_data[[#This Row],[Final Amount]]&lt;0,"Return","Sale")</f>
        <v>Sale</v>
      </c>
      <c r="M527">
        <f>IF(grocery_chain_data[[#This Row],[Final Amount]]&lt;0,0,grocery_chain_data[[#This Row],[Final Amount]])</f>
        <v>27</v>
      </c>
    </row>
    <row r="528" spans="1:13" x14ac:dyDescent="0.3">
      <c r="A528">
        <v>7622</v>
      </c>
      <c r="B528" t="s">
        <v>16</v>
      </c>
      <c r="C528" s="1">
        <v>45816</v>
      </c>
      <c r="D528" s="1" t="str">
        <f t="shared" si="8"/>
        <v>Produce</v>
      </c>
      <c r="E528" t="s">
        <v>14</v>
      </c>
      <c r="F528" s="2">
        <v>4</v>
      </c>
      <c r="G528" s="3">
        <v>29</v>
      </c>
      <c r="H528" s="3">
        <f>grocery_chain_data[[#This Row],[Quantity]]*grocery_chain_data[[#This Row],[Unit Price]]</f>
        <v>116</v>
      </c>
      <c r="I528" s="3">
        <v>18</v>
      </c>
      <c r="J528" s="3">
        <f>grocery_chain_data[[#This Row],[Total Amount]]-grocery_chain_data[[#This Row],[Discount Amount]]</f>
        <v>98</v>
      </c>
      <c r="K528">
        <v>468</v>
      </c>
      <c r="L528" t="str">
        <f>IF(grocery_chain_data[[#This Row],[Final Amount]]&lt;0,"Return","Sale")</f>
        <v>Sale</v>
      </c>
      <c r="M528">
        <f>IF(grocery_chain_data[[#This Row],[Final Amount]]&lt;0,0,grocery_chain_data[[#This Row],[Final Amount]])</f>
        <v>98</v>
      </c>
    </row>
    <row r="529" spans="1:13" x14ac:dyDescent="0.3">
      <c r="A529">
        <v>9431</v>
      </c>
      <c r="B529" t="s">
        <v>8</v>
      </c>
      <c r="C529" s="1">
        <v>45785</v>
      </c>
      <c r="D529" s="1" t="str">
        <f t="shared" si="8"/>
        <v>Produce</v>
      </c>
      <c r="E529" t="s">
        <v>17</v>
      </c>
      <c r="F529" s="2">
        <v>4</v>
      </c>
      <c r="G529" s="3">
        <v>24</v>
      </c>
      <c r="H529" s="3">
        <f>grocery_chain_data[[#This Row],[Quantity]]*grocery_chain_data[[#This Row],[Unit Price]]</f>
        <v>96</v>
      </c>
      <c r="I529" s="3">
        <v>4</v>
      </c>
      <c r="J529" s="3">
        <f>grocery_chain_data[[#This Row],[Total Amount]]-grocery_chain_data[[#This Row],[Discount Amount]]</f>
        <v>92</v>
      </c>
      <c r="K529">
        <v>70</v>
      </c>
      <c r="L529" t="str">
        <f>IF(grocery_chain_data[[#This Row],[Final Amount]]&lt;0,"Return","Sale")</f>
        <v>Sale</v>
      </c>
      <c r="M529">
        <f>IF(grocery_chain_data[[#This Row],[Final Amount]]&lt;0,0,grocery_chain_data[[#This Row],[Final Amount]])</f>
        <v>92</v>
      </c>
    </row>
    <row r="530" spans="1:13" x14ac:dyDescent="0.3">
      <c r="A530">
        <v>1018</v>
      </c>
      <c r="B530" t="s">
        <v>2</v>
      </c>
      <c r="C530" s="1">
        <v>45655</v>
      </c>
      <c r="D530" s="1" t="str">
        <f t="shared" si="8"/>
        <v>Produce</v>
      </c>
      <c r="E530" t="s">
        <v>4</v>
      </c>
      <c r="F530" s="2">
        <v>3</v>
      </c>
      <c r="G530" s="3">
        <v>22</v>
      </c>
      <c r="H530" s="3">
        <f>grocery_chain_data[[#This Row],[Quantity]]*grocery_chain_data[[#This Row],[Unit Price]]</f>
        <v>66</v>
      </c>
      <c r="I530" s="3">
        <v>13</v>
      </c>
      <c r="J530" s="3">
        <f>grocery_chain_data[[#This Row],[Total Amount]]-grocery_chain_data[[#This Row],[Discount Amount]]</f>
        <v>53</v>
      </c>
      <c r="K530">
        <v>478</v>
      </c>
      <c r="L530" t="str">
        <f>IF(grocery_chain_data[[#This Row],[Final Amount]]&lt;0,"Return","Sale")</f>
        <v>Sale</v>
      </c>
      <c r="M530">
        <f>IF(grocery_chain_data[[#This Row],[Final Amount]]&lt;0,0,grocery_chain_data[[#This Row],[Final Amount]])</f>
        <v>53</v>
      </c>
    </row>
    <row r="531" spans="1:13" x14ac:dyDescent="0.3">
      <c r="A531">
        <v>9889</v>
      </c>
      <c r="B531" t="s">
        <v>21</v>
      </c>
      <c r="C531" s="1">
        <v>45503</v>
      </c>
      <c r="D531" s="1" t="str">
        <f t="shared" si="8"/>
        <v>Produce</v>
      </c>
      <c r="E531" t="s">
        <v>17</v>
      </c>
      <c r="F531" s="2">
        <v>3</v>
      </c>
      <c r="G531" s="3">
        <v>28</v>
      </c>
      <c r="H531" s="3">
        <f>grocery_chain_data[[#This Row],[Quantity]]*grocery_chain_data[[#This Row],[Unit Price]]</f>
        <v>84</v>
      </c>
      <c r="I531" s="3">
        <v>3</v>
      </c>
      <c r="J531" s="3">
        <f>grocery_chain_data[[#This Row],[Total Amount]]-grocery_chain_data[[#This Row],[Discount Amount]]</f>
        <v>81</v>
      </c>
      <c r="K531">
        <v>67</v>
      </c>
      <c r="L531" t="str">
        <f>IF(grocery_chain_data[[#This Row],[Final Amount]]&lt;0,"Return","Sale")</f>
        <v>Sale</v>
      </c>
      <c r="M531">
        <f>IF(grocery_chain_data[[#This Row],[Final Amount]]&lt;0,0,grocery_chain_data[[#This Row],[Final Amount]])</f>
        <v>81</v>
      </c>
    </row>
    <row r="532" spans="1:13" x14ac:dyDescent="0.3">
      <c r="A532">
        <v>7770</v>
      </c>
      <c r="B532" t="s">
        <v>16</v>
      </c>
      <c r="C532" s="1">
        <v>45187</v>
      </c>
      <c r="D532" s="1" t="str">
        <f t="shared" si="8"/>
        <v>Beverages</v>
      </c>
      <c r="E532" t="s">
        <v>7</v>
      </c>
      <c r="F532" s="2">
        <v>5</v>
      </c>
      <c r="G532" s="3">
        <v>15</v>
      </c>
      <c r="H532" s="3">
        <f>grocery_chain_data[[#This Row],[Quantity]]*grocery_chain_data[[#This Row],[Unit Price]]</f>
        <v>75</v>
      </c>
      <c r="I532" s="3">
        <v>0</v>
      </c>
      <c r="J532" s="3">
        <f>grocery_chain_data[[#This Row],[Total Amount]]-grocery_chain_data[[#This Row],[Discount Amount]]</f>
        <v>75</v>
      </c>
      <c r="K532">
        <v>292</v>
      </c>
      <c r="L532" t="str">
        <f>IF(grocery_chain_data[[#This Row],[Final Amount]]&lt;0,"Return","Sale")</f>
        <v>Sale</v>
      </c>
      <c r="M532">
        <f>IF(grocery_chain_data[[#This Row],[Final Amount]]&lt;0,0,grocery_chain_data[[#This Row],[Final Amount]])</f>
        <v>75</v>
      </c>
    </row>
    <row r="533" spans="1:13" x14ac:dyDescent="0.3">
      <c r="A533">
        <v>4073</v>
      </c>
      <c r="B533" t="s">
        <v>2</v>
      </c>
      <c r="C533" s="1">
        <v>45547</v>
      </c>
      <c r="D533" s="1" t="str">
        <f t="shared" si="8"/>
        <v>Dairy</v>
      </c>
      <c r="E533" t="s">
        <v>3</v>
      </c>
      <c r="F533" s="2">
        <v>1</v>
      </c>
      <c r="G533" s="3">
        <v>16</v>
      </c>
      <c r="H533" s="3">
        <f>grocery_chain_data[[#This Row],[Quantity]]*grocery_chain_data[[#This Row],[Unit Price]]</f>
        <v>16</v>
      </c>
      <c r="I533" s="3">
        <v>3</v>
      </c>
      <c r="J533" s="3">
        <f>grocery_chain_data[[#This Row],[Total Amount]]-grocery_chain_data[[#This Row],[Discount Amount]]</f>
        <v>13</v>
      </c>
      <c r="K533">
        <v>12</v>
      </c>
      <c r="L533" t="str">
        <f>IF(grocery_chain_data[[#This Row],[Final Amount]]&lt;0,"Return","Sale")</f>
        <v>Sale</v>
      </c>
      <c r="M533">
        <f>IF(grocery_chain_data[[#This Row],[Final Amount]]&lt;0,0,grocery_chain_data[[#This Row],[Final Amount]])</f>
        <v>13</v>
      </c>
    </row>
    <row r="534" spans="1:13" x14ac:dyDescent="0.3">
      <c r="A534">
        <v>6927</v>
      </c>
      <c r="B534" t="s">
        <v>13</v>
      </c>
      <c r="C534" s="1">
        <v>45628</v>
      </c>
      <c r="D534" s="1" t="str">
        <f t="shared" si="8"/>
        <v>Dairy</v>
      </c>
      <c r="E534" t="s">
        <v>19</v>
      </c>
      <c r="F534" s="2">
        <v>2</v>
      </c>
      <c r="G534" s="3">
        <v>9</v>
      </c>
      <c r="H534" s="3">
        <f>grocery_chain_data[[#This Row],[Quantity]]*grocery_chain_data[[#This Row],[Unit Price]]</f>
        <v>18</v>
      </c>
      <c r="I534" s="3">
        <v>3</v>
      </c>
      <c r="J534" s="3">
        <f>grocery_chain_data[[#This Row],[Total Amount]]-grocery_chain_data[[#This Row],[Discount Amount]]</f>
        <v>15</v>
      </c>
      <c r="K534">
        <v>402</v>
      </c>
      <c r="L534" t="str">
        <f>IF(grocery_chain_data[[#This Row],[Final Amount]]&lt;0,"Return","Sale")</f>
        <v>Sale</v>
      </c>
      <c r="M534">
        <f>IF(grocery_chain_data[[#This Row],[Final Amount]]&lt;0,0,grocery_chain_data[[#This Row],[Final Amount]])</f>
        <v>15</v>
      </c>
    </row>
    <row r="535" spans="1:13" x14ac:dyDescent="0.3">
      <c r="A535">
        <v>9167</v>
      </c>
      <c r="B535" t="s">
        <v>12</v>
      </c>
      <c r="C535" s="1">
        <v>45630</v>
      </c>
      <c r="D535" s="1" t="str">
        <f t="shared" si="8"/>
        <v>Dairy</v>
      </c>
      <c r="E535" t="s">
        <v>19</v>
      </c>
      <c r="F535" s="2">
        <v>3</v>
      </c>
      <c r="G535" s="3">
        <v>7</v>
      </c>
      <c r="H535" s="3">
        <f>grocery_chain_data[[#This Row],[Quantity]]*grocery_chain_data[[#This Row],[Unit Price]]</f>
        <v>21</v>
      </c>
      <c r="I535" s="3">
        <v>3</v>
      </c>
      <c r="J535" s="3">
        <f>grocery_chain_data[[#This Row],[Total Amount]]-grocery_chain_data[[#This Row],[Discount Amount]]</f>
        <v>18</v>
      </c>
      <c r="K535">
        <v>277</v>
      </c>
      <c r="L535" t="str">
        <f>IF(grocery_chain_data[[#This Row],[Final Amount]]&lt;0,"Return","Sale")</f>
        <v>Sale</v>
      </c>
      <c r="M535">
        <f>IF(grocery_chain_data[[#This Row],[Final Amount]]&lt;0,0,grocery_chain_data[[#This Row],[Final Amount]])</f>
        <v>18</v>
      </c>
    </row>
    <row r="536" spans="1:13" x14ac:dyDescent="0.3">
      <c r="A536">
        <v>8242</v>
      </c>
      <c r="B536" t="s">
        <v>10</v>
      </c>
      <c r="C536" s="1">
        <v>45735</v>
      </c>
      <c r="D536" s="1" t="str">
        <f t="shared" si="8"/>
        <v>Produce</v>
      </c>
      <c r="E536" t="s">
        <v>4</v>
      </c>
      <c r="F536" s="2">
        <v>2</v>
      </c>
      <c r="G536" s="3">
        <v>23</v>
      </c>
      <c r="H536" s="3">
        <f>grocery_chain_data[[#This Row],[Quantity]]*grocery_chain_data[[#This Row],[Unit Price]]</f>
        <v>46</v>
      </c>
      <c r="I536" s="3">
        <v>9</v>
      </c>
      <c r="J536" s="3">
        <f>grocery_chain_data[[#This Row],[Total Amount]]-grocery_chain_data[[#This Row],[Discount Amount]]</f>
        <v>37</v>
      </c>
      <c r="K536">
        <v>287</v>
      </c>
      <c r="L536" t="str">
        <f>IF(grocery_chain_data[[#This Row],[Final Amount]]&lt;0,"Return","Sale")</f>
        <v>Sale</v>
      </c>
      <c r="M536">
        <f>IF(grocery_chain_data[[#This Row],[Final Amount]]&lt;0,0,grocery_chain_data[[#This Row],[Final Amount]])</f>
        <v>37</v>
      </c>
    </row>
    <row r="537" spans="1:13" x14ac:dyDescent="0.3">
      <c r="A537">
        <v>1845</v>
      </c>
      <c r="B537" t="s">
        <v>2</v>
      </c>
      <c r="C537" s="1">
        <v>45303</v>
      </c>
      <c r="D537" s="1" t="str">
        <f t="shared" si="8"/>
        <v>Dairy</v>
      </c>
      <c r="E537" t="s">
        <v>19</v>
      </c>
      <c r="F537" s="2">
        <v>4</v>
      </c>
      <c r="G537" s="3">
        <v>12</v>
      </c>
      <c r="H537" s="3">
        <f>grocery_chain_data[[#This Row],[Quantity]]*grocery_chain_data[[#This Row],[Unit Price]]</f>
        <v>48</v>
      </c>
      <c r="I537" s="3">
        <v>1</v>
      </c>
      <c r="J537" s="3">
        <f>grocery_chain_data[[#This Row],[Total Amount]]-grocery_chain_data[[#This Row],[Discount Amount]]</f>
        <v>47</v>
      </c>
      <c r="K537">
        <v>489</v>
      </c>
      <c r="L537" t="str">
        <f>IF(grocery_chain_data[[#This Row],[Final Amount]]&lt;0,"Return","Sale")</f>
        <v>Sale</v>
      </c>
      <c r="M537">
        <f>IF(grocery_chain_data[[#This Row],[Final Amount]]&lt;0,0,grocery_chain_data[[#This Row],[Final Amount]])</f>
        <v>47</v>
      </c>
    </row>
    <row r="538" spans="1:13" x14ac:dyDescent="0.3">
      <c r="A538">
        <v>5375</v>
      </c>
      <c r="B538" t="s">
        <v>12</v>
      </c>
      <c r="C538" s="1">
        <v>45571</v>
      </c>
      <c r="D538" s="1" t="str">
        <f t="shared" si="8"/>
        <v>Meat &amp; Seafood</v>
      </c>
      <c r="E538" t="s">
        <v>15</v>
      </c>
      <c r="F538" s="2">
        <v>2</v>
      </c>
      <c r="G538" s="3">
        <v>27</v>
      </c>
      <c r="H538" s="3">
        <f>grocery_chain_data[[#This Row],[Quantity]]*grocery_chain_data[[#This Row],[Unit Price]]</f>
        <v>54</v>
      </c>
      <c r="I538" s="3">
        <v>3</v>
      </c>
      <c r="J538" s="3">
        <f>grocery_chain_data[[#This Row],[Total Amount]]-grocery_chain_data[[#This Row],[Discount Amount]]</f>
        <v>51</v>
      </c>
      <c r="K538">
        <v>360</v>
      </c>
      <c r="L538" t="str">
        <f>IF(grocery_chain_data[[#This Row],[Final Amount]]&lt;0,"Return","Sale")</f>
        <v>Sale</v>
      </c>
      <c r="M538">
        <f>IF(grocery_chain_data[[#This Row],[Final Amount]]&lt;0,0,grocery_chain_data[[#This Row],[Final Amount]])</f>
        <v>51</v>
      </c>
    </row>
    <row r="539" spans="1:13" x14ac:dyDescent="0.3">
      <c r="A539">
        <v>3146</v>
      </c>
      <c r="B539" t="s">
        <v>21</v>
      </c>
      <c r="C539" s="1">
        <v>45865</v>
      </c>
      <c r="D539" s="1" t="str">
        <f t="shared" si="8"/>
        <v>Produce</v>
      </c>
      <c r="E539" t="s">
        <v>17</v>
      </c>
      <c r="F539" s="2">
        <v>4</v>
      </c>
      <c r="G539" s="3">
        <v>6</v>
      </c>
      <c r="H539" s="3">
        <f>grocery_chain_data[[#This Row],[Quantity]]*grocery_chain_data[[#This Row],[Unit Price]]</f>
        <v>24</v>
      </c>
      <c r="I539" s="3">
        <v>5</v>
      </c>
      <c r="J539" s="3">
        <f>grocery_chain_data[[#This Row],[Total Amount]]-grocery_chain_data[[#This Row],[Discount Amount]]</f>
        <v>19</v>
      </c>
      <c r="K539">
        <v>349</v>
      </c>
      <c r="L539" t="str">
        <f>IF(grocery_chain_data[[#This Row],[Final Amount]]&lt;0,"Return","Sale")</f>
        <v>Sale</v>
      </c>
      <c r="M539">
        <f>IF(grocery_chain_data[[#This Row],[Final Amount]]&lt;0,0,grocery_chain_data[[#This Row],[Final Amount]])</f>
        <v>19</v>
      </c>
    </row>
    <row r="540" spans="1:13" x14ac:dyDescent="0.3">
      <c r="A540">
        <v>5719</v>
      </c>
      <c r="B540" t="s">
        <v>5</v>
      </c>
      <c r="C540" s="1">
        <v>45485</v>
      </c>
      <c r="D540" s="1" t="str">
        <f t="shared" si="8"/>
        <v>Meat &amp; Seafood</v>
      </c>
      <c r="E540" t="s">
        <v>26</v>
      </c>
      <c r="F540" s="2">
        <v>4</v>
      </c>
      <c r="G540" s="3">
        <v>2</v>
      </c>
      <c r="H540" s="3">
        <f>grocery_chain_data[[#This Row],[Quantity]]*grocery_chain_data[[#This Row],[Unit Price]]</f>
        <v>8</v>
      </c>
      <c r="I540" s="3">
        <v>2</v>
      </c>
      <c r="J540" s="3">
        <f>grocery_chain_data[[#This Row],[Total Amount]]-grocery_chain_data[[#This Row],[Discount Amount]]</f>
        <v>6</v>
      </c>
      <c r="K540">
        <v>142</v>
      </c>
      <c r="L540" t="str">
        <f>IF(grocery_chain_data[[#This Row],[Final Amount]]&lt;0,"Return","Sale")</f>
        <v>Sale</v>
      </c>
      <c r="M540">
        <f>IF(grocery_chain_data[[#This Row],[Final Amount]]&lt;0,0,grocery_chain_data[[#This Row],[Final Amount]])</f>
        <v>6</v>
      </c>
    </row>
    <row r="541" spans="1:13" x14ac:dyDescent="0.3">
      <c r="A541">
        <v>8941</v>
      </c>
      <c r="B541" t="s">
        <v>5</v>
      </c>
      <c r="C541" s="1">
        <v>45239</v>
      </c>
      <c r="D541" s="1" t="str">
        <f t="shared" si="8"/>
        <v>Pantry</v>
      </c>
      <c r="E541" t="s">
        <v>1</v>
      </c>
      <c r="F541" s="2">
        <v>1</v>
      </c>
      <c r="G541" s="3">
        <v>11</v>
      </c>
      <c r="H541" s="3">
        <f>grocery_chain_data[[#This Row],[Quantity]]*grocery_chain_data[[#This Row],[Unit Price]]</f>
        <v>11</v>
      </c>
      <c r="I541" s="3">
        <v>2</v>
      </c>
      <c r="J541" s="3">
        <f>grocery_chain_data[[#This Row],[Total Amount]]-grocery_chain_data[[#This Row],[Discount Amount]]</f>
        <v>9</v>
      </c>
      <c r="K541">
        <v>363</v>
      </c>
      <c r="L541" t="str">
        <f>IF(grocery_chain_data[[#This Row],[Final Amount]]&lt;0,"Return","Sale")</f>
        <v>Sale</v>
      </c>
      <c r="M541">
        <f>IF(grocery_chain_data[[#This Row],[Final Amount]]&lt;0,0,grocery_chain_data[[#This Row],[Final Amount]])</f>
        <v>9</v>
      </c>
    </row>
    <row r="542" spans="1:13" x14ac:dyDescent="0.3">
      <c r="A542">
        <v>1472</v>
      </c>
      <c r="B542" t="s">
        <v>27</v>
      </c>
      <c r="C542" s="1">
        <v>45634</v>
      </c>
      <c r="D542" s="1" t="str">
        <f t="shared" si="8"/>
        <v>Dairy</v>
      </c>
      <c r="E542" t="s">
        <v>19</v>
      </c>
      <c r="F542" s="2">
        <v>5</v>
      </c>
      <c r="G542" s="3">
        <v>25</v>
      </c>
      <c r="H542" s="3">
        <f>grocery_chain_data[[#This Row],[Quantity]]*grocery_chain_data[[#This Row],[Unit Price]]</f>
        <v>125</v>
      </c>
      <c r="I542" s="3">
        <v>3</v>
      </c>
      <c r="J542" s="3">
        <f>grocery_chain_data[[#This Row],[Total Amount]]-grocery_chain_data[[#This Row],[Discount Amount]]</f>
        <v>122</v>
      </c>
      <c r="K542">
        <v>154</v>
      </c>
      <c r="L542" t="str">
        <f>IF(grocery_chain_data[[#This Row],[Final Amount]]&lt;0,"Return","Sale")</f>
        <v>Sale</v>
      </c>
      <c r="M542">
        <f>IF(grocery_chain_data[[#This Row],[Final Amount]]&lt;0,0,grocery_chain_data[[#This Row],[Final Amount]])</f>
        <v>122</v>
      </c>
    </row>
    <row r="543" spans="1:13" x14ac:dyDescent="0.3">
      <c r="A543">
        <v>4920</v>
      </c>
      <c r="B543" t="s">
        <v>0</v>
      </c>
      <c r="C543" s="1">
        <v>45696</v>
      </c>
      <c r="D543" s="1" t="str">
        <f t="shared" si="8"/>
        <v>Produce</v>
      </c>
      <c r="E543" t="s">
        <v>24</v>
      </c>
      <c r="F543" s="2">
        <v>2</v>
      </c>
      <c r="G543" s="3">
        <v>29</v>
      </c>
      <c r="H543" s="3">
        <f>grocery_chain_data[[#This Row],[Quantity]]*grocery_chain_data[[#This Row],[Unit Price]]</f>
        <v>58</v>
      </c>
      <c r="I543" s="3">
        <v>2</v>
      </c>
      <c r="J543" s="3">
        <f>grocery_chain_data[[#This Row],[Total Amount]]-grocery_chain_data[[#This Row],[Discount Amount]]</f>
        <v>56</v>
      </c>
      <c r="K543">
        <v>266</v>
      </c>
      <c r="L543" t="str">
        <f>IF(grocery_chain_data[[#This Row],[Final Amount]]&lt;0,"Return","Sale")</f>
        <v>Sale</v>
      </c>
      <c r="M543">
        <f>IF(grocery_chain_data[[#This Row],[Final Amount]]&lt;0,0,grocery_chain_data[[#This Row],[Final Amount]])</f>
        <v>56</v>
      </c>
    </row>
    <row r="544" spans="1:13" x14ac:dyDescent="0.3">
      <c r="A544">
        <v>3594</v>
      </c>
      <c r="B544" t="s">
        <v>2</v>
      </c>
      <c r="C544" s="1">
        <v>45386</v>
      </c>
      <c r="D544" s="1" t="str">
        <f t="shared" si="8"/>
        <v>Produce</v>
      </c>
      <c r="E544" t="s">
        <v>14</v>
      </c>
      <c r="F544" s="2">
        <v>1</v>
      </c>
      <c r="G544" s="3">
        <v>11</v>
      </c>
      <c r="H544" s="3">
        <f>grocery_chain_data[[#This Row],[Quantity]]*grocery_chain_data[[#This Row],[Unit Price]]</f>
        <v>11</v>
      </c>
      <c r="I544" s="3">
        <v>0</v>
      </c>
      <c r="J544" s="3">
        <f>grocery_chain_data[[#This Row],[Total Amount]]-grocery_chain_data[[#This Row],[Discount Amount]]</f>
        <v>11</v>
      </c>
      <c r="K544">
        <v>452</v>
      </c>
      <c r="L544" t="str">
        <f>IF(grocery_chain_data[[#This Row],[Final Amount]]&lt;0,"Return","Sale")</f>
        <v>Sale</v>
      </c>
      <c r="M544">
        <f>IF(grocery_chain_data[[#This Row],[Final Amount]]&lt;0,0,grocery_chain_data[[#This Row],[Final Amount]])</f>
        <v>11</v>
      </c>
    </row>
    <row r="545" spans="1:13" x14ac:dyDescent="0.3">
      <c r="A545">
        <v>1224</v>
      </c>
      <c r="B545" t="s">
        <v>16</v>
      </c>
      <c r="C545" s="1">
        <v>45573</v>
      </c>
      <c r="D545" s="1" t="str">
        <f t="shared" si="8"/>
        <v>Beverages</v>
      </c>
      <c r="E545" t="s">
        <v>7</v>
      </c>
      <c r="F545" s="2">
        <v>3</v>
      </c>
      <c r="G545" s="3">
        <v>7</v>
      </c>
      <c r="H545" s="3">
        <f>grocery_chain_data[[#This Row],[Quantity]]*grocery_chain_data[[#This Row],[Unit Price]]</f>
        <v>21</v>
      </c>
      <c r="I545" s="3">
        <v>4</v>
      </c>
      <c r="J545" s="3">
        <f>grocery_chain_data[[#This Row],[Total Amount]]-grocery_chain_data[[#This Row],[Discount Amount]]</f>
        <v>17</v>
      </c>
      <c r="K545">
        <v>385</v>
      </c>
      <c r="L545" t="str">
        <f>IF(grocery_chain_data[[#This Row],[Final Amount]]&lt;0,"Return","Sale")</f>
        <v>Sale</v>
      </c>
      <c r="M545">
        <f>IF(grocery_chain_data[[#This Row],[Final Amount]]&lt;0,0,grocery_chain_data[[#This Row],[Final Amount]])</f>
        <v>17</v>
      </c>
    </row>
    <row r="546" spans="1:13" x14ac:dyDescent="0.3">
      <c r="A546">
        <v>7684</v>
      </c>
      <c r="B546" t="s">
        <v>13</v>
      </c>
      <c r="C546" s="1">
        <v>45217</v>
      </c>
      <c r="D546" s="1" t="str">
        <f t="shared" si="8"/>
        <v>Beverages</v>
      </c>
      <c r="E546" t="s">
        <v>7</v>
      </c>
      <c r="F546" s="2">
        <v>4</v>
      </c>
      <c r="G546" s="3">
        <v>8</v>
      </c>
      <c r="H546" s="3">
        <f>grocery_chain_data[[#This Row],[Quantity]]*grocery_chain_data[[#This Row],[Unit Price]]</f>
        <v>32</v>
      </c>
      <c r="I546" s="3">
        <v>4</v>
      </c>
      <c r="J546" s="3">
        <f>grocery_chain_data[[#This Row],[Total Amount]]-grocery_chain_data[[#This Row],[Discount Amount]]</f>
        <v>28</v>
      </c>
      <c r="K546">
        <v>328</v>
      </c>
      <c r="L546" t="str">
        <f>IF(grocery_chain_data[[#This Row],[Final Amount]]&lt;0,"Return","Sale")</f>
        <v>Sale</v>
      </c>
      <c r="M546">
        <f>IF(grocery_chain_data[[#This Row],[Final Amount]]&lt;0,0,grocery_chain_data[[#This Row],[Final Amount]])</f>
        <v>28</v>
      </c>
    </row>
    <row r="547" spans="1:13" x14ac:dyDescent="0.3">
      <c r="A547">
        <v>4681</v>
      </c>
      <c r="B547" t="s">
        <v>16</v>
      </c>
      <c r="C547" s="1">
        <v>45798</v>
      </c>
      <c r="D547" s="1" t="str">
        <f t="shared" si="8"/>
        <v>Meat &amp; Seafood</v>
      </c>
      <c r="E547" t="s">
        <v>26</v>
      </c>
      <c r="F547" s="2">
        <v>4</v>
      </c>
      <c r="G547" s="3">
        <v>8</v>
      </c>
      <c r="H547" s="3">
        <f>grocery_chain_data[[#This Row],[Quantity]]*grocery_chain_data[[#This Row],[Unit Price]]</f>
        <v>32</v>
      </c>
      <c r="I547" s="3">
        <v>5</v>
      </c>
      <c r="J547" s="3">
        <f>grocery_chain_data[[#This Row],[Total Amount]]-grocery_chain_data[[#This Row],[Discount Amount]]</f>
        <v>27</v>
      </c>
      <c r="K547">
        <v>370</v>
      </c>
      <c r="L547" t="str">
        <f>IF(grocery_chain_data[[#This Row],[Final Amount]]&lt;0,"Return","Sale")</f>
        <v>Sale</v>
      </c>
      <c r="M547">
        <f>IF(grocery_chain_data[[#This Row],[Final Amount]]&lt;0,0,grocery_chain_data[[#This Row],[Final Amount]])</f>
        <v>27</v>
      </c>
    </row>
    <row r="548" spans="1:13" x14ac:dyDescent="0.3">
      <c r="A548">
        <v>2858</v>
      </c>
      <c r="B548" t="s">
        <v>16</v>
      </c>
      <c r="C548" s="1">
        <v>45503</v>
      </c>
      <c r="D548" s="1" t="str">
        <f t="shared" si="8"/>
        <v>Produce</v>
      </c>
      <c r="E548" t="s">
        <v>24</v>
      </c>
      <c r="F548" s="2">
        <v>4</v>
      </c>
      <c r="G548" s="3">
        <v>15</v>
      </c>
      <c r="H548" s="3">
        <f>grocery_chain_data[[#This Row],[Quantity]]*grocery_chain_data[[#This Row],[Unit Price]]</f>
        <v>60</v>
      </c>
      <c r="I548" s="3">
        <v>9</v>
      </c>
      <c r="J548" s="3">
        <f>grocery_chain_data[[#This Row],[Total Amount]]-grocery_chain_data[[#This Row],[Discount Amount]]</f>
        <v>51</v>
      </c>
      <c r="K548">
        <v>151</v>
      </c>
      <c r="L548" t="str">
        <f>IF(grocery_chain_data[[#This Row],[Final Amount]]&lt;0,"Return","Sale")</f>
        <v>Sale</v>
      </c>
      <c r="M548">
        <f>IF(grocery_chain_data[[#This Row],[Final Amount]]&lt;0,0,grocery_chain_data[[#This Row],[Final Amount]])</f>
        <v>51</v>
      </c>
    </row>
    <row r="549" spans="1:13" x14ac:dyDescent="0.3">
      <c r="A549">
        <v>2924</v>
      </c>
      <c r="B549" t="s">
        <v>2</v>
      </c>
      <c r="C549" s="1">
        <v>45648</v>
      </c>
      <c r="D549" s="1" t="str">
        <f t="shared" si="8"/>
        <v>Meat &amp; Seafood</v>
      </c>
      <c r="E549" t="s">
        <v>26</v>
      </c>
      <c r="F549" s="2">
        <v>2</v>
      </c>
      <c r="G549" s="3">
        <v>29</v>
      </c>
      <c r="H549" s="3">
        <f>grocery_chain_data[[#This Row],[Quantity]]*grocery_chain_data[[#This Row],[Unit Price]]</f>
        <v>58</v>
      </c>
      <c r="I549" s="3">
        <v>0</v>
      </c>
      <c r="J549" s="3">
        <f>grocery_chain_data[[#This Row],[Total Amount]]-grocery_chain_data[[#This Row],[Discount Amount]]</f>
        <v>58</v>
      </c>
      <c r="K549">
        <v>395</v>
      </c>
      <c r="L549" t="str">
        <f>IF(grocery_chain_data[[#This Row],[Final Amount]]&lt;0,"Return","Sale")</f>
        <v>Sale</v>
      </c>
      <c r="M549">
        <f>IF(grocery_chain_data[[#This Row],[Final Amount]]&lt;0,0,grocery_chain_data[[#This Row],[Final Amount]])</f>
        <v>58</v>
      </c>
    </row>
    <row r="550" spans="1:13" x14ac:dyDescent="0.3">
      <c r="A550">
        <v>3522</v>
      </c>
      <c r="B550" t="s">
        <v>0</v>
      </c>
      <c r="C550" s="1">
        <v>45532</v>
      </c>
      <c r="D550" s="1" t="str">
        <f t="shared" si="8"/>
        <v>Dairy</v>
      </c>
      <c r="E550" t="s">
        <v>23</v>
      </c>
      <c r="F550" s="2">
        <v>4</v>
      </c>
      <c r="G550" s="3">
        <v>25</v>
      </c>
      <c r="H550" s="3">
        <f>grocery_chain_data[[#This Row],[Quantity]]*grocery_chain_data[[#This Row],[Unit Price]]</f>
        <v>100</v>
      </c>
      <c r="I550" s="3">
        <v>0</v>
      </c>
      <c r="J550" s="3">
        <f>grocery_chain_data[[#This Row],[Total Amount]]-grocery_chain_data[[#This Row],[Discount Amount]]</f>
        <v>100</v>
      </c>
      <c r="K550">
        <v>105</v>
      </c>
      <c r="L550" t="str">
        <f>IF(grocery_chain_data[[#This Row],[Final Amount]]&lt;0,"Return","Sale")</f>
        <v>Sale</v>
      </c>
      <c r="M550">
        <f>IF(grocery_chain_data[[#This Row],[Final Amount]]&lt;0,0,grocery_chain_data[[#This Row],[Final Amount]])</f>
        <v>100</v>
      </c>
    </row>
    <row r="551" spans="1:13" x14ac:dyDescent="0.3">
      <c r="A551">
        <v>5781</v>
      </c>
      <c r="B551" t="s">
        <v>0</v>
      </c>
      <c r="C551" s="1">
        <v>45540</v>
      </c>
      <c r="D551" s="1" t="str">
        <f t="shared" si="8"/>
        <v>Dairy</v>
      </c>
      <c r="E551" t="s">
        <v>20</v>
      </c>
      <c r="F551" s="2">
        <v>1</v>
      </c>
      <c r="G551" s="3">
        <v>14</v>
      </c>
      <c r="H551" s="3">
        <f>grocery_chain_data[[#This Row],[Quantity]]*grocery_chain_data[[#This Row],[Unit Price]]</f>
        <v>14</v>
      </c>
      <c r="I551" s="3">
        <v>1</v>
      </c>
      <c r="J551" s="3">
        <f>grocery_chain_data[[#This Row],[Total Amount]]-grocery_chain_data[[#This Row],[Discount Amount]]</f>
        <v>13</v>
      </c>
      <c r="K551">
        <v>169</v>
      </c>
      <c r="L551" t="str">
        <f>IF(grocery_chain_data[[#This Row],[Final Amount]]&lt;0,"Return","Sale")</f>
        <v>Sale</v>
      </c>
      <c r="M551">
        <f>IF(grocery_chain_data[[#This Row],[Final Amount]]&lt;0,0,grocery_chain_data[[#This Row],[Final Amount]])</f>
        <v>13</v>
      </c>
    </row>
    <row r="552" spans="1:13" x14ac:dyDescent="0.3">
      <c r="A552">
        <v>5479</v>
      </c>
      <c r="B552" t="s">
        <v>5</v>
      </c>
      <c r="C552" s="1">
        <v>45467</v>
      </c>
      <c r="D552" s="1" t="str">
        <f t="shared" si="8"/>
        <v>Produce</v>
      </c>
      <c r="E552" t="s">
        <v>4</v>
      </c>
      <c r="F552" s="2">
        <v>1</v>
      </c>
      <c r="G552" s="3">
        <v>18</v>
      </c>
      <c r="H552" s="3">
        <f>grocery_chain_data[[#This Row],[Quantity]]*grocery_chain_data[[#This Row],[Unit Price]]</f>
        <v>18</v>
      </c>
      <c r="I552" s="3">
        <v>2</v>
      </c>
      <c r="J552" s="3">
        <f>grocery_chain_data[[#This Row],[Total Amount]]-grocery_chain_data[[#This Row],[Discount Amount]]</f>
        <v>16</v>
      </c>
      <c r="K552">
        <v>116</v>
      </c>
      <c r="L552" t="str">
        <f>IF(grocery_chain_data[[#This Row],[Final Amount]]&lt;0,"Return","Sale")</f>
        <v>Sale</v>
      </c>
      <c r="M552">
        <f>IF(grocery_chain_data[[#This Row],[Final Amount]]&lt;0,0,grocery_chain_data[[#This Row],[Final Amount]])</f>
        <v>16</v>
      </c>
    </row>
    <row r="553" spans="1:13" x14ac:dyDescent="0.3">
      <c r="A553">
        <v>8905</v>
      </c>
      <c r="B553" t="s">
        <v>8</v>
      </c>
      <c r="C553" s="1">
        <v>45511</v>
      </c>
      <c r="D553" s="1" t="str">
        <f t="shared" si="8"/>
        <v>Produce</v>
      </c>
      <c r="E553" t="s">
        <v>14</v>
      </c>
      <c r="F553" s="2">
        <v>4</v>
      </c>
      <c r="G553" s="3">
        <v>10</v>
      </c>
      <c r="H553" s="3">
        <f>grocery_chain_data[[#This Row],[Quantity]]*grocery_chain_data[[#This Row],[Unit Price]]</f>
        <v>40</v>
      </c>
      <c r="I553" s="3">
        <v>1</v>
      </c>
      <c r="J553" s="3">
        <f>grocery_chain_data[[#This Row],[Total Amount]]-grocery_chain_data[[#This Row],[Discount Amount]]</f>
        <v>39</v>
      </c>
      <c r="K553">
        <v>199</v>
      </c>
      <c r="L553" t="str">
        <f>IF(grocery_chain_data[[#This Row],[Final Amount]]&lt;0,"Return","Sale")</f>
        <v>Sale</v>
      </c>
      <c r="M553">
        <f>IF(grocery_chain_data[[#This Row],[Final Amount]]&lt;0,0,grocery_chain_data[[#This Row],[Final Amount]])</f>
        <v>39</v>
      </c>
    </row>
    <row r="554" spans="1:13" x14ac:dyDescent="0.3">
      <c r="A554">
        <v>4993</v>
      </c>
      <c r="B554" t="s">
        <v>0</v>
      </c>
      <c r="C554" s="1">
        <v>45499</v>
      </c>
      <c r="D554" s="1" t="str">
        <f t="shared" si="8"/>
        <v>Dairy</v>
      </c>
      <c r="E554" t="s">
        <v>19</v>
      </c>
      <c r="F554" s="2">
        <v>1</v>
      </c>
      <c r="G554" s="3">
        <v>11</v>
      </c>
      <c r="H554" s="3">
        <f>grocery_chain_data[[#This Row],[Quantity]]*grocery_chain_data[[#This Row],[Unit Price]]</f>
        <v>11</v>
      </c>
      <c r="I554" s="3">
        <v>2</v>
      </c>
      <c r="J554" s="3">
        <f>grocery_chain_data[[#This Row],[Total Amount]]-grocery_chain_data[[#This Row],[Discount Amount]]</f>
        <v>9</v>
      </c>
      <c r="K554">
        <v>257</v>
      </c>
      <c r="L554" t="str">
        <f>IF(grocery_chain_data[[#This Row],[Final Amount]]&lt;0,"Return","Sale")</f>
        <v>Sale</v>
      </c>
      <c r="M554">
        <f>IF(grocery_chain_data[[#This Row],[Final Amount]]&lt;0,0,grocery_chain_data[[#This Row],[Final Amount]])</f>
        <v>9</v>
      </c>
    </row>
    <row r="555" spans="1:13" x14ac:dyDescent="0.3">
      <c r="A555">
        <v>3369</v>
      </c>
      <c r="B555" t="s">
        <v>12</v>
      </c>
      <c r="C555" s="1">
        <v>45442</v>
      </c>
      <c r="D555" s="1" t="str">
        <f t="shared" si="8"/>
        <v>Bakery</v>
      </c>
      <c r="E555" t="s">
        <v>22</v>
      </c>
      <c r="F555" s="2">
        <v>3</v>
      </c>
      <c r="G555" s="3">
        <v>23</v>
      </c>
      <c r="H555" s="3">
        <f>grocery_chain_data[[#This Row],[Quantity]]*grocery_chain_data[[#This Row],[Unit Price]]</f>
        <v>69</v>
      </c>
      <c r="I555" s="3">
        <v>7</v>
      </c>
      <c r="J555" s="3">
        <f>grocery_chain_data[[#This Row],[Total Amount]]-grocery_chain_data[[#This Row],[Discount Amount]]</f>
        <v>62</v>
      </c>
      <c r="K555">
        <v>224</v>
      </c>
      <c r="L555" t="str">
        <f>IF(grocery_chain_data[[#This Row],[Final Amount]]&lt;0,"Return","Sale")</f>
        <v>Sale</v>
      </c>
      <c r="M555">
        <f>IF(grocery_chain_data[[#This Row],[Final Amount]]&lt;0,0,grocery_chain_data[[#This Row],[Final Amount]])</f>
        <v>62</v>
      </c>
    </row>
    <row r="556" spans="1:13" x14ac:dyDescent="0.3">
      <c r="A556">
        <v>4122</v>
      </c>
      <c r="B556" t="s">
        <v>13</v>
      </c>
      <c r="C556" s="1">
        <v>45861</v>
      </c>
      <c r="D556" s="1" t="str">
        <f t="shared" si="8"/>
        <v>Produce</v>
      </c>
      <c r="E556" t="s">
        <v>11</v>
      </c>
      <c r="F556" s="2">
        <v>5</v>
      </c>
      <c r="G556" s="3">
        <v>7</v>
      </c>
      <c r="H556" s="3">
        <f>grocery_chain_data[[#This Row],[Quantity]]*grocery_chain_data[[#This Row],[Unit Price]]</f>
        <v>35</v>
      </c>
      <c r="I556" s="3">
        <v>2</v>
      </c>
      <c r="J556" s="3">
        <f>grocery_chain_data[[#This Row],[Total Amount]]-grocery_chain_data[[#This Row],[Discount Amount]]</f>
        <v>33</v>
      </c>
      <c r="K556">
        <v>382</v>
      </c>
      <c r="L556" t="str">
        <f>IF(grocery_chain_data[[#This Row],[Final Amount]]&lt;0,"Return","Sale")</f>
        <v>Sale</v>
      </c>
      <c r="M556">
        <f>IF(grocery_chain_data[[#This Row],[Final Amount]]&lt;0,0,grocery_chain_data[[#This Row],[Final Amount]])</f>
        <v>33</v>
      </c>
    </row>
    <row r="557" spans="1:13" x14ac:dyDescent="0.3">
      <c r="A557">
        <v>9327</v>
      </c>
      <c r="B557" t="s">
        <v>5</v>
      </c>
      <c r="C557" s="1">
        <v>45724</v>
      </c>
      <c r="D557" s="1" t="str">
        <f t="shared" si="8"/>
        <v>Beverages</v>
      </c>
      <c r="E557" t="s">
        <v>7</v>
      </c>
      <c r="F557" s="2">
        <v>1</v>
      </c>
      <c r="G557" s="3">
        <v>17</v>
      </c>
      <c r="H557" s="3">
        <f>grocery_chain_data[[#This Row],[Quantity]]*grocery_chain_data[[#This Row],[Unit Price]]</f>
        <v>17</v>
      </c>
      <c r="I557" s="3">
        <v>1</v>
      </c>
      <c r="J557" s="3">
        <f>grocery_chain_data[[#This Row],[Total Amount]]-grocery_chain_data[[#This Row],[Discount Amount]]</f>
        <v>16</v>
      </c>
      <c r="K557">
        <v>284</v>
      </c>
      <c r="L557" t="str">
        <f>IF(grocery_chain_data[[#This Row],[Final Amount]]&lt;0,"Return","Sale")</f>
        <v>Sale</v>
      </c>
      <c r="M557">
        <f>IF(grocery_chain_data[[#This Row],[Final Amount]]&lt;0,0,grocery_chain_data[[#This Row],[Final Amount]])</f>
        <v>16</v>
      </c>
    </row>
    <row r="558" spans="1:13" x14ac:dyDescent="0.3">
      <c r="A558">
        <v>3236</v>
      </c>
      <c r="B558" t="s">
        <v>8</v>
      </c>
      <c r="C558" s="1">
        <v>45816</v>
      </c>
      <c r="D558" s="1" t="str">
        <f t="shared" si="8"/>
        <v>Produce</v>
      </c>
      <c r="E558" t="s">
        <v>4</v>
      </c>
      <c r="F558" s="2">
        <v>1</v>
      </c>
      <c r="G558" s="3">
        <v>10</v>
      </c>
      <c r="H558" s="3">
        <f>grocery_chain_data[[#This Row],[Quantity]]*grocery_chain_data[[#This Row],[Unit Price]]</f>
        <v>10</v>
      </c>
      <c r="I558" s="3">
        <v>2</v>
      </c>
      <c r="J558" s="3">
        <f>grocery_chain_data[[#This Row],[Total Amount]]-grocery_chain_data[[#This Row],[Discount Amount]]</f>
        <v>8</v>
      </c>
      <c r="K558">
        <v>383</v>
      </c>
      <c r="L558" t="str">
        <f>IF(grocery_chain_data[[#This Row],[Final Amount]]&lt;0,"Return","Sale")</f>
        <v>Sale</v>
      </c>
      <c r="M558">
        <f>IF(grocery_chain_data[[#This Row],[Final Amount]]&lt;0,0,grocery_chain_data[[#This Row],[Final Amount]])</f>
        <v>8</v>
      </c>
    </row>
    <row r="559" spans="1:13" x14ac:dyDescent="0.3">
      <c r="A559">
        <v>2143</v>
      </c>
      <c r="B559" t="s">
        <v>8</v>
      </c>
      <c r="C559" s="1">
        <v>45359</v>
      </c>
      <c r="D559" s="1" t="str">
        <f t="shared" si="8"/>
        <v>Produce</v>
      </c>
      <c r="E559" t="s">
        <v>24</v>
      </c>
      <c r="F559" s="2">
        <v>2</v>
      </c>
      <c r="G559" s="3">
        <v>6</v>
      </c>
      <c r="H559" s="3">
        <f>grocery_chain_data[[#This Row],[Quantity]]*grocery_chain_data[[#This Row],[Unit Price]]</f>
        <v>12</v>
      </c>
      <c r="I559" s="3">
        <v>2</v>
      </c>
      <c r="J559" s="3">
        <f>grocery_chain_data[[#This Row],[Total Amount]]-grocery_chain_data[[#This Row],[Discount Amount]]</f>
        <v>10</v>
      </c>
      <c r="K559">
        <v>113</v>
      </c>
      <c r="L559" t="str">
        <f>IF(grocery_chain_data[[#This Row],[Final Amount]]&lt;0,"Return","Sale")</f>
        <v>Sale</v>
      </c>
      <c r="M559">
        <f>IF(grocery_chain_data[[#This Row],[Final Amount]]&lt;0,0,grocery_chain_data[[#This Row],[Final Amount]])</f>
        <v>10</v>
      </c>
    </row>
    <row r="560" spans="1:13" x14ac:dyDescent="0.3">
      <c r="A560">
        <v>7798</v>
      </c>
      <c r="B560" t="s">
        <v>0</v>
      </c>
      <c r="C560" s="1">
        <v>45408</v>
      </c>
      <c r="D560" s="1" t="str">
        <f t="shared" si="8"/>
        <v>Dairy</v>
      </c>
      <c r="E560" t="s">
        <v>19</v>
      </c>
      <c r="F560" s="2">
        <v>5</v>
      </c>
      <c r="G560" s="3">
        <v>14</v>
      </c>
      <c r="H560" s="3">
        <f>grocery_chain_data[[#This Row],[Quantity]]*grocery_chain_data[[#This Row],[Unit Price]]</f>
        <v>70</v>
      </c>
      <c r="I560" s="3">
        <v>11</v>
      </c>
      <c r="J560" s="3">
        <f>grocery_chain_data[[#This Row],[Total Amount]]-grocery_chain_data[[#This Row],[Discount Amount]]</f>
        <v>59</v>
      </c>
      <c r="K560">
        <v>281</v>
      </c>
      <c r="L560" t="str">
        <f>IF(grocery_chain_data[[#This Row],[Final Amount]]&lt;0,"Return","Sale")</f>
        <v>Sale</v>
      </c>
      <c r="M560">
        <f>IF(grocery_chain_data[[#This Row],[Final Amount]]&lt;0,0,grocery_chain_data[[#This Row],[Final Amount]])</f>
        <v>59</v>
      </c>
    </row>
    <row r="561" spans="1:13" x14ac:dyDescent="0.3">
      <c r="A561">
        <v>9318</v>
      </c>
      <c r="B561" t="s">
        <v>0</v>
      </c>
      <c r="C561" s="1">
        <v>45352</v>
      </c>
      <c r="D561" s="1" t="str">
        <f t="shared" si="8"/>
        <v>Meat &amp; Seafood</v>
      </c>
      <c r="E561" t="s">
        <v>26</v>
      </c>
      <c r="F561" s="2">
        <v>2</v>
      </c>
      <c r="G561" s="3">
        <v>22</v>
      </c>
      <c r="H561" s="3">
        <f>grocery_chain_data[[#This Row],[Quantity]]*grocery_chain_data[[#This Row],[Unit Price]]</f>
        <v>44</v>
      </c>
      <c r="I561" s="3">
        <v>7</v>
      </c>
      <c r="J561" s="3">
        <f>grocery_chain_data[[#This Row],[Total Amount]]-grocery_chain_data[[#This Row],[Discount Amount]]</f>
        <v>37</v>
      </c>
      <c r="K561">
        <v>249</v>
      </c>
      <c r="L561" t="str">
        <f>IF(grocery_chain_data[[#This Row],[Final Amount]]&lt;0,"Return","Sale")</f>
        <v>Sale</v>
      </c>
      <c r="M561">
        <f>IF(grocery_chain_data[[#This Row],[Final Amount]]&lt;0,0,grocery_chain_data[[#This Row],[Final Amount]])</f>
        <v>37</v>
      </c>
    </row>
    <row r="562" spans="1:13" x14ac:dyDescent="0.3">
      <c r="A562">
        <v>1042</v>
      </c>
      <c r="B562" t="s">
        <v>5</v>
      </c>
      <c r="C562" s="1">
        <v>45364</v>
      </c>
      <c r="D562" s="1" t="str">
        <f t="shared" si="8"/>
        <v>Meat &amp; Seafood</v>
      </c>
      <c r="E562" t="s">
        <v>9</v>
      </c>
      <c r="F562" s="2">
        <v>1</v>
      </c>
      <c r="G562" s="3">
        <v>9</v>
      </c>
      <c r="H562" s="3">
        <f>grocery_chain_data[[#This Row],[Quantity]]*grocery_chain_data[[#This Row],[Unit Price]]</f>
        <v>9</v>
      </c>
      <c r="I562" s="3">
        <v>1</v>
      </c>
      <c r="J562" s="3">
        <f>grocery_chain_data[[#This Row],[Total Amount]]-grocery_chain_data[[#This Row],[Discount Amount]]</f>
        <v>8</v>
      </c>
      <c r="K562">
        <v>35</v>
      </c>
      <c r="L562" t="str">
        <f>IF(grocery_chain_data[[#This Row],[Final Amount]]&lt;0,"Return","Sale")</f>
        <v>Sale</v>
      </c>
      <c r="M562">
        <f>IF(grocery_chain_data[[#This Row],[Final Amount]]&lt;0,0,grocery_chain_data[[#This Row],[Final Amount]])</f>
        <v>8</v>
      </c>
    </row>
    <row r="563" spans="1:13" x14ac:dyDescent="0.3">
      <c r="A563">
        <v>5891</v>
      </c>
      <c r="B563" t="s">
        <v>10</v>
      </c>
      <c r="C563" s="1">
        <v>45795</v>
      </c>
      <c r="D563" s="1" t="str">
        <f t="shared" si="8"/>
        <v>Pantry</v>
      </c>
      <c r="E563" t="s">
        <v>6</v>
      </c>
      <c r="F563" s="2">
        <v>5</v>
      </c>
      <c r="G563" s="3">
        <v>20</v>
      </c>
      <c r="H563" s="3">
        <f>grocery_chain_data[[#This Row],[Quantity]]*grocery_chain_data[[#This Row],[Unit Price]]</f>
        <v>100</v>
      </c>
      <c r="I563" s="3">
        <v>3</v>
      </c>
      <c r="J563" s="3">
        <f>grocery_chain_data[[#This Row],[Total Amount]]-grocery_chain_data[[#This Row],[Discount Amount]]</f>
        <v>97</v>
      </c>
      <c r="K563">
        <v>355</v>
      </c>
      <c r="L563" t="str">
        <f>IF(grocery_chain_data[[#This Row],[Final Amount]]&lt;0,"Return","Sale")</f>
        <v>Sale</v>
      </c>
      <c r="M563">
        <f>IF(grocery_chain_data[[#This Row],[Final Amount]]&lt;0,0,grocery_chain_data[[#This Row],[Final Amount]])</f>
        <v>97</v>
      </c>
    </row>
    <row r="564" spans="1:13" x14ac:dyDescent="0.3">
      <c r="A564">
        <v>9022</v>
      </c>
      <c r="B564" t="s">
        <v>16</v>
      </c>
      <c r="C564" s="1">
        <v>45817</v>
      </c>
      <c r="D564" s="1" t="str">
        <f t="shared" si="8"/>
        <v>Produce</v>
      </c>
      <c r="E564" t="s">
        <v>11</v>
      </c>
      <c r="F564" s="2">
        <v>1</v>
      </c>
      <c r="G564" s="3">
        <v>10</v>
      </c>
      <c r="H564" s="3">
        <f>grocery_chain_data[[#This Row],[Quantity]]*grocery_chain_data[[#This Row],[Unit Price]]</f>
        <v>10</v>
      </c>
      <c r="I564" s="3">
        <v>0</v>
      </c>
      <c r="J564" s="3">
        <f>grocery_chain_data[[#This Row],[Total Amount]]-grocery_chain_data[[#This Row],[Discount Amount]]</f>
        <v>10</v>
      </c>
      <c r="K564">
        <v>402</v>
      </c>
      <c r="L564" t="str">
        <f>IF(grocery_chain_data[[#This Row],[Final Amount]]&lt;0,"Return","Sale")</f>
        <v>Sale</v>
      </c>
      <c r="M564">
        <f>IF(grocery_chain_data[[#This Row],[Final Amount]]&lt;0,0,grocery_chain_data[[#This Row],[Final Amount]])</f>
        <v>10</v>
      </c>
    </row>
    <row r="565" spans="1:13" x14ac:dyDescent="0.3">
      <c r="A565">
        <v>3434</v>
      </c>
      <c r="B565" t="s">
        <v>8</v>
      </c>
      <c r="C565" s="1">
        <v>45491</v>
      </c>
      <c r="D565" s="1" t="str">
        <f t="shared" si="8"/>
        <v>Beverages</v>
      </c>
      <c r="E565" t="s">
        <v>7</v>
      </c>
      <c r="F565" s="2">
        <v>2</v>
      </c>
      <c r="G565" s="3">
        <v>21</v>
      </c>
      <c r="H565" s="3">
        <f>grocery_chain_data[[#This Row],[Quantity]]*grocery_chain_data[[#This Row],[Unit Price]]</f>
        <v>42</v>
      </c>
      <c r="I565" s="3">
        <v>4</v>
      </c>
      <c r="J565" s="3">
        <f>grocery_chain_data[[#This Row],[Total Amount]]-grocery_chain_data[[#This Row],[Discount Amount]]</f>
        <v>38</v>
      </c>
      <c r="K565">
        <v>169</v>
      </c>
      <c r="L565" t="str">
        <f>IF(grocery_chain_data[[#This Row],[Final Amount]]&lt;0,"Return","Sale")</f>
        <v>Sale</v>
      </c>
      <c r="M565">
        <f>IF(grocery_chain_data[[#This Row],[Final Amount]]&lt;0,0,grocery_chain_data[[#This Row],[Final Amount]])</f>
        <v>38</v>
      </c>
    </row>
    <row r="566" spans="1:13" x14ac:dyDescent="0.3">
      <c r="A566">
        <v>9824</v>
      </c>
      <c r="B566" t="s">
        <v>10</v>
      </c>
      <c r="C566" s="1">
        <v>45521</v>
      </c>
      <c r="D566" s="1" t="str">
        <f t="shared" si="8"/>
        <v>Produce</v>
      </c>
      <c r="E566" t="s">
        <v>17</v>
      </c>
      <c r="F566" s="2">
        <v>4</v>
      </c>
      <c r="G566" s="3">
        <v>17</v>
      </c>
      <c r="H566" s="3">
        <f>grocery_chain_data[[#This Row],[Quantity]]*grocery_chain_data[[#This Row],[Unit Price]]</f>
        <v>68</v>
      </c>
      <c r="I566" s="3">
        <v>10</v>
      </c>
      <c r="J566" s="3">
        <f>grocery_chain_data[[#This Row],[Total Amount]]-grocery_chain_data[[#This Row],[Discount Amount]]</f>
        <v>58</v>
      </c>
      <c r="K566">
        <v>89</v>
      </c>
      <c r="L566" t="str">
        <f>IF(grocery_chain_data[[#This Row],[Final Amount]]&lt;0,"Return","Sale")</f>
        <v>Sale</v>
      </c>
      <c r="M566">
        <f>IF(grocery_chain_data[[#This Row],[Final Amount]]&lt;0,0,grocery_chain_data[[#This Row],[Final Amount]])</f>
        <v>58</v>
      </c>
    </row>
    <row r="567" spans="1:13" x14ac:dyDescent="0.3">
      <c r="A567">
        <v>6654</v>
      </c>
      <c r="B567" t="s">
        <v>5</v>
      </c>
      <c r="C567" s="1">
        <v>45403</v>
      </c>
      <c r="D567" s="1" t="str">
        <f t="shared" si="8"/>
        <v>Dairy</v>
      </c>
      <c r="E567" t="s">
        <v>23</v>
      </c>
      <c r="F567" s="2">
        <v>3</v>
      </c>
      <c r="G567" s="3">
        <v>22</v>
      </c>
      <c r="H567" s="3">
        <f>grocery_chain_data[[#This Row],[Quantity]]*grocery_chain_data[[#This Row],[Unit Price]]</f>
        <v>66</v>
      </c>
      <c r="I567" s="3">
        <v>0</v>
      </c>
      <c r="J567" s="3">
        <f>grocery_chain_data[[#This Row],[Total Amount]]-grocery_chain_data[[#This Row],[Discount Amount]]</f>
        <v>66</v>
      </c>
      <c r="K567">
        <v>320</v>
      </c>
      <c r="L567" t="str">
        <f>IF(grocery_chain_data[[#This Row],[Final Amount]]&lt;0,"Return","Sale")</f>
        <v>Sale</v>
      </c>
      <c r="M567">
        <f>IF(grocery_chain_data[[#This Row],[Final Amount]]&lt;0,0,grocery_chain_data[[#This Row],[Final Amount]])</f>
        <v>66</v>
      </c>
    </row>
    <row r="568" spans="1:13" x14ac:dyDescent="0.3">
      <c r="A568">
        <v>9903</v>
      </c>
      <c r="B568" t="s">
        <v>0</v>
      </c>
      <c r="C568" s="1">
        <v>45437</v>
      </c>
      <c r="D568" s="1" t="str">
        <f t="shared" si="8"/>
        <v>Produce</v>
      </c>
      <c r="E568" t="s">
        <v>24</v>
      </c>
      <c r="F568" s="2">
        <v>1</v>
      </c>
      <c r="G568" s="3">
        <v>25</v>
      </c>
      <c r="H568" s="3">
        <f>grocery_chain_data[[#This Row],[Quantity]]*grocery_chain_data[[#This Row],[Unit Price]]</f>
        <v>25</v>
      </c>
      <c r="I568" s="3">
        <v>2</v>
      </c>
      <c r="J568" s="3">
        <f>grocery_chain_data[[#This Row],[Total Amount]]-grocery_chain_data[[#This Row],[Discount Amount]]</f>
        <v>23</v>
      </c>
      <c r="K568">
        <v>296</v>
      </c>
      <c r="L568" t="str">
        <f>IF(grocery_chain_data[[#This Row],[Final Amount]]&lt;0,"Return","Sale")</f>
        <v>Sale</v>
      </c>
      <c r="M568">
        <f>IF(grocery_chain_data[[#This Row],[Final Amount]]&lt;0,0,grocery_chain_data[[#This Row],[Final Amount]])</f>
        <v>23</v>
      </c>
    </row>
    <row r="569" spans="1:13" x14ac:dyDescent="0.3">
      <c r="A569">
        <v>8460</v>
      </c>
      <c r="B569" t="s">
        <v>13</v>
      </c>
      <c r="C569" s="1">
        <v>45869</v>
      </c>
      <c r="D569" s="1" t="str">
        <f t="shared" si="8"/>
        <v>Pantry</v>
      </c>
      <c r="E569" t="s">
        <v>1</v>
      </c>
      <c r="F569" s="2">
        <v>5</v>
      </c>
      <c r="G569" s="3">
        <v>27</v>
      </c>
      <c r="H569" s="3">
        <f>grocery_chain_data[[#This Row],[Quantity]]*grocery_chain_data[[#This Row],[Unit Price]]</f>
        <v>135</v>
      </c>
      <c r="I569" s="3">
        <v>0</v>
      </c>
      <c r="J569" s="3">
        <f>grocery_chain_data[[#This Row],[Total Amount]]-grocery_chain_data[[#This Row],[Discount Amount]]</f>
        <v>135</v>
      </c>
      <c r="K569">
        <v>276</v>
      </c>
      <c r="L569" t="str">
        <f>IF(grocery_chain_data[[#This Row],[Final Amount]]&lt;0,"Return","Sale")</f>
        <v>Sale</v>
      </c>
      <c r="M569">
        <f>IF(grocery_chain_data[[#This Row],[Final Amount]]&lt;0,0,grocery_chain_data[[#This Row],[Final Amount]])</f>
        <v>135</v>
      </c>
    </row>
    <row r="570" spans="1:13" x14ac:dyDescent="0.3">
      <c r="A570">
        <v>6272</v>
      </c>
      <c r="B570" t="s">
        <v>5</v>
      </c>
      <c r="C570" s="1">
        <v>45820</v>
      </c>
      <c r="D570" s="1" t="str">
        <f t="shared" si="8"/>
        <v>Produce</v>
      </c>
      <c r="E570" t="s">
        <v>14</v>
      </c>
      <c r="F570" s="2">
        <v>2</v>
      </c>
      <c r="G570" s="3">
        <v>27</v>
      </c>
      <c r="H570" s="3">
        <f>grocery_chain_data[[#This Row],[Quantity]]*grocery_chain_data[[#This Row],[Unit Price]]</f>
        <v>54</v>
      </c>
      <c r="I570" s="3">
        <v>11</v>
      </c>
      <c r="J570" s="3">
        <f>grocery_chain_data[[#This Row],[Total Amount]]-grocery_chain_data[[#This Row],[Discount Amount]]</f>
        <v>43</v>
      </c>
      <c r="K570">
        <v>301</v>
      </c>
      <c r="L570" t="str">
        <f>IF(grocery_chain_data[[#This Row],[Final Amount]]&lt;0,"Return","Sale")</f>
        <v>Sale</v>
      </c>
      <c r="M570">
        <f>IF(grocery_chain_data[[#This Row],[Final Amount]]&lt;0,0,grocery_chain_data[[#This Row],[Final Amount]])</f>
        <v>43</v>
      </c>
    </row>
    <row r="571" spans="1:13" x14ac:dyDescent="0.3">
      <c r="A571">
        <v>4090</v>
      </c>
      <c r="B571" t="s">
        <v>10</v>
      </c>
      <c r="C571" s="1">
        <v>45686</v>
      </c>
      <c r="D571" s="1" t="str">
        <f t="shared" si="8"/>
        <v>Produce</v>
      </c>
      <c r="E571" t="s">
        <v>24</v>
      </c>
      <c r="F571" s="2">
        <v>1</v>
      </c>
      <c r="G571" s="3">
        <v>12</v>
      </c>
      <c r="H571" s="3">
        <f>grocery_chain_data[[#This Row],[Quantity]]*grocery_chain_data[[#This Row],[Unit Price]]</f>
        <v>12</v>
      </c>
      <c r="I571" s="3">
        <v>0</v>
      </c>
      <c r="J571" s="3">
        <f>grocery_chain_data[[#This Row],[Total Amount]]-grocery_chain_data[[#This Row],[Discount Amount]]</f>
        <v>12</v>
      </c>
      <c r="K571">
        <v>257</v>
      </c>
      <c r="L571" t="str">
        <f>IF(grocery_chain_data[[#This Row],[Final Amount]]&lt;0,"Return","Sale")</f>
        <v>Sale</v>
      </c>
      <c r="M571">
        <f>IF(grocery_chain_data[[#This Row],[Final Amount]]&lt;0,0,grocery_chain_data[[#This Row],[Final Amount]])</f>
        <v>12</v>
      </c>
    </row>
    <row r="572" spans="1:13" x14ac:dyDescent="0.3">
      <c r="A572">
        <v>4912</v>
      </c>
      <c r="B572" t="s">
        <v>21</v>
      </c>
      <c r="C572" s="1">
        <v>45589</v>
      </c>
      <c r="D572" s="1" t="str">
        <f t="shared" si="8"/>
        <v>Produce</v>
      </c>
      <c r="E572" t="s">
        <v>11</v>
      </c>
      <c r="F572" s="2">
        <v>5</v>
      </c>
      <c r="G572" s="3">
        <v>5</v>
      </c>
      <c r="H572" s="3">
        <f>grocery_chain_data[[#This Row],[Quantity]]*grocery_chain_data[[#This Row],[Unit Price]]</f>
        <v>25</v>
      </c>
      <c r="I572" s="3">
        <v>5</v>
      </c>
      <c r="J572" s="3">
        <f>grocery_chain_data[[#This Row],[Total Amount]]-grocery_chain_data[[#This Row],[Discount Amount]]</f>
        <v>20</v>
      </c>
      <c r="K572">
        <v>81</v>
      </c>
      <c r="L572" t="str">
        <f>IF(grocery_chain_data[[#This Row],[Final Amount]]&lt;0,"Return","Sale")</f>
        <v>Sale</v>
      </c>
      <c r="M572">
        <f>IF(grocery_chain_data[[#This Row],[Final Amount]]&lt;0,0,grocery_chain_data[[#This Row],[Final Amount]])</f>
        <v>20</v>
      </c>
    </row>
    <row r="573" spans="1:13" x14ac:dyDescent="0.3">
      <c r="A573">
        <v>7274</v>
      </c>
      <c r="B573" t="s">
        <v>5</v>
      </c>
      <c r="C573" s="1">
        <v>45326</v>
      </c>
      <c r="D573" s="1" t="str">
        <f t="shared" si="8"/>
        <v>Beverages</v>
      </c>
      <c r="E573" t="s">
        <v>7</v>
      </c>
      <c r="F573" s="2">
        <v>1</v>
      </c>
      <c r="G573" s="3">
        <v>7</v>
      </c>
      <c r="H573" s="3">
        <f>grocery_chain_data[[#This Row],[Quantity]]*grocery_chain_data[[#This Row],[Unit Price]]</f>
        <v>7</v>
      </c>
      <c r="I573" s="3">
        <v>2</v>
      </c>
      <c r="J573" s="3">
        <f>grocery_chain_data[[#This Row],[Total Amount]]-grocery_chain_data[[#This Row],[Discount Amount]]</f>
        <v>5</v>
      </c>
      <c r="K573">
        <v>249</v>
      </c>
      <c r="L573" t="str">
        <f>IF(grocery_chain_data[[#This Row],[Final Amount]]&lt;0,"Return","Sale")</f>
        <v>Sale</v>
      </c>
      <c r="M573">
        <f>IF(grocery_chain_data[[#This Row],[Final Amount]]&lt;0,0,grocery_chain_data[[#This Row],[Final Amount]])</f>
        <v>5</v>
      </c>
    </row>
    <row r="574" spans="1:13" x14ac:dyDescent="0.3">
      <c r="A574">
        <v>7730</v>
      </c>
      <c r="B574" t="s">
        <v>21</v>
      </c>
      <c r="C574" s="1">
        <v>45178</v>
      </c>
      <c r="D574" s="1" t="str">
        <f t="shared" si="8"/>
        <v>Dairy</v>
      </c>
      <c r="E574" t="s">
        <v>23</v>
      </c>
      <c r="F574" s="2">
        <v>5</v>
      </c>
      <c r="G574" s="3">
        <v>27</v>
      </c>
      <c r="H574" s="3">
        <f>grocery_chain_data[[#This Row],[Quantity]]*grocery_chain_data[[#This Row],[Unit Price]]</f>
        <v>135</v>
      </c>
      <c r="I574" s="3">
        <v>14</v>
      </c>
      <c r="J574" s="3">
        <f>grocery_chain_data[[#This Row],[Total Amount]]-grocery_chain_data[[#This Row],[Discount Amount]]</f>
        <v>121</v>
      </c>
      <c r="K574">
        <v>184</v>
      </c>
      <c r="L574" t="str">
        <f>IF(grocery_chain_data[[#This Row],[Final Amount]]&lt;0,"Return","Sale")</f>
        <v>Sale</v>
      </c>
      <c r="M574">
        <f>IF(grocery_chain_data[[#This Row],[Final Amount]]&lt;0,0,grocery_chain_data[[#This Row],[Final Amount]])</f>
        <v>121</v>
      </c>
    </row>
    <row r="575" spans="1:13" x14ac:dyDescent="0.3">
      <c r="A575">
        <v>6213</v>
      </c>
      <c r="B575" t="s">
        <v>10</v>
      </c>
      <c r="C575" s="1">
        <v>45723</v>
      </c>
      <c r="D575" s="1" t="str">
        <f t="shared" si="8"/>
        <v>Dairy</v>
      </c>
      <c r="E575" t="s">
        <v>19</v>
      </c>
      <c r="F575" s="2">
        <v>3</v>
      </c>
      <c r="G575" s="3">
        <v>4</v>
      </c>
      <c r="H575" s="3">
        <f>grocery_chain_data[[#This Row],[Quantity]]*grocery_chain_data[[#This Row],[Unit Price]]</f>
        <v>12</v>
      </c>
      <c r="I575" s="3">
        <v>0</v>
      </c>
      <c r="J575" s="3">
        <f>grocery_chain_data[[#This Row],[Total Amount]]-grocery_chain_data[[#This Row],[Discount Amount]]</f>
        <v>12</v>
      </c>
      <c r="K575">
        <v>495</v>
      </c>
      <c r="L575" t="str">
        <f>IF(grocery_chain_data[[#This Row],[Final Amount]]&lt;0,"Return","Sale")</f>
        <v>Sale</v>
      </c>
      <c r="M575">
        <f>IF(grocery_chain_data[[#This Row],[Final Amount]]&lt;0,0,grocery_chain_data[[#This Row],[Final Amount]])</f>
        <v>12</v>
      </c>
    </row>
    <row r="576" spans="1:13" x14ac:dyDescent="0.3">
      <c r="A576">
        <v>8749</v>
      </c>
      <c r="B576" t="s">
        <v>12</v>
      </c>
      <c r="C576" s="1">
        <v>45692</v>
      </c>
      <c r="D576" s="1" t="str">
        <f t="shared" si="8"/>
        <v>Produce</v>
      </c>
      <c r="E576" t="s">
        <v>4</v>
      </c>
      <c r="F576" s="2">
        <v>5</v>
      </c>
      <c r="G576" s="3">
        <v>6</v>
      </c>
      <c r="H576" s="3">
        <f>grocery_chain_data[[#This Row],[Quantity]]*grocery_chain_data[[#This Row],[Unit Price]]</f>
        <v>30</v>
      </c>
      <c r="I576" s="3">
        <v>5</v>
      </c>
      <c r="J576" s="3">
        <f>grocery_chain_data[[#This Row],[Total Amount]]-grocery_chain_data[[#This Row],[Discount Amount]]</f>
        <v>25</v>
      </c>
      <c r="K576">
        <v>334</v>
      </c>
      <c r="L576" t="str">
        <f>IF(grocery_chain_data[[#This Row],[Final Amount]]&lt;0,"Return","Sale")</f>
        <v>Sale</v>
      </c>
      <c r="M576">
        <f>IF(grocery_chain_data[[#This Row],[Final Amount]]&lt;0,0,grocery_chain_data[[#This Row],[Final Amount]])</f>
        <v>25</v>
      </c>
    </row>
    <row r="577" spans="1:13" x14ac:dyDescent="0.3">
      <c r="A577">
        <v>7246</v>
      </c>
      <c r="B577" t="s">
        <v>0</v>
      </c>
      <c r="C577" s="1">
        <v>45444</v>
      </c>
      <c r="D577" s="1" t="str">
        <f t="shared" si="8"/>
        <v>Pantry</v>
      </c>
      <c r="E577" t="s">
        <v>1</v>
      </c>
      <c r="F577" s="2">
        <v>4</v>
      </c>
      <c r="G577" s="3">
        <v>29</v>
      </c>
      <c r="H577" s="3">
        <f>grocery_chain_data[[#This Row],[Quantity]]*grocery_chain_data[[#This Row],[Unit Price]]</f>
        <v>116</v>
      </c>
      <c r="I577" s="3">
        <v>18</v>
      </c>
      <c r="J577" s="3">
        <f>grocery_chain_data[[#This Row],[Total Amount]]-grocery_chain_data[[#This Row],[Discount Amount]]</f>
        <v>98</v>
      </c>
      <c r="K577">
        <v>114</v>
      </c>
      <c r="L577" t="str">
        <f>IF(grocery_chain_data[[#This Row],[Final Amount]]&lt;0,"Return","Sale")</f>
        <v>Sale</v>
      </c>
      <c r="M577">
        <f>IF(grocery_chain_data[[#This Row],[Final Amount]]&lt;0,0,grocery_chain_data[[#This Row],[Final Amount]])</f>
        <v>98</v>
      </c>
    </row>
    <row r="578" spans="1:13" x14ac:dyDescent="0.3">
      <c r="A578">
        <v>3492</v>
      </c>
      <c r="B578" t="s">
        <v>16</v>
      </c>
      <c r="C578" s="1">
        <v>45529</v>
      </c>
      <c r="D578" s="1" t="str">
        <f t="shared" ref="D578:D641" si="9">IF(E578="Pasta","Pantry",
IF(E578="Cheese","Dairy",
IF(E578="Onions","Produce",
IF(E578="Cereal","Pantry",
IF(E578="Orange Juice","Beverages",
IF(E578="Ground Beef","Meat &amp; Seafood",
IF(E578="Apples","Produce",
IF(E578="Milk","Dairy",
IF(E578="Bananas","Produce",
IF(E578="Bread","Bakery",
IF(E578="Carrots","Produce",
IF(E578="Chicken Breast","Meat &amp; Seafood",
IF(E578="Eggs","Dairy",
IF(E578="Potatoes","Produce",
IF(E578="Rice","Produce",
IF(E578="Salmon","Meat &amp; Seafood",
IF(E578="Tomatoes","Produce",
IF(E578="Yogurt","Dairy",
"Others"))))))))))))))))))</f>
        <v>Produce</v>
      </c>
      <c r="E578" t="s">
        <v>25</v>
      </c>
      <c r="F578" s="2">
        <v>5</v>
      </c>
      <c r="G578" s="3">
        <v>1</v>
      </c>
      <c r="H578" s="3">
        <f>grocery_chain_data[[#This Row],[Quantity]]*grocery_chain_data[[#This Row],[Unit Price]]</f>
        <v>5</v>
      </c>
      <c r="I578" s="3">
        <v>1</v>
      </c>
      <c r="J578" s="3">
        <f>grocery_chain_data[[#This Row],[Total Amount]]-grocery_chain_data[[#This Row],[Discount Amount]]</f>
        <v>4</v>
      </c>
      <c r="K578">
        <v>451</v>
      </c>
      <c r="L578" t="str">
        <f>IF(grocery_chain_data[[#This Row],[Final Amount]]&lt;0,"Return","Sale")</f>
        <v>Sale</v>
      </c>
      <c r="M578">
        <f>IF(grocery_chain_data[[#This Row],[Final Amount]]&lt;0,0,grocery_chain_data[[#This Row],[Final Amount]])</f>
        <v>4</v>
      </c>
    </row>
    <row r="579" spans="1:13" x14ac:dyDescent="0.3">
      <c r="A579">
        <v>1606</v>
      </c>
      <c r="B579" t="s">
        <v>5</v>
      </c>
      <c r="C579" s="1">
        <v>45243</v>
      </c>
      <c r="D579" s="1" t="str">
        <f t="shared" si="9"/>
        <v>Bakery</v>
      </c>
      <c r="E579" t="s">
        <v>22</v>
      </c>
      <c r="F579" s="2">
        <v>5</v>
      </c>
      <c r="G579" s="3">
        <v>20</v>
      </c>
      <c r="H579" s="3">
        <f>grocery_chain_data[[#This Row],[Quantity]]*grocery_chain_data[[#This Row],[Unit Price]]</f>
        <v>100</v>
      </c>
      <c r="I579" s="3">
        <v>20</v>
      </c>
      <c r="J579" s="3">
        <f>grocery_chain_data[[#This Row],[Total Amount]]-grocery_chain_data[[#This Row],[Discount Amount]]</f>
        <v>80</v>
      </c>
      <c r="K579">
        <v>108</v>
      </c>
      <c r="L579" t="str">
        <f>IF(grocery_chain_data[[#This Row],[Final Amount]]&lt;0,"Return","Sale")</f>
        <v>Sale</v>
      </c>
      <c r="M579">
        <f>IF(grocery_chain_data[[#This Row],[Final Amount]]&lt;0,0,grocery_chain_data[[#This Row],[Final Amount]])</f>
        <v>80</v>
      </c>
    </row>
    <row r="580" spans="1:13" x14ac:dyDescent="0.3">
      <c r="A580">
        <v>9229</v>
      </c>
      <c r="B580" t="s">
        <v>5</v>
      </c>
      <c r="C580" s="1">
        <v>45603</v>
      </c>
      <c r="D580" s="1" t="str">
        <f t="shared" si="9"/>
        <v>Meat &amp; Seafood</v>
      </c>
      <c r="E580" t="s">
        <v>26</v>
      </c>
      <c r="F580" s="2">
        <v>2</v>
      </c>
      <c r="G580" s="3">
        <v>13</v>
      </c>
      <c r="H580" s="3">
        <f>grocery_chain_data[[#This Row],[Quantity]]*grocery_chain_data[[#This Row],[Unit Price]]</f>
        <v>26</v>
      </c>
      <c r="I580" s="3">
        <v>3</v>
      </c>
      <c r="J580" s="3">
        <f>grocery_chain_data[[#This Row],[Total Amount]]-grocery_chain_data[[#This Row],[Discount Amount]]</f>
        <v>23</v>
      </c>
      <c r="K580">
        <v>169</v>
      </c>
      <c r="L580" t="str">
        <f>IF(grocery_chain_data[[#This Row],[Final Amount]]&lt;0,"Return","Sale")</f>
        <v>Sale</v>
      </c>
      <c r="M580">
        <f>IF(grocery_chain_data[[#This Row],[Final Amount]]&lt;0,0,grocery_chain_data[[#This Row],[Final Amount]])</f>
        <v>23</v>
      </c>
    </row>
    <row r="581" spans="1:13" x14ac:dyDescent="0.3">
      <c r="A581">
        <v>6439</v>
      </c>
      <c r="B581" t="s">
        <v>10</v>
      </c>
      <c r="C581" s="1">
        <v>45820</v>
      </c>
      <c r="D581" s="1" t="str">
        <f t="shared" si="9"/>
        <v>Dairy</v>
      </c>
      <c r="E581" t="s">
        <v>23</v>
      </c>
      <c r="F581" s="2">
        <v>5</v>
      </c>
      <c r="G581" s="3">
        <v>6</v>
      </c>
      <c r="H581" s="3">
        <f>grocery_chain_data[[#This Row],[Quantity]]*grocery_chain_data[[#This Row],[Unit Price]]</f>
        <v>30</v>
      </c>
      <c r="I581" s="3">
        <v>2</v>
      </c>
      <c r="J581" s="3">
        <f>grocery_chain_data[[#This Row],[Total Amount]]-grocery_chain_data[[#This Row],[Discount Amount]]</f>
        <v>28</v>
      </c>
      <c r="K581">
        <v>426</v>
      </c>
      <c r="L581" t="str">
        <f>IF(grocery_chain_data[[#This Row],[Final Amount]]&lt;0,"Return","Sale")</f>
        <v>Sale</v>
      </c>
      <c r="M581">
        <f>IF(grocery_chain_data[[#This Row],[Final Amount]]&lt;0,0,grocery_chain_data[[#This Row],[Final Amount]])</f>
        <v>28</v>
      </c>
    </row>
    <row r="582" spans="1:13" x14ac:dyDescent="0.3">
      <c r="A582">
        <v>2644</v>
      </c>
      <c r="B582" t="s">
        <v>5</v>
      </c>
      <c r="C582" s="1">
        <v>45824</v>
      </c>
      <c r="D582" s="1" t="str">
        <f t="shared" si="9"/>
        <v>Produce</v>
      </c>
      <c r="E582" t="s">
        <v>11</v>
      </c>
      <c r="F582" s="2">
        <v>2</v>
      </c>
      <c r="G582" s="3">
        <v>19</v>
      </c>
      <c r="H582" s="3">
        <f>grocery_chain_data[[#This Row],[Quantity]]*grocery_chain_data[[#This Row],[Unit Price]]</f>
        <v>38</v>
      </c>
      <c r="I582" s="3">
        <v>2</v>
      </c>
      <c r="J582" s="3">
        <f>grocery_chain_data[[#This Row],[Total Amount]]-grocery_chain_data[[#This Row],[Discount Amount]]</f>
        <v>36</v>
      </c>
      <c r="K582">
        <v>20</v>
      </c>
      <c r="L582" t="str">
        <f>IF(grocery_chain_data[[#This Row],[Final Amount]]&lt;0,"Return","Sale")</f>
        <v>Sale</v>
      </c>
      <c r="M582">
        <f>IF(grocery_chain_data[[#This Row],[Final Amount]]&lt;0,0,grocery_chain_data[[#This Row],[Final Amount]])</f>
        <v>36</v>
      </c>
    </row>
    <row r="583" spans="1:13" x14ac:dyDescent="0.3">
      <c r="A583">
        <v>8213</v>
      </c>
      <c r="B583" t="s">
        <v>5</v>
      </c>
      <c r="C583" s="1">
        <v>45222</v>
      </c>
      <c r="D583" s="1" t="str">
        <f t="shared" si="9"/>
        <v>Produce</v>
      </c>
      <c r="E583" t="s">
        <v>14</v>
      </c>
      <c r="F583" s="2">
        <v>5</v>
      </c>
      <c r="G583" s="3">
        <v>29</v>
      </c>
      <c r="H583" s="3">
        <f>grocery_chain_data[[#This Row],[Quantity]]*grocery_chain_data[[#This Row],[Unit Price]]</f>
        <v>145</v>
      </c>
      <c r="I583" s="3">
        <v>0</v>
      </c>
      <c r="J583" s="3">
        <f>grocery_chain_data[[#This Row],[Total Amount]]-grocery_chain_data[[#This Row],[Discount Amount]]</f>
        <v>145</v>
      </c>
      <c r="K583">
        <v>326</v>
      </c>
      <c r="L583" t="str">
        <f>IF(grocery_chain_data[[#This Row],[Final Amount]]&lt;0,"Return","Sale")</f>
        <v>Sale</v>
      </c>
      <c r="M583">
        <f>IF(grocery_chain_data[[#This Row],[Final Amount]]&lt;0,0,grocery_chain_data[[#This Row],[Final Amount]])</f>
        <v>145</v>
      </c>
    </row>
    <row r="584" spans="1:13" x14ac:dyDescent="0.3">
      <c r="A584">
        <v>9617</v>
      </c>
      <c r="B584" t="s">
        <v>12</v>
      </c>
      <c r="C584" s="1">
        <v>45852</v>
      </c>
      <c r="D584" s="1" t="str">
        <f t="shared" si="9"/>
        <v>Dairy</v>
      </c>
      <c r="E584" t="s">
        <v>23</v>
      </c>
      <c r="F584" s="2">
        <v>4</v>
      </c>
      <c r="G584" s="3">
        <v>19</v>
      </c>
      <c r="H584" s="3">
        <f>grocery_chain_data[[#This Row],[Quantity]]*grocery_chain_data[[#This Row],[Unit Price]]</f>
        <v>76</v>
      </c>
      <c r="I584" s="3">
        <v>15</v>
      </c>
      <c r="J584" s="3">
        <f>grocery_chain_data[[#This Row],[Total Amount]]-grocery_chain_data[[#This Row],[Discount Amount]]</f>
        <v>61</v>
      </c>
      <c r="K584">
        <v>241</v>
      </c>
      <c r="L584" t="str">
        <f>IF(grocery_chain_data[[#This Row],[Final Amount]]&lt;0,"Return","Sale")</f>
        <v>Sale</v>
      </c>
      <c r="M584">
        <f>IF(grocery_chain_data[[#This Row],[Final Amount]]&lt;0,0,grocery_chain_data[[#This Row],[Final Amount]])</f>
        <v>61</v>
      </c>
    </row>
    <row r="585" spans="1:13" x14ac:dyDescent="0.3">
      <c r="A585">
        <v>8486</v>
      </c>
      <c r="B585" t="s">
        <v>21</v>
      </c>
      <c r="C585" s="1">
        <v>45156</v>
      </c>
      <c r="D585" s="1" t="str">
        <f t="shared" si="9"/>
        <v>Dairy</v>
      </c>
      <c r="E585" t="s">
        <v>20</v>
      </c>
      <c r="F585" s="2">
        <v>5</v>
      </c>
      <c r="G585" s="3">
        <v>25</v>
      </c>
      <c r="H585" s="3">
        <f>grocery_chain_data[[#This Row],[Quantity]]*grocery_chain_data[[#This Row],[Unit Price]]</f>
        <v>125</v>
      </c>
      <c r="I585" s="3">
        <v>25</v>
      </c>
      <c r="J585" s="3">
        <f>grocery_chain_data[[#This Row],[Total Amount]]-grocery_chain_data[[#This Row],[Discount Amount]]</f>
        <v>100</v>
      </c>
      <c r="K585">
        <v>93</v>
      </c>
      <c r="L585" t="str">
        <f>IF(grocery_chain_data[[#This Row],[Final Amount]]&lt;0,"Return","Sale")</f>
        <v>Sale</v>
      </c>
      <c r="M585">
        <f>IF(grocery_chain_data[[#This Row],[Final Amount]]&lt;0,0,grocery_chain_data[[#This Row],[Final Amount]])</f>
        <v>100</v>
      </c>
    </row>
    <row r="586" spans="1:13" x14ac:dyDescent="0.3">
      <c r="A586">
        <v>3361</v>
      </c>
      <c r="B586" t="s">
        <v>16</v>
      </c>
      <c r="C586" s="1">
        <v>45463</v>
      </c>
      <c r="D586" s="1" t="str">
        <f t="shared" si="9"/>
        <v>Bakery</v>
      </c>
      <c r="E586" t="s">
        <v>22</v>
      </c>
      <c r="F586" s="2">
        <v>2</v>
      </c>
      <c r="G586" s="3">
        <v>12</v>
      </c>
      <c r="H586" s="3">
        <f>grocery_chain_data[[#This Row],[Quantity]]*grocery_chain_data[[#This Row],[Unit Price]]</f>
        <v>24</v>
      </c>
      <c r="I586" s="3">
        <v>2</v>
      </c>
      <c r="J586" s="3">
        <f>grocery_chain_data[[#This Row],[Total Amount]]-grocery_chain_data[[#This Row],[Discount Amount]]</f>
        <v>22</v>
      </c>
      <c r="K586">
        <v>67</v>
      </c>
      <c r="L586" t="str">
        <f>IF(grocery_chain_data[[#This Row],[Final Amount]]&lt;0,"Return","Sale")</f>
        <v>Sale</v>
      </c>
      <c r="M586">
        <f>IF(grocery_chain_data[[#This Row],[Final Amount]]&lt;0,0,grocery_chain_data[[#This Row],[Final Amount]])</f>
        <v>22</v>
      </c>
    </row>
    <row r="587" spans="1:13" x14ac:dyDescent="0.3">
      <c r="A587">
        <v>3529</v>
      </c>
      <c r="B587" t="s">
        <v>2</v>
      </c>
      <c r="C587" s="1">
        <v>45203</v>
      </c>
      <c r="D587" s="1" t="str">
        <f t="shared" si="9"/>
        <v>Dairy</v>
      </c>
      <c r="E587" t="s">
        <v>3</v>
      </c>
      <c r="F587" s="2">
        <v>2</v>
      </c>
      <c r="G587" s="3">
        <v>19</v>
      </c>
      <c r="H587" s="3">
        <f>grocery_chain_data[[#This Row],[Quantity]]*grocery_chain_data[[#This Row],[Unit Price]]</f>
        <v>38</v>
      </c>
      <c r="I587" s="3">
        <v>3</v>
      </c>
      <c r="J587" s="3">
        <f>grocery_chain_data[[#This Row],[Total Amount]]-grocery_chain_data[[#This Row],[Discount Amount]]</f>
        <v>35</v>
      </c>
      <c r="K587">
        <v>90</v>
      </c>
      <c r="L587" t="str">
        <f>IF(grocery_chain_data[[#This Row],[Final Amount]]&lt;0,"Return","Sale")</f>
        <v>Sale</v>
      </c>
      <c r="M587">
        <f>IF(grocery_chain_data[[#This Row],[Final Amount]]&lt;0,0,grocery_chain_data[[#This Row],[Final Amount]])</f>
        <v>35</v>
      </c>
    </row>
    <row r="588" spans="1:13" x14ac:dyDescent="0.3">
      <c r="A588">
        <v>8692</v>
      </c>
      <c r="B588" t="s">
        <v>2</v>
      </c>
      <c r="C588" s="1">
        <v>45752</v>
      </c>
      <c r="D588" s="1" t="str">
        <f t="shared" si="9"/>
        <v>Meat &amp; Seafood</v>
      </c>
      <c r="E588" t="s">
        <v>26</v>
      </c>
      <c r="F588" s="2">
        <v>1</v>
      </c>
      <c r="G588" s="3">
        <v>15</v>
      </c>
      <c r="H588" s="3">
        <f>grocery_chain_data[[#This Row],[Quantity]]*grocery_chain_data[[#This Row],[Unit Price]]</f>
        <v>15</v>
      </c>
      <c r="I588" s="3">
        <v>0</v>
      </c>
      <c r="J588" s="3">
        <f>grocery_chain_data[[#This Row],[Total Amount]]-grocery_chain_data[[#This Row],[Discount Amount]]</f>
        <v>15</v>
      </c>
      <c r="K588">
        <v>66</v>
      </c>
      <c r="L588" t="str">
        <f>IF(grocery_chain_data[[#This Row],[Final Amount]]&lt;0,"Return","Sale")</f>
        <v>Sale</v>
      </c>
      <c r="M588">
        <f>IF(grocery_chain_data[[#This Row],[Final Amount]]&lt;0,0,grocery_chain_data[[#This Row],[Final Amount]])</f>
        <v>15</v>
      </c>
    </row>
    <row r="589" spans="1:13" x14ac:dyDescent="0.3">
      <c r="A589">
        <v>5342</v>
      </c>
      <c r="B589" t="s">
        <v>8</v>
      </c>
      <c r="C589" s="1">
        <v>45407</v>
      </c>
      <c r="D589" s="1" t="str">
        <f t="shared" si="9"/>
        <v>Dairy</v>
      </c>
      <c r="E589" t="s">
        <v>3</v>
      </c>
      <c r="F589" s="2">
        <v>3</v>
      </c>
      <c r="G589" s="3">
        <v>26</v>
      </c>
      <c r="H589" s="3">
        <f>grocery_chain_data[[#This Row],[Quantity]]*grocery_chain_data[[#This Row],[Unit Price]]</f>
        <v>78</v>
      </c>
      <c r="I589" s="3">
        <v>16</v>
      </c>
      <c r="J589" s="3">
        <f>grocery_chain_data[[#This Row],[Total Amount]]-grocery_chain_data[[#This Row],[Discount Amount]]</f>
        <v>62</v>
      </c>
      <c r="K589">
        <v>357</v>
      </c>
      <c r="L589" t="str">
        <f>IF(grocery_chain_data[[#This Row],[Final Amount]]&lt;0,"Return","Sale")</f>
        <v>Sale</v>
      </c>
      <c r="M589">
        <f>IF(grocery_chain_data[[#This Row],[Final Amount]]&lt;0,0,grocery_chain_data[[#This Row],[Final Amount]])</f>
        <v>62</v>
      </c>
    </row>
    <row r="590" spans="1:13" x14ac:dyDescent="0.3">
      <c r="A590">
        <v>7512</v>
      </c>
      <c r="B590" t="s">
        <v>10</v>
      </c>
      <c r="C590" s="1">
        <v>45649</v>
      </c>
      <c r="D590" s="1" t="str">
        <f t="shared" si="9"/>
        <v>Beverages</v>
      </c>
      <c r="E590" t="s">
        <v>7</v>
      </c>
      <c r="F590" s="2">
        <v>5</v>
      </c>
      <c r="G590" s="3">
        <v>24</v>
      </c>
      <c r="H590" s="3">
        <f>grocery_chain_data[[#This Row],[Quantity]]*grocery_chain_data[[#This Row],[Unit Price]]</f>
        <v>120</v>
      </c>
      <c r="I590" s="3">
        <v>12</v>
      </c>
      <c r="J590" s="3">
        <f>grocery_chain_data[[#This Row],[Total Amount]]-grocery_chain_data[[#This Row],[Discount Amount]]</f>
        <v>108</v>
      </c>
      <c r="K590">
        <v>464</v>
      </c>
      <c r="L590" t="str">
        <f>IF(grocery_chain_data[[#This Row],[Final Amount]]&lt;0,"Return","Sale")</f>
        <v>Sale</v>
      </c>
      <c r="M590">
        <f>IF(grocery_chain_data[[#This Row],[Final Amount]]&lt;0,0,grocery_chain_data[[#This Row],[Final Amount]])</f>
        <v>108</v>
      </c>
    </row>
    <row r="591" spans="1:13" x14ac:dyDescent="0.3">
      <c r="A591">
        <v>2315</v>
      </c>
      <c r="B591" t="s">
        <v>5</v>
      </c>
      <c r="C591" s="1">
        <v>45806</v>
      </c>
      <c r="D591" s="1" t="str">
        <f t="shared" si="9"/>
        <v>Produce</v>
      </c>
      <c r="E591" t="s">
        <v>25</v>
      </c>
      <c r="F591" s="2">
        <v>2</v>
      </c>
      <c r="G591" s="3">
        <v>27</v>
      </c>
      <c r="H591" s="3">
        <f>grocery_chain_data[[#This Row],[Quantity]]*grocery_chain_data[[#This Row],[Unit Price]]</f>
        <v>54</v>
      </c>
      <c r="I591" s="3">
        <v>5</v>
      </c>
      <c r="J591" s="3">
        <f>grocery_chain_data[[#This Row],[Total Amount]]-grocery_chain_data[[#This Row],[Discount Amount]]</f>
        <v>49</v>
      </c>
      <c r="K591">
        <v>42</v>
      </c>
      <c r="L591" t="str">
        <f>IF(grocery_chain_data[[#This Row],[Final Amount]]&lt;0,"Return","Sale")</f>
        <v>Sale</v>
      </c>
      <c r="M591">
        <f>IF(grocery_chain_data[[#This Row],[Final Amount]]&lt;0,0,grocery_chain_data[[#This Row],[Final Amount]])</f>
        <v>49</v>
      </c>
    </row>
    <row r="592" spans="1:13" x14ac:dyDescent="0.3">
      <c r="A592">
        <v>6383</v>
      </c>
      <c r="B592" t="s">
        <v>8</v>
      </c>
      <c r="C592" s="1">
        <v>45807</v>
      </c>
      <c r="D592" s="1" t="str">
        <f t="shared" si="9"/>
        <v>Dairy</v>
      </c>
      <c r="E592" t="s">
        <v>23</v>
      </c>
      <c r="F592" s="2">
        <v>1</v>
      </c>
      <c r="G592" s="3">
        <v>22</v>
      </c>
      <c r="H592" s="3">
        <f>grocery_chain_data[[#This Row],[Quantity]]*grocery_chain_data[[#This Row],[Unit Price]]</f>
        <v>22</v>
      </c>
      <c r="I592" s="3">
        <v>3</v>
      </c>
      <c r="J592" s="3">
        <f>grocery_chain_data[[#This Row],[Total Amount]]-grocery_chain_data[[#This Row],[Discount Amount]]</f>
        <v>19</v>
      </c>
      <c r="K592">
        <v>404</v>
      </c>
      <c r="L592" t="str">
        <f>IF(grocery_chain_data[[#This Row],[Final Amount]]&lt;0,"Return","Sale")</f>
        <v>Sale</v>
      </c>
      <c r="M592">
        <f>IF(grocery_chain_data[[#This Row],[Final Amount]]&lt;0,0,grocery_chain_data[[#This Row],[Final Amount]])</f>
        <v>19</v>
      </c>
    </row>
    <row r="593" spans="1:13" x14ac:dyDescent="0.3">
      <c r="A593">
        <v>9742</v>
      </c>
      <c r="B593" t="s">
        <v>2</v>
      </c>
      <c r="C593" s="1">
        <v>45440</v>
      </c>
      <c r="D593" s="1" t="str">
        <f t="shared" si="9"/>
        <v>Produce</v>
      </c>
      <c r="E593" t="s">
        <v>14</v>
      </c>
      <c r="F593" s="2">
        <v>2</v>
      </c>
      <c r="G593" s="3">
        <v>21</v>
      </c>
      <c r="H593" s="3">
        <f>grocery_chain_data[[#This Row],[Quantity]]*grocery_chain_data[[#This Row],[Unit Price]]</f>
        <v>42</v>
      </c>
      <c r="I593" s="3">
        <v>6</v>
      </c>
      <c r="J593" s="3">
        <f>grocery_chain_data[[#This Row],[Total Amount]]-grocery_chain_data[[#This Row],[Discount Amount]]</f>
        <v>36</v>
      </c>
      <c r="K593">
        <v>161</v>
      </c>
      <c r="L593" t="str">
        <f>IF(grocery_chain_data[[#This Row],[Final Amount]]&lt;0,"Return","Sale")</f>
        <v>Sale</v>
      </c>
      <c r="M593">
        <f>IF(grocery_chain_data[[#This Row],[Final Amount]]&lt;0,0,grocery_chain_data[[#This Row],[Final Amount]])</f>
        <v>36</v>
      </c>
    </row>
    <row r="594" spans="1:13" x14ac:dyDescent="0.3">
      <c r="A594">
        <v>6188</v>
      </c>
      <c r="B594" t="s">
        <v>0</v>
      </c>
      <c r="C594" s="1">
        <v>45631</v>
      </c>
      <c r="D594" s="1" t="str">
        <f t="shared" si="9"/>
        <v>Dairy</v>
      </c>
      <c r="E594" t="s">
        <v>3</v>
      </c>
      <c r="F594" s="2">
        <v>5</v>
      </c>
      <c r="G594" s="3">
        <v>8</v>
      </c>
      <c r="H594" s="3">
        <f>grocery_chain_data[[#This Row],[Quantity]]*grocery_chain_data[[#This Row],[Unit Price]]</f>
        <v>40</v>
      </c>
      <c r="I594" s="3">
        <v>2</v>
      </c>
      <c r="J594" s="3">
        <f>grocery_chain_data[[#This Row],[Total Amount]]-grocery_chain_data[[#This Row],[Discount Amount]]</f>
        <v>38</v>
      </c>
      <c r="K594">
        <v>437</v>
      </c>
      <c r="L594" t="str">
        <f>IF(grocery_chain_data[[#This Row],[Final Amount]]&lt;0,"Return","Sale")</f>
        <v>Sale</v>
      </c>
      <c r="M594">
        <f>IF(grocery_chain_data[[#This Row],[Final Amount]]&lt;0,0,grocery_chain_data[[#This Row],[Final Amount]])</f>
        <v>38</v>
      </c>
    </row>
    <row r="595" spans="1:13" x14ac:dyDescent="0.3">
      <c r="A595">
        <v>8994</v>
      </c>
      <c r="B595" t="s">
        <v>12</v>
      </c>
      <c r="C595" s="1">
        <v>45822</v>
      </c>
      <c r="D595" s="1" t="str">
        <f t="shared" si="9"/>
        <v>Produce</v>
      </c>
      <c r="E595" t="s">
        <v>14</v>
      </c>
      <c r="F595" s="2">
        <v>2</v>
      </c>
      <c r="G595" s="3">
        <v>13</v>
      </c>
      <c r="H595" s="3">
        <f>grocery_chain_data[[#This Row],[Quantity]]*grocery_chain_data[[#This Row],[Unit Price]]</f>
        <v>26</v>
      </c>
      <c r="I595" s="3">
        <v>5</v>
      </c>
      <c r="J595" s="3">
        <f>grocery_chain_data[[#This Row],[Total Amount]]-grocery_chain_data[[#This Row],[Discount Amount]]</f>
        <v>21</v>
      </c>
      <c r="K595">
        <v>401</v>
      </c>
      <c r="L595" t="str">
        <f>IF(grocery_chain_data[[#This Row],[Final Amount]]&lt;0,"Return","Sale")</f>
        <v>Sale</v>
      </c>
      <c r="M595">
        <f>IF(grocery_chain_data[[#This Row],[Final Amount]]&lt;0,0,grocery_chain_data[[#This Row],[Final Amount]])</f>
        <v>21</v>
      </c>
    </row>
    <row r="596" spans="1:13" x14ac:dyDescent="0.3">
      <c r="A596">
        <v>9864</v>
      </c>
      <c r="B596" t="s">
        <v>16</v>
      </c>
      <c r="C596" s="1">
        <v>45172</v>
      </c>
      <c r="D596" s="1" t="str">
        <f t="shared" si="9"/>
        <v>Produce</v>
      </c>
      <c r="E596" t="s">
        <v>4</v>
      </c>
      <c r="F596" s="2">
        <v>4</v>
      </c>
      <c r="G596" s="3">
        <v>8</v>
      </c>
      <c r="H596" s="3">
        <f>grocery_chain_data[[#This Row],[Quantity]]*grocery_chain_data[[#This Row],[Unit Price]]</f>
        <v>32</v>
      </c>
      <c r="I596" s="3">
        <v>0</v>
      </c>
      <c r="J596" s="3">
        <f>grocery_chain_data[[#This Row],[Total Amount]]-grocery_chain_data[[#This Row],[Discount Amount]]</f>
        <v>32</v>
      </c>
      <c r="K596">
        <v>157</v>
      </c>
      <c r="L596" t="str">
        <f>IF(grocery_chain_data[[#This Row],[Final Amount]]&lt;0,"Return","Sale")</f>
        <v>Sale</v>
      </c>
      <c r="M596">
        <f>IF(grocery_chain_data[[#This Row],[Final Amount]]&lt;0,0,grocery_chain_data[[#This Row],[Final Amount]])</f>
        <v>32</v>
      </c>
    </row>
    <row r="597" spans="1:13" x14ac:dyDescent="0.3">
      <c r="A597">
        <v>2121</v>
      </c>
      <c r="B597" t="s">
        <v>8</v>
      </c>
      <c r="C597" s="1">
        <v>45327</v>
      </c>
      <c r="D597" s="1" t="str">
        <f t="shared" si="9"/>
        <v>Meat &amp; Seafood</v>
      </c>
      <c r="E597" t="s">
        <v>26</v>
      </c>
      <c r="F597" s="2">
        <v>2</v>
      </c>
      <c r="G597" s="3">
        <v>14</v>
      </c>
      <c r="H597" s="3">
        <f>grocery_chain_data[[#This Row],[Quantity]]*grocery_chain_data[[#This Row],[Unit Price]]</f>
        <v>28</v>
      </c>
      <c r="I597" s="3">
        <v>2</v>
      </c>
      <c r="J597" s="3">
        <f>grocery_chain_data[[#This Row],[Total Amount]]-grocery_chain_data[[#This Row],[Discount Amount]]</f>
        <v>26</v>
      </c>
      <c r="K597">
        <v>358</v>
      </c>
      <c r="L597" t="str">
        <f>IF(grocery_chain_data[[#This Row],[Final Amount]]&lt;0,"Return","Sale")</f>
        <v>Sale</v>
      </c>
      <c r="M597">
        <f>IF(grocery_chain_data[[#This Row],[Final Amount]]&lt;0,0,grocery_chain_data[[#This Row],[Final Amount]])</f>
        <v>26</v>
      </c>
    </row>
    <row r="598" spans="1:13" x14ac:dyDescent="0.3">
      <c r="A598">
        <v>5708</v>
      </c>
      <c r="B598" t="s">
        <v>8</v>
      </c>
      <c r="C598" s="1">
        <v>45321</v>
      </c>
      <c r="D598" s="1" t="str">
        <f t="shared" si="9"/>
        <v>Produce</v>
      </c>
      <c r="E598" t="s">
        <v>4</v>
      </c>
      <c r="F598" s="2">
        <v>5</v>
      </c>
      <c r="G598" s="3">
        <v>21</v>
      </c>
      <c r="H598" s="3">
        <f>grocery_chain_data[[#This Row],[Quantity]]*grocery_chain_data[[#This Row],[Unit Price]]</f>
        <v>105</v>
      </c>
      <c r="I598" s="3">
        <v>21</v>
      </c>
      <c r="J598" s="3">
        <f>grocery_chain_data[[#This Row],[Total Amount]]-grocery_chain_data[[#This Row],[Discount Amount]]</f>
        <v>84</v>
      </c>
      <c r="K598">
        <v>361</v>
      </c>
      <c r="L598" t="str">
        <f>IF(grocery_chain_data[[#This Row],[Final Amount]]&lt;0,"Return","Sale")</f>
        <v>Sale</v>
      </c>
      <c r="M598">
        <f>IF(grocery_chain_data[[#This Row],[Final Amount]]&lt;0,0,grocery_chain_data[[#This Row],[Final Amount]])</f>
        <v>84</v>
      </c>
    </row>
    <row r="599" spans="1:13" x14ac:dyDescent="0.3">
      <c r="A599">
        <v>2480</v>
      </c>
      <c r="B599" t="s">
        <v>8</v>
      </c>
      <c r="C599" s="1">
        <v>45482</v>
      </c>
      <c r="D599" s="1" t="str">
        <f t="shared" si="9"/>
        <v>Produce</v>
      </c>
      <c r="E599" t="s">
        <v>18</v>
      </c>
      <c r="F599" s="2">
        <v>1</v>
      </c>
      <c r="G599" s="3">
        <v>25</v>
      </c>
      <c r="H599" s="3">
        <f>grocery_chain_data[[#This Row],[Quantity]]*grocery_chain_data[[#This Row],[Unit Price]]</f>
        <v>25</v>
      </c>
      <c r="I599" s="3">
        <v>1</v>
      </c>
      <c r="J599" s="3">
        <f>grocery_chain_data[[#This Row],[Total Amount]]-grocery_chain_data[[#This Row],[Discount Amount]]</f>
        <v>24</v>
      </c>
      <c r="K599">
        <v>241</v>
      </c>
      <c r="L599" t="str">
        <f>IF(grocery_chain_data[[#This Row],[Final Amount]]&lt;0,"Return","Sale")</f>
        <v>Sale</v>
      </c>
      <c r="M599">
        <f>IF(grocery_chain_data[[#This Row],[Final Amount]]&lt;0,0,grocery_chain_data[[#This Row],[Final Amount]])</f>
        <v>24</v>
      </c>
    </row>
    <row r="600" spans="1:13" x14ac:dyDescent="0.3">
      <c r="A600">
        <v>2612</v>
      </c>
      <c r="B600" t="s">
        <v>21</v>
      </c>
      <c r="C600" s="1">
        <v>45735</v>
      </c>
      <c r="D600" s="1" t="str">
        <f t="shared" si="9"/>
        <v>Bakery</v>
      </c>
      <c r="E600" t="s">
        <v>22</v>
      </c>
      <c r="F600" s="2">
        <v>5</v>
      </c>
      <c r="G600" s="3">
        <v>2</v>
      </c>
      <c r="H600" s="3">
        <f>grocery_chain_data[[#This Row],[Quantity]]*grocery_chain_data[[#This Row],[Unit Price]]</f>
        <v>10</v>
      </c>
      <c r="I600" s="3">
        <v>4</v>
      </c>
      <c r="J600" s="3">
        <f>grocery_chain_data[[#This Row],[Total Amount]]-grocery_chain_data[[#This Row],[Discount Amount]]</f>
        <v>6</v>
      </c>
      <c r="K600">
        <v>196</v>
      </c>
      <c r="L600" t="str">
        <f>IF(grocery_chain_data[[#This Row],[Final Amount]]&lt;0,"Return","Sale")</f>
        <v>Sale</v>
      </c>
      <c r="M600">
        <f>IF(grocery_chain_data[[#This Row],[Final Amount]]&lt;0,0,grocery_chain_data[[#This Row],[Final Amount]])</f>
        <v>6</v>
      </c>
    </row>
    <row r="601" spans="1:13" x14ac:dyDescent="0.3">
      <c r="A601">
        <v>2646</v>
      </c>
      <c r="B601" t="s">
        <v>12</v>
      </c>
      <c r="C601" s="1">
        <v>45489</v>
      </c>
      <c r="D601" s="1" t="str">
        <f t="shared" si="9"/>
        <v>Dairy</v>
      </c>
      <c r="E601" t="s">
        <v>19</v>
      </c>
      <c r="F601" s="2">
        <v>2</v>
      </c>
      <c r="G601" s="3">
        <v>20</v>
      </c>
      <c r="H601" s="3">
        <f>grocery_chain_data[[#This Row],[Quantity]]*grocery_chain_data[[#This Row],[Unit Price]]</f>
        <v>40</v>
      </c>
      <c r="I601" s="3">
        <v>8</v>
      </c>
      <c r="J601" s="3">
        <f>grocery_chain_data[[#This Row],[Total Amount]]-grocery_chain_data[[#This Row],[Discount Amount]]</f>
        <v>32</v>
      </c>
      <c r="K601">
        <v>224</v>
      </c>
      <c r="L601" t="str">
        <f>IF(grocery_chain_data[[#This Row],[Final Amount]]&lt;0,"Return","Sale")</f>
        <v>Sale</v>
      </c>
      <c r="M601">
        <f>IF(grocery_chain_data[[#This Row],[Final Amount]]&lt;0,0,grocery_chain_data[[#This Row],[Final Amount]])</f>
        <v>32</v>
      </c>
    </row>
    <row r="602" spans="1:13" x14ac:dyDescent="0.3">
      <c r="A602">
        <v>3725</v>
      </c>
      <c r="B602" t="s">
        <v>2</v>
      </c>
      <c r="C602" s="1">
        <v>45684</v>
      </c>
      <c r="D602" s="1" t="str">
        <f t="shared" si="9"/>
        <v>Dairy</v>
      </c>
      <c r="E602" t="s">
        <v>23</v>
      </c>
      <c r="F602" s="2">
        <v>1</v>
      </c>
      <c r="G602" s="3">
        <v>24</v>
      </c>
      <c r="H602" s="3">
        <f>grocery_chain_data[[#This Row],[Quantity]]*grocery_chain_data[[#This Row],[Unit Price]]</f>
        <v>24</v>
      </c>
      <c r="I602" s="3">
        <v>2</v>
      </c>
      <c r="J602" s="3">
        <f>grocery_chain_data[[#This Row],[Total Amount]]-grocery_chain_data[[#This Row],[Discount Amount]]</f>
        <v>22</v>
      </c>
      <c r="K602">
        <v>261</v>
      </c>
      <c r="L602" t="str">
        <f>IF(grocery_chain_data[[#This Row],[Final Amount]]&lt;0,"Return","Sale")</f>
        <v>Sale</v>
      </c>
      <c r="M602">
        <f>IF(grocery_chain_data[[#This Row],[Final Amount]]&lt;0,0,grocery_chain_data[[#This Row],[Final Amount]])</f>
        <v>22</v>
      </c>
    </row>
    <row r="603" spans="1:13" x14ac:dyDescent="0.3">
      <c r="A603">
        <v>5906</v>
      </c>
      <c r="B603" t="s">
        <v>13</v>
      </c>
      <c r="C603" s="1">
        <v>45846</v>
      </c>
      <c r="D603" s="1" t="str">
        <f t="shared" si="9"/>
        <v>Meat &amp; Seafood</v>
      </c>
      <c r="E603" t="s">
        <v>9</v>
      </c>
      <c r="F603" s="2">
        <v>1</v>
      </c>
      <c r="G603" s="3">
        <v>29</v>
      </c>
      <c r="H603" s="3">
        <f>grocery_chain_data[[#This Row],[Quantity]]*grocery_chain_data[[#This Row],[Unit Price]]</f>
        <v>29</v>
      </c>
      <c r="I603" s="3">
        <v>3</v>
      </c>
      <c r="J603" s="3">
        <f>grocery_chain_data[[#This Row],[Total Amount]]-grocery_chain_data[[#This Row],[Discount Amount]]</f>
        <v>26</v>
      </c>
      <c r="K603">
        <v>44</v>
      </c>
      <c r="L603" t="str">
        <f>IF(grocery_chain_data[[#This Row],[Final Amount]]&lt;0,"Return","Sale")</f>
        <v>Sale</v>
      </c>
      <c r="M603">
        <f>IF(grocery_chain_data[[#This Row],[Final Amount]]&lt;0,0,grocery_chain_data[[#This Row],[Final Amount]])</f>
        <v>26</v>
      </c>
    </row>
    <row r="604" spans="1:13" x14ac:dyDescent="0.3">
      <c r="A604">
        <v>1474</v>
      </c>
      <c r="B604" t="s">
        <v>16</v>
      </c>
      <c r="C604" s="1">
        <v>45180</v>
      </c>
      <c r="D604" s="1" t="str">
        <f t="shared" si="9"/>
        <v>Produce</v>
      </c>
      <c r="E604" t="s">
        <v>14</v>
      </c>
      <c r="F604" s="2">
        <v>4</v>
      </c>
      <c r="G604" s="3">
        <v>18</v>
      </c>
      <c r="H604" s="3">
        <f>grocery_chain_data[[#This Row],[Quantity]]*grocery_chain_data[[#This Row],[Unit Price]]</f>
        <v>72</v>
      </c>
      <c r="I604" s="3">
        <v>0</v>
      </c>
      <c r="J604" s="3">
        <f>grocery_chain_data[[#This Row],[Total Amount]]-grocery_chain_data[[#This Row],[Discount Amount]]</f>
        <v>72</v>
      </c>
      <c r="K604">
        <v>265</v>
      </c>
      <c r="L604" t="str">
        <f>IF(grocery_chain_data[[#This Row],[Final Amount]]&lt;0,"Return","Sale")</f>
        <v>Sale</v>
      </c>
      <c r="M604">
        <f>IF(grocery_chain_data[[#This Row],[Final Amount]]&lt;0,0,grocery_chain_data[[#This Row],[Final Amount]])</f>
        <v>72</v>
      </c>
    </row>
    <row r="605" spans="1:13" x14ac:dyDescent="0.3">
      <c r="A605">
        <v>6314</v>
      </c>
      <c r="B605" t="s">
        <v>0</v>
      </c>
      <c r="C605" s="1">
        <v>45763</v>
      </c>
      <c r="D605" s="1" t="str">
        <f t="shared" si="9"/>
        <v>Produce</v>
      </c>
      <c r="E605" t="s">
        <v>4</v>
      </c>
      <c r="F605" s="2">
        <v>3</v>
      </c>
      <c r="G605" s="3">
        <v>22</v>
      </c>
      <c r="H605" s="3">
        <f>grocery_chain_data[[#This Row],[Quantity]]*grocery_chain_data[[#This Row],[Unit Price]]</f>
        <v>66</v>
      </c>
      <c r="I605" s="3">
        <v>10</v>
      </c>
      <c r="J605" s="3">
        <f>grocery_chain_data[[#This Row],[Total Amount]]-grocery_chain_data[[#This Row],[Discount Amount]]</f>
        <v>56</v>
      </c>
      <c r="K605">
        <v>286</v>
      </c>
      <c r="L605" t="str">
        <f>IF(grocery_chain_data[[#This Row],[Final Amount]]&lt;0,"Return","Sale")</f>
        <v>Sale</v>
      </c>
      <c r="M605">
        <f>IF(grocery_chain_data[[#This Row],[Final Amount]]&lt;0,0,grocery_chain_data[[#This Row],[Final Amount]])</f>
        <v>56</v>
      </c>
    </row>
    <row r="606" spans="1:13" x14ac:dyDescent="0.3">
      <c r="A606">
        <v>1919</v>
      </c>
      <c r="B606" t="s">
        <v>27</v>
      </c>
      <c r="C606" s="1">
        <v>45372</v>
      </c>
      <c r="D606" s="1" t="str">
        <f t="shared" si="9"/>
        <v>Dairy</v>
      </c>
      <c r="E606" t="s">
        <v>23</v>
      </c>
      <c r="F606" s="2">
        <v>4</v>
      </c>
      <c r="G606" s="3">
        <v>28</v>
      </c>
      <c r="H606" s="3">
        <f>grocery_chain_data[[#This Row],[Quantity]]*grocery_chain_data[[#This Row],[Unit Price]]</f>
        <v>112</v>
      </c>
      <c r="I606" s="3">
        <v>17</v>
      </c>
      <c r="J606" s="3">
        <f>grocery_chain_data[[#This Row],[Total Amount]]-grocery_chain_data[[#This Row],[Discount Amount]]</f>
        <v>95</v>
      </c>
      <c r="K606">
        <v>294</v>
      </c>
      <c r="L606" t="str">
        <f>IF(grocery_chain_data[[#This Row],[Final Amount]]&lt;0,"Return","Sale")</f>
        <v>Sale</v>
      </c>
      <c r="M606">
        <f>IF(grocery_chain_data[[#This Row],[Final Amount]]&lt;0,0,grocery_chain_data[[#This Row],[Final Amount]])</f>
        <v>95</v>
      </c>
    </row>
    <row r="607" spans="1:13" x14ac:dyDescent="0.3">
      <c r="A607">
        <v>6873</v>
      </c>
      <c r="B607" t="s">
        <v>5</v>
      </c>
      <c r="C607" s="1">
        <v>45436</v>
      </c>
      <c r="D607" s="1" t="str">
        <f t="shared" si="9"/>
        <v>Produce</v>
      </c>
      <c r="E607" t="s">
        <v>24</v>
      </c>
      <c r="F607" s="2">
        <v>1</v>
      </c>
      <c r="G607" s="3">
        <v>17</v>
      </c>
      <c r="H607" s="3">
        <f>grocery_chain_data[[#This Row],[Quantity]]*grocery_chain_data[[#This Row],[Unit Price]]</f>
        <v>17</v>
      </c>
      <c r="I607" s="3">
        <v>3</v>
      </c>
      <c r="J607" s="3">
        <f>grocery_chain_data[[#This Row],[Total Amount]]-grocery_chain_data[[#This Row],[Discount Amount]]</f>
        <v>14</v>
      </c>
      <c r="K607">
        <v>257</v>
      </c>
      <c r="L607" t="str">
        <f>IF(grocery_chain_data[[#This Row],[Final Amount]]&lt;0,"Return","Sale")</f>
        <v>Sale</v>
      </c>
      <c r="M607">
        <f>IF(grocery_chain_data[[#This Row],[Final Amount]]&lt;0,0,grocery_chain_data[[#This Row],[Final Amount]])</f>
        <v>14</v>
      </c>
    </row>
    <row r="608" spans="1:13" x14ac:dyDescent="0.3">
      <c r="A608">
        <v>8056</v>
      </c>
      <c r="B608" t="s">
        <v>0</v>
      </c>
      <c r="C608" s="1">
        <v>45258</v>
      </c>
      <c r="D608" s="1" t="str">
        <f t="shared" si="9"/>
        <v>Pantry</v>
      </c>
      <c r="E608" t="s">
        <v>1</v>
      </c>
      <c r="F608" s="2">
        <v>5</v>
      </c>
      <c r="G608" s="3">
        <v>25</v>
      </c>
      <c r="H608" s="3">
        <f>grocery_chain_data[[#This Row],[Quantity]]*grocery_chain_data[[#This Row],[Unit Price]]</f>
        <v>125</v>
      </c>
      <c r="I608" s="3">
        <v>0</v>
      </c>
      <c r="J608" s="3">
        <f>grocery_chain_data[[#This Row],[Total Amount]]-grocery_chain_data[[#This Row],[Discount Amount]]</f>
        <v>125</v>
      </c>
      <c r="K608">
        <v>294</v>
      </c>
      <c r="L608" t="str">
        <f>IF(grocery_chain_data[[#This Row],[Final Amount]]&lt;0,"Return","Sale")</f>
        <v>Sale</v>
      </c>
      <c r="M608">
        <f>IF(grocery_chain_data[[#This Row],[Final Amount]]&lt;0,0,grocery_chain_data[[#This Row],[Final Amount]])</f>
        <v>125</v>
      </c>
    </row>
    <row r="609" spans="1:13" x14ac:dyDescent="0.3">
      <c r="A609">
        <v>5000</v>
      </c>
      <c r="B609" t="s">
        <v>10</v>
      </c>
      <c r="C609" s="1">
        <v>45557</v>
      </c>
      <c r="D609" s="1" t="str">
        <f t="shared" si="9"/>
        <v>Produce</v>
      </c>
      <c r="E609" t="s">
        <v>25</v>
      </c>
      <c r="F609" s="2">
        <v>2</v>
      </c>
      <c r="G609" s="3">
        <v>23</v>
      </c>
      <c r="H609" s="3">
        <f>grocery_chain_data[[#This Row],[Quantity]]*grocery_chain_data[[#This Row],[Unit Price]]</f>
        <v>46</v>
      </c>
      <c r="I609" s="3">
        <v>0</v>
      </c>
      <c r="J609" s="3">
        <f>grocery_chain_data[[#This Row],[Total Amount]]-grocery_chain_data[[#This Row],[Discount Amount]]</f>
        <v>46</v>
      </c>
      <c r="K609">
        <v>492</v>
      </c>
      <c r="L609" t="str">
        <f>IF(grocery_chain_data[[#This Row],[Final Amount]]&lt;0,"Return","Sale")</f>
        <v>Sale</v>
      </c>
      <c r="M609">
        <f>IF(grocery_chain_data[[#This Row],[Final Amount]]&lt;0,0,grocery_chain_data[[#This Row],[Final Amount]])</f>
        <v>46</v>
      </c>
    </row>
    <row r="610" spans="1:13" x14ac:dyDescent="0.3">
      <c r="A610">
        <v>7751</v>
      </c>
      <c r="B610" t="s">
        <v>10</v>
      </c>
      <c r="C610" s="1">
        <v>45584</v>
      </c>
      <c r="D610" s="1" t="str">
        <f t="shared" si="9"/>
        <v>Produce</v>
      </c>
      <c r="E610" t="s">
        <v>18</v>
      </c>
      <c r="F610" s="2">
        <v>4</v>
      </c>
      <c r="G610" s="3">
        <v>4</v>
      </c>
      <c r="H610" s="3">
        <f>grocery_chain_data[[#This Row],[Quantity]]*grocery_chain_data[[#This Row],[Unit Price]]</f>
        <v>16</v>
      </c>
      <c r="I610" s="3">
        <v>0</v>
      </c>
      <c r="J610" s="3">
        <f>grocery_chain_data[[#This Row],[Total Amount]]-grocery_chain_data[[#This Row],[Discount Amount]]</f>
        <v>16</v>
      </c>
      <c r="K610">
        <v>34</v>
      </c>
      <c r="L610" t="str">
        <f>IF(grocery_chain_data[[#This Row],[Final Amount]]&lt;0,"Return","Sale")</f>
        <v>Sale</v>
      </c>
      <c r="M610">
        <f>IF(grocery_chain_data[[#This Row],[Final Amount]]&lt;0,0,grocery_chain_data[[#This Row],[Final Amount]])</f>
        <v>16</v>
      </c>
    </row>
    <row r="611" spans="1:13" x14ac:dyDescent="0.3">
      <c r="A611">
        <v>3950</v>
      </c>
      <c r="B611" t="s">
        <v>21</v>
      </c>
      <c r="C611" s="1">
        <v>45277</v>
      </c>
      <c r="D611" s="1" t="str">
        <f t="shared" si="9"/>
        <v>Meat &amp; Seafood</v>
      </c>
      <c r="E611" t="s">
        <v>9</v>
      </c>
      <c r="F611" s="2">
        <v>3</v>
      </c>
      <c r="G611" s="3">
        <v>13</v>
      </c>
      <c r="H611" s="3">
        <f>grocery_chain_data[[#This Row],[Quantity]]*grocery_chain_data[[#This Row],[Unit Price]]</f>
        <v>39</v>
      </c>
      <c r="I611" s="3">
        <v>0</v>
      </c>
      <c r="J611" s="3">
        <f>grocery_chain_data[[#This Row],[Total Amount]]-grocery_chain_data[[#This Row],[Discount Amount]]</f>
        <v>39</v>
      </c>
      <c r="K611">
        <v>180</v>
      </c>
      <c r="L611" t="str">
        <f>IF(grocery_chain_data[[#This Row],[Final Amount]]&lt;0,"Return","Sale")</f>
        <v>Sale</v>
      </c>
      <c r="M611">
        <f>IF(grocery_chain_data[[#This Row],[Final Amount]]&lt;0,0,grocery_chain_data[[#This Row],[Final Amount]])</f>
        <v>39</v>
      </c>
    </row>
    <row r="612" spans="1:13" x14ac:dyDescent="0.3">
      <c r="A612">
        <v>3868</v>
      </c>
      <c r="B612" t="s">
        <v>12</v>
      </c>
      <c r="C612" s="1">
        <v>45206</v>
      </c>
      <c r="D612" s="1" t="str">
        <f t="shared" si="9"/>
        <v>Produce</v>
      </c>
      <c r="E612" t="s">
        <v>17</v>
      </c>
      <c r="F612" s="2">
        <v>1</v>
      </c>
      <c r="G612" s="3">
        <v>13</v>
      </c>
      <c r="H612" s="3">
        <f>grocery_chain_data[[#This Row],[Quantity]]*grocery_chain_data[[#This Row],[Unit Price]]</f>
        <v>13</v>
      </c>
      <c r="I612" s="3">
        <v>3</v>
      </c>
      <c r="J612" s="3">
        <f>grocery_chain_data[[#This Row],[Total Amount]]-grocery_chain_data[[#This Row],[Discount Amount]]</f>
        <v>10</v>
      </c>
      <c r="K612">
        <v>383</v>
      </c>
      <c r="L612" t="str">
        <f>IF(grocery_chain_data[[#This Row],[Final Amount]]&lt;0,"Return","Sale")</f>
        <v>Sale</v>
      </c>
      <c r="M612">
        <f>IF(grocery_chain_data[[#This Row],[Final Amount]]&lt;0,0,grocery_chain_data[[#This Row],[Final Amount]])</f>
        <v>10</v>
      </c>
    </row>
    <row r="613" spans="1:13" x14ac:dyDescent="0.3">
      <c r="A613">
        <v>7267</v>
      </c>
      <c r="B613" t="s">
        <v>5</v>
      </c>
      <c r="C613" s="1">
        <v>45626</v>
      </c>
      <c r="D613" s="1" t="str">
        <f t="shared" si="9"/>
        <v>Pantry</v>
      </c>
      <c r="E613" t="s">
        <v>6</v>
      </c>
      <c r="F613" s="2">
        <v>3</v>
      </c>
      <c r="G613" s="3">
        <v>7</v>
      </c>
      <c r="H613" s="3">
        <f>grocery_chain_data[[#This Row],[Quantity]]*grocery_chain_data[[#This Row],[Unit Price]]</f>
        <v>21</v>
      </c>
      <c r="I613" s="3">
        <v>4</v>
      </c>
      <c r="J613" s="3">
        <f>grocery_chain_data[[#This Row],[Total Amount]]-grocery_chain_data[[#This Row],[Discount Amount]]</f>
        <v>17</v>
      </c>
      <c r="K613">
        <v>293</v>
      </c>
      <c r="L613" t="str">
        <f>IF(grocery_chain_data[[#This Row],[Final Amount]]&lt;0,"Return","Sale")</f>
        <v>Sale</v>
      </c>
      <c r="M613">
        <f>IF(grocery_chain_data[[#This Row],[Final Amount]]&lt;0,0,grocery_chain_data[[#This Row],[Final Amount]])</f>
        <v>17</v>
      </c>
    </row>
    <row r="614" spans="1:13" x14ac:dyDescent="0.3">
      <c r="A614">
        <v>4945</v>
      </c>
      <c r="B614" t="s">
        <v>21</v>
      </c>
      <c r="C614" s="1">
        <v>45531</v>
      </c>
      <c r="D614" s="1" t="str">
        <f t="shared" si="9"/>
        <v>Dairy</v>
      </c>
      <c r="E614" t="s">
        <v>23</v>
      </c>
      <c r="F614" s="2">
        <v>2</v>
      </c>
      <c r="G614" s="3">
        <v>22</v>
      </c>
      <c r="H614" s="3">
        <f>grocery_chain_data[[#This Row],[Quantity]]*grocery_chain_data[[#This Row],[Unit Price]]</f>
        <v>44</v>
      </c>
      <c r="I614" s="3">
        <v>9</v>
      </c>
      <c r="J614" s="3">
        <f>grocery_chain_data[[#This Row],[Total Amount]]-grocery_chain_data[[#This Row],[Discount Amount]]</f>
        <v>35</v>
      </c>
      <c r="K614">
        <v>446</v>
      </c>
      <c r="L614" t="str">
        <f>IF(grocery_chain_data[[#This Row],[Final Amount]]&lt;0,"Return","Sale")</f>
        <v>Sale</v>
      </c>
      <c r="M614">
        <f>IF(grocery_chain_data[[#This Row],[Final Amount]]&lt;0,0,grocery_chain_data[[#This Row],[Final Amount]])</f>
        <v>35</v>
      </c>
    </row>
    <row r="615" spans="1:13" x14ac:dyDescent="0.3">
      <c r="A615">
        <v>3344</v>
      </c>
      <c r="B615" t="s">
        <v>21</v>
      </c>
      <c r="C615" s="1">
        <v>45325</v>
      </c>
      <c r="D615" s="1" t="str">
        <f t="shared" si="9"/>
        <v>Meat &amp; Seafood</v>
      </c>
      <c r="E615" t="s">
        <v>9</v>
      </c>
      <c r="F615" s="2">
        <v>5</v>
      </c>
      <c r="G615" s="3">
        <v>11</v>
      </c>
      <c r="H615" s="3">
        <f>grocery_chain_data[[#This Row],[Quantity]]*grocery_chain_data[[#This Row],[Unit Price]]</f>
        <v>55</v>
      </c>
      <c r="I615" s="3">
        <v>5</v>
      </c>
      <c r="J615" s="3">
        <f>grocery_chain_data[[#This Row],[Total Amount]]-grocery_chain_data[[#This Row],[Discount Amount]]</f>
        <v>50</v>
      </c>
      <c r="K615">
        <v>398</v>
      </c>
      <c r="L615" t="str">
        <f>IF(grocery_chain_data[[#This Row],[Final Amount]]&lt;0,"Return","Sale")</f>
        <v>Sale</v>
      </c>
      <c r="M615">
        <f>IF(grocery_chain_data[[#This Row],[Final Amount]]&lt;0,0,grocery_chain_data[[#This Row],[Final Amount]])</f>
        <v>50</v>
      </c>
    </row>
    <row r="616" spans="1:13" x14ac:dyDescent="0.3">
      <c r="A616">
        <v>8555</v>
      </c>
      <c r="B616" t="s">
        <v>10</v>
      </c>
      <c r="C616" s="1">
        <v>45640</v>
      </c>
      <c r="D616" s="1" t="str">
        <f t="shared" si="9"/>
        <v>Produce</v>
      </c>
      <c r="E616" t="s">
        <v>18</v>
      </c>
      <c r="F616" s="2">
        <v>5</v>
      </c>
      <c r="G616" s="3">
        <v>29</v>
      </c>
      <c r="H616" s="3">
        <f>grocery_chain_data[[#This Row],[Quantity]]*grocery_chain_data[[#This Row],[Unit Price]]</f>
        <v>145</v>
      </c>
      <c r="I616" s="3">
        <v>22</v>
      </c>
      <c r="J616" s="3">
        <f>grocery_chain_data[[#This Row],[Total Amount]]-grocery_chain_data[[#This Row],[Discount Amount]]</f>
        <v>123</v>
      </c>
      <c r="K616">
        <v>434</v>
      </c>
      <c r="L616" t="str">
        <f>IF(grocery_chain_data[[#This Row],[Final Amount]]&lt;0,"Return","Sale")</f>
        <v>Sale</v>
      </c>
      <c r="M616">
        <f>IF(grocery_chain_data[[#This Row],[Final Amount]]&lt;0,0,grocery_chain_data[[#This Row],[Final Amount]])</f>
        <v>123</v>
      </c>
    </row>
    <row r="617" spans="1:13" x14ac:dyDescent="0.3">
      <c r="A617">
        <v>5161</v>
      </c>
      <c r="B617" t="s">
        <v>16</v>
      </c>
      <c r="C617" s="1">
        <v>45501</v>
      </c>
      <c r="D617" s="1" t="str">
        <f t="shared" si="9"/>
        <v>Pantry</v>
      </c>
      <c r="E617" t="s">
        <v>1</v>
      </c>
      <c r="F617" s="2">
        <v>4</v>
      </c>
      <c r="G617" s="3">
        <v>6</v>
      </c>
      <c r="H617" s="3">
        <f>grocery_chain_data[[#This Row],[Quantity]]*grocery_chain_data[[#This Row],[Unit Price]]</f>
        <v>24</v>
      </c>
      <c r="I617" s="3">
        <v>3</v>
      </c>
      <c r="J617" s="3">
        <f>grocery_chain_data[[#This Row],[Total Amount]]-grocery_chain_data[[#This Row],[Discount Amount]]</f>
        <v>21</v>
      </c>
      <c r="K617">
        <v>391</v>
      </c>
      <c r="L617" t="str">
        <f>IF(grocery_chain_data[[#This Row],[Final Amount]]&lt;0,"Return","Sale")</f>
        <v>Sale</v>
      </c>
      <c r="M617">
        <f>IF(grocery_chain_data[[#This Row],[Final Amount]]&lt;0,0,grocery_chain_data[[#This Row],[Final Amount]])</f>
        <v>21</v>
      </c>
    </row>
    <row r="618" spans="1:13" x14ac:dyDescent="0.3">
      <c r="A618">
        <v>5183</v>
      </c>
      <c r="B618" t="s">
        <v>21</v>
      </c>
      <c r="C618" s="1">
        <v>45662</v>
      </c>
      <c r="D618" s="1" t="str">
        <f t="shared" si="9"/>
        <v>Dairy</v>
      </c>
      <c r="E618" t="s">
        <v>20</v>
      </c>
      <c r="F618" s="2">
        <v>1</v>
      </c>
      <c r="G618" s="3">
        <v>16</v>
      </c>
      <c r="H618" s="3">
        <f>grocery_chain_data[[#This Row],[Quantity]]*grocery_chain_data[[#This Row],[Unit Price]]</f>
        <v>16</v>
      </c>
      <c r="I618" s="3">
        <v>1</v>
      </c>
      <c r="J618" s="3">
        <f>grocery_chain_data[[#This Row],[Total Amount]]-grocery_chain_data[[#This Row],[Discount Amount]]</f>
        <v>15</v>
      </c>
      <c r="K618">
        <v>216</v>
      </c>
      <c r="L618" t="str">
        <f>IF(grocery_chain_data[[#This Row],[Final Amount]]&lt;0,"Return","Sale")</f>
        <v>Sale</v>
      </c>
      <c r="M618">
        <f>IF(grocery_chain_data[[#This Row],[Final Amount]]&lt;0,0,grocery_chain_data[[#This Row],[Final Amount]])</f>
        <v>15</v>
      </c>
    </row>
    <row r="619" spans="1:13" x14ac:dyDescent="0.3">
      <c r="A619">
        <v>1153</v>
      </c>
      <c r="B619" t="s">
        <v>16</v>
      </c>
      <c r="C619" s="1">
        <v>45843</v>
      </c>
      <c r="D619" s="1" t="str">
        <f t="shared" si="9"/>
        <v>Produce</v>
      </c>
      <c r="E619" t="s">
        <v>11</v>
      </c>
      <c r="F619" s="2">
        <v>4</v>
      </c>
      <c r="G619" s="3">
        <v>29</v>
      </c>
      <c r="H619" s="3">
        <f>grocery_chain_data[[#This Row],[Quantity]]*grocery_chain_data[[#This Row],[Unit Price]]</f>
        <v>116</v>
      </c>
      <c r="I619" s="3">
        <v>18</v>
      </c>
      <c r="J619" s="3">
        <f>grocery_chain_data[[#This Row],[Total Amount]]-grocery_chain_data[[#This Row],[Discount Amount]]</f>
        <v>98</v>
      </c>
      <c r="K619">
        <v>357</v>
      </c>
      <c r="L619" t="str">
        <f>IF(grocery_chain_data[[#This Row],[Final Amount]]&lt;0,"Return","Sale")</f>
        <v>Sale</v>
      </c>
      <c r="M619">
        <f>IF(grocery_chain_data[[#This Row],[Final Amount]]&lt;0,0,grocery_chain_data[[#This Row],[Final Amount]])</f>
        <v>98</v>
      </c>
    </row>
    <row r="620" spans="1:13" x14ac:dyDescent="0.3">
      <c r="A620">
        <v>8622</v>
      </c>
      <c r="B620" t="s">
        <v>13</v>
      </c>
      <c r="C620" s="1">
        <v>45844</v>
      </c>
      <c r="D620" s="1" t="str">
        <f t="shared" si="9"/>
        <v>Dairy</v>
      </c>
      <c r="E620" t="s">
        <v>23</v>
      </c>
      <c r="F620" s="2">
        <v>4</v>
      </c>
      <c r="G620" s="3">
        <v>18</v>
      </c>
      <c r="H620" s="3">
        <f>grocery_chain_data[[#This Row],[Quantity]]*grocery_chain_data[[#This Row],[Unit Price]]</f>
        <v>72</v>
      </c>
      <c r="I620" s="3">
        <v>4</v>
      </c>
      <c r="J620" s="3">
        <f>grocery_chain_data[[#This Row],[Total Amount]]-grocery_chain_data[[#This Row],[Discount Amount]]</f>
        <v>68</v>
      </c>
      <c r="K620">
        <v>166</v>
      </c>
      <c r="L620" t="str">
        <f>IF(grocery_chain_data[[#This Row],[Final Amount]]&lt;0,"Return","Sale")</f>
        <v>Sale</v>
      </c>
      <c r="M620">
        <f>IF(grocery_chain_data[[#This Row],[Final Amount]]&lt;0,0,grocery_chain_data[[#This Row],[Final Amount]])</f>
        <v>68</v>
      </c>
    </row>
    <row r="621" spans="1:13" x14ac:dyDescent="0.3">
      <c r="A621">
        <v>5712</v>
      </c>
      <c r="B621" t="s">
        <v>5</v>
      </c>
      <c r="C621" s="1">
        <v>45671</v>
      </c>
      <c r="D621" s="1" t="str">
        <f t="shared" si="9"/>
        <v>Pantry</v>
      </c>
      <c r="E621" t="s">
        <v>1</v>
      </c>
      <c r="F621" s="2">
        <v>2</v>
      </c>
      <c r="G621" s="3">
        <v>9</v>
      </c>
      <c r="H621" s="3">
        <f>grocery_chain_data[[#This Row],[Quantity]]*grocery_chain_data[[#This Row],[Unit Price]]</f>
        <v>18</v>
      </c>
      <c r="I621" s="3">
        <v>3</v>
      </c>
      <c r="J621" s="3">
        <f>grocery_chain_data[[#This Row],[Total Amount]]-grocery_chain_data[[#This Row],[Discount Amount]]</f>
        <v>15</v>
      </c>
      <c r="K621">
        <v>490</v>
      </c>
      <c r="L621" t="str">
        <f>IF(grocery_chain_data[[#This Row],[Final Amount]]&lt;0,"Return","Sale")</f>
        <v>Sale</v>
      </c>
      <c r="M621">
        <f>IF(grocery_chain_data[[#This Row],[Final Amount]]&lt;0,0,grocery_chain_data[[#This Row],[Final Amount]])</f>
        <v>15</v>
      </c>
    </row>
    <row r="622" spans="1:13" x14ac:dyDescent="0.3">
      <c r="A622">
        <v>9955</v>
      </c>
      <c r="B622" t="s">
        <v>5</v>
      </c>
      <c r="C622" s="1">
        <v>45267</v>
      </c>
      <c r="D622" s="1" t="str">
        <f t="shared" si="9"/>
        <v>Dairy</v>
      </c>
      <c r="E622" t="s">
        <v>3</v>
      </c>
      <c r="F622" s="2">
        <v>2</v>
      </c>
      <c r="G622" s="3">
        <v>13</v>
      </c>
      <c r="H622" s="3">
        <f>grocery_chain_data[[#This Row],[Quantity]]*grocery_chain_data[[#This Row],[Unit Price]]</f>
        <v>26</v>
      </c>
      <c r="I622" s="3">
        <v>4</v>
      </c>
      <c r="J622" s="3">
        <f>grocery_chain_data[[#This Row],[Total Amount]]-grocery_chain_data[[#This Row],[Discount Amount]]</f>
        <v>22</v>
      </c>
      <c r="K622">
        <v>385</v>
      </c>
      <c r="L622" t="str">
        <f>IF(grocery_chain_data[[#This Row],[Final Amount]]&lt;0,"Return","Sale")</f>
        <v>Sale</v>
      </c>
      <c r="M622">
        <f>IF(grocery_chain_data[[#This Row],[Final Amount]]&lt;0,0,grocery_chain_data[[#This Row],[Final Amount]])</f>
        <v>22</v>
      </c>
    </row>
    <row r="623" spans="1:13" x14ac:dyDescent="0.3">
      <c r="A623">
        <v>2210</v>
      </c>
      <c r="B623" t="s">
        <v>8</v>
      </c>
      <c r="C623" s="1">
        <v>45488</v>
      </c>
      <c r="D623" s="1" t="str">
        <f t="shared" si="9"/>
        <v>Meat &amp; Seafood</v>
      </c>
      <c r="E623" t="s">
        <v>15</v>
      </c>
      <c r="F623" s="2">
        <v>2</v>
      </c>
      <c r="G623" s="3">
        <v>18</v>
      </c>
      <c r="H623" s="3">
        <f>grocery_chain_data[[#This Row],[Quantity]]*grocery_chain_data[[#This Row],[Unit Price]]</f>
        <v>36</v>
      </c>
      <c r="I623" s="3">
        <v>4</v>
      </c>
      <c r="J623" s="3">
        <f>grocery_chain_data[[#This Row],[Total Amount]]-grocery_chain_data[[#This Row],[Discount Amount]]</f>
        <v>32</v>
      </c>
      <c r="K623">
        <v>294</v>
      </c>
      <c r="L623" t="str">
        <f>IF(grocery_chain_data[[#This Row],[Final Amount]]&lt;0,"Return","Sale")</f>
        <v>Sale</v>
      </c>
      <c r="M623">
        <f>IF(grocery_chain_data[[#This Row],[Final Amount]]&lt;0,0,grocery_chain_data[[#This Row],[Final Amount]])</f>
        <v>32</v>
      </c>
    </row>
    <row r="624" spans="1:13" x14ac:dyDescent="0.3">
      <c r="A624">
        <v>6661</v>
      </c>
      <c r="B624" t="s">
        <v>21</v>
      </c>
      <c r="C624" s="1">
        <v>45601</v>
      </c>
      <c r="D624" s="1" t="str">
        <f t="shared" si="9"/>
        <v>Dairy</v>
      </c>
      <c r="E624" t="s">
        <v>3</v>
      </c>
      <c r="F624" s="2">
        <v>4</v>
      </c>
      <c r="G624" s="3">
        <v>7</v>
      </c>
      <c r="H624" s="3">
        <f>grocery_chain_data[[#This Row],[Quantity]]*grocery_chain_data[[#This Row],[Unit Price]]</f>
        <v>28</v>
      </c>
      <c r="I624" s="3">
        <v>3</v>
      </c>
      <c r="J624" s="3">
        <f>grocery_chain_data[[#This Row],[Total Amount]]-grocery_chain_data[[#This Row],[Discount Amount]]</f>
        <v>25</v>
      </c>
      <c r="K624">
        <v>409</v>
      </c>
      <c r="L624" t="str">
        <f>IF(grocery_chain_data[[#This Row],[Final Amount]]&lt;0,"Return","Sale")</f>
        <v>Sale</v>
      </c>
      <c r="M624">
        <f>IF(grocery_chain_data[[#This Row],[Final Amount]]&lt;0,0,grocery_chain_data[[#This Row],[Final Amount]])</f>
        <v>25</v>
      </c>
    </row>
    <row r="625" spans="1:13" x14ac:dyDescent="0.3">
      <c r="A625">
        <v>5901</v>
      </c>
      <c r="B625" t="s">
        <v>13</v>
      </c>
      <c r="C625" s="1">
        <v>45641</v>
      </c>
      <c r="D625" s="1" t="str">
        <f t="shared" si="9"/>
        <v>Dairy</v>
      </c>
      <c r="E625" t="s">
        <v>3</v>
      </c>
      <c r="F625" s="2">
        <v>4</v>
      </c>
      <c r="G625" s="3">
        <v>5</v>
      </c>
      <c r="H625" s="3">
        <f>grocery_chain_data[[#This Row],[Quantity]]*grocery_chain_data[[#This Row],[Unit Price]]</f>
        <v>20</v>
      </c>
      <c r="I625" s="3">
        <v>2</v>
      </c>
      <c r="J625" s="3">
        <f>grocery_chain_data[[#This Row],[Total Amount]]-grocery_chain_data[[#This Row],[Discount Amount]]</f>
        <v>18</v>
      </c>
      <c r="K625">
        <v>457</v>
      </c>
      <c r="L625" t="str">
        <f>IF(grocery_chain_data[[#This Row],[Final Amount]]&lt;0,"Return","Sale")</f>
        <v>Sale</v>
      </c>
      <c r="M625">
        <f>IF(grocery_chain_data[[#This Row],[Final Amount]]&lt;0,0,grocery_chain_data[[#This Row],[Final Amount]])</f>
        <v>18</v>
      </c>
    </row>
    <row r="626" spans="1:13" x14ac:dyDescent="0.3">
      <c r="A626">
        <v>7951</v>
      </c>
      <c r="B626" t="s">
        <v>12</v>
      </c>
      <c r="C626" s="1">
        <v>45681</v>
      </c>
      <c r="D626" s="1" t="str">
        <f t="shared" si="9"/>
        <v>Produce</v>
      </c>
      <c r="E626" t="s">
        <v>4</v>
      </c>
      <c r="F626" s="2">
        <v>5</v>
      </c>
      <c r="G626" s="3">
        <v>2</v>
      </c>
      <c r="H626" s="3">
        <f>grocery_chain_data[[#This Row],[Quantity]]*grocery_chain_data[[#This Row],[Unit Price]]</f>
        <v>10</v>
      </c>
      <c r="I626" s="3">
        <v>2</v>
      </c>
      <c r="J626" s="3">
        <f>grocery_chain_data[[#This Row],[Total Amount]]-grocery_chain_data[[#This Row],[Discount Amount]]</f>
        <v>8</v>
      </c>
      <c r="K626">
        <v>50</v>
      </c>
      <c r="L626" t="str">
        <f>IF(grocery_chain_data[[#This Row],[Final Amount]]&lt;0,"Return","Sale")</f>
        <v>Sale</v>
      </c>
      <c r="M626">
        <f>IF(grocery_chain_data[[#This Row],[Final Amount]]&lt;0,0,grocery_chain_data[[#This Row],[Final Amount]])</f>
        <v>8</v>
      </c>
    </row>
    <row r="627" spans="1:13" x14ac:dyDescent="0.3">
      <c r="A627">
        <v>5097</v>
      </c>
      <c r="B627" t="s">
        <v>12</v>
      </c>
      <c r="C627" s="1">
        <v>45499</v>
      </c>
      <c r="D627" s="1" t="str">
        <f t="shared" si="9"/>
        <v>Meat &amp; Seafood</v>
      </c>
      <c r="E627" t="s">
        <v>26</v>
      </c>
      <c r="F627" s="2">
        <v>4</v>
      </c>
      <c r="G627" s="3">
        <v>23</v>
      </c>
      <c r="H627" s="3">
        <f>grocery_chain_data[[#This Row],[Quantity]]*grocery_chain_data[[#This Row],[Unit Price]]</f>
        <v>92</v>
      </c>
      <c r="I627" s="3">
        <v>14</v>
      </c>
      <c r="J627" s="3">
        <f>grocery_chain_data[[#This Row],[Total Amount]]-grocery_chain_data[[#This Row],[Discount Amount]]</f>
        <v>78</v>
      </c>
      <c r="K627">
        <v>133</v>
      </c>
      <c r="L627" t="str">
        <f>IF(grocery_chain_data[[#This Row],[Final Amount]]&lt;0,"Return","Sale")</f>
        <v>Sale</v>
      </c>
      <c r="M627">
        <f>IF(grocery_chain_data[[#This Row],[Final Amount]]&lt;0,0,grocery_chain_data[[#This Row],[Final Amount]])</f>
        <v>78</v>
      </c>
    </row>
    <row r="628" spans="1:13" x14ac:dyDescent="0.3">
      <c r="A628">
        <v>5949</v>
      </c>
      <c r="B628" t="s">
        <v>2</v>
      </c>
      <c r="C628" s="1">
        <v>45299</v>
      </c>
      <c r="D628" s="1" t="str">
        <f t="shared" si="9"/>
        <v>Pantry</v>
      </c>
      <c r="E628" t="s">
        <v>1</v>
      </c>
      <c r="F628" s="2">
        <v>3</v>
      </c>
      <c r="G628" s="3">
        <v>2</v>
      </c>
      <c r="H628" s="3">
        <f>grocery_chain_data[[#This Row],[Quantity]]*grocery_chain_data[[#This Row],[Unit Price]]</f>
        <v>6</v>
      </c>
      <c r="I628" s="3">
        <v>0</v>
      </c>
      <c r="J628" s="3">
        <f>grocery_chain_data[[#This Row],[Total Amount]]-grocery_chain_data[[#This Row],[Discount Amount]]</f>
        <v>6</v>
      </c>
      <c r="K628">
        <v>62</v>
      </c>
      <c r="L628" t="str">
        <f>IF(grocery_chain_data[[#This Row],[Final Amount]]&lt;0,"Return","Sale")</f>
        <v>Sale</v>
      </c>
      <c r="M628">
        <f>IF(grocery_chain_data[[#This Row],[Final Amount]]&lt;0,0,grocery_chain_data[[#This Row],[Final Amount]])</f>
        <v>6</v>
      </c>
    </row>
    <row r="629" spans="1:13" x14ac:dyDescent="0.3">
      <c r="A629">
        <v>7302</v>
      </c>
      <c r="B629" t="s">
        <v>21</v>
      </c>
      <c r="C629" s="1">
        <v>45807</v>
      </c>
      <c r="D629" s="1" t="str">
        <f t="shared" si="9"/>
        <v>Produce</v>
      </c>
      <c r="E629" t="s">
        <v>4</v>
      </c>
      <c r="F629" s="2">
        <v>2</v>
      </c>
      <c r="G629" s="3">
        <v>29</v>
      </c>
      <c r="H629" s="3">
        <f>grocery_chain_data[[#This Row],[Quantity]]*grocery_chain_data[[#This Row],[Unit Price]]</f>
        <v>58</v>
      </c>
      <c r="I629" s="3">
        <v>9</v>
      </c>
      <c r="J629" s="3">
        <f>grocery_chain_data[[#This Row],[Total Amount]]-grocery_chain_data[[#This Row],[Discount Amount]]</f>
        <v>49</v>
      </c>
      <c r="K629">
        <v>145</v>
      </c>
      <c r="L629" t="str">
        <f>IF(grocery_chain_data[[#This Row],[Final Amount]]&lt;0,"Return","Sale")</f>
        <v>Sale</v>
      </c>
      <c r="M629">
        <f>IF(grocery_chain_data[[#This Row],[Final Amount]]&lt;0,0,grocery_chain_data[[#This Row],[Final Amount]])</f>
        <v>49</v>
      </c>
    </row>
    <row r="630" spans="1:13" x14ac:dyDescent="0.3">
      <c r="A630">
        <v>8916</v>
      </c>
      <c r="B630" t="s">
        <v>2</v>
      </c>
      <c r="C630" s="1">
        <v>45227</v>
      </c>
      <c r="D630" s="1" t="str">
        <f t="shared" si="9"/>
        <v>Meat &amp; Seafood</v>
      </c>
      <c r="E630" t="s">
        <v>15</v>
      </c>
      <c r="F630" s="2">
        <v>1</v>
      </c>
      <c r="G630" s="3">
        <v>12</v>
      </c>
      <c r="H630" s="3">
        <f>grocery_chain_data[[#This Row],[Quantity]]*grocery_chain_data[[#This Row],[Unit Price]]</f>
        <v>12</v>
      </c>
      <c r="I630" s="3">
        <v>0</v>
      </c>
      <c r="J630" s="3">
        <f>grocery_chain_data[[#This Row],[Total Amount]]-grocery_chain_data[[#This Row],[Discount Amount]]</f>
        <v>12</v>
      </c>
      <c r="K630">
        <v>146</v>
      </c>
      <c r="L630" t="str">
        <f>IF(grocery_chain_data[[#This Row],[Final Amount]]&lt;0,"Return","Sale")</f>
        <v>Sale</v>
      </c>
      <c r="M630">
        <f>IF(grocery_chain_data[[#This Row],[Final Amount]]&lt;0,0,grocery_chain_data[[#This Row],[Final Amount]])</f>
        <v>12</v>
      </c>
    </row>
    <row r="631" spans="1:13" x14ac:dyDescent="0.3">
      <c r="A631">
        <v>4886</v>
      </c>
      <c r="B631" t="s">
        <v>5</v>
      </c>
      <c r="C631" s="1">
        <v>45441</v>
      </c>
      <c r="D631" s="1" t="str">
        <f t="shared" si="9"/>
        <v>Pantry</v>
      </c>
      <c r="E631" t="s">
        <v>6</v>
      </c>
      <c r="F631" s="2">
        <v>4</v>
      </c>
      <c r="G631" s="3">
        <v>19</v>
      </c>
      <c r="H631" s="3">
        <f>grocery_chain_data[[#This Row],[Quantity]]*grocery_chain_data[[#This Row],[Unit Price]]</f>
        <v>76</v>
      </c>
      <c r="I631" s="3">
        <v>1</v>
      </c>
      <c r="J631" s="3">
        <f>grocery_chain_data[[#This Row],[Total Amount]]-grocery_chain_data[[#This Row],[Discount Amount]]</f>
        <v>75</v>
      </c>
      <c r="K631">
        <v>292</v>
      </c>
      <c r="L631" t="str">
        <f>IF(grocery_chain_data[[#This Row],[Final Amount]]&lt;0,"Return","Sale")</f>
        <v>Sale</v>
      </c>
      <c r="M631">
        <f>IF(grocery_chain_data[[#This Row],[Final Amount]]&lt;0,0,grocery_chain_data[[#This Row],[Final Amount]])</f>
        <v>75</v>
      </c>
    </row>
    <row r="632" spans="1:13" x14ac:dyDescent="0.3">
      <c r="A632">
        <v>6881</v>
      </c>
      <c r="B632" t="s">
        <v>16</v>
      </c>
      <c r="C632" s="1">
        <v>45591</v>
      </c>
      <c r="D632" s="1" t="str">
        <f t="shared" si="9"/>
        <v>Pantry</v>
      </c>
      <c r="E632" t="s">
        <v>6</v>
      </c>
      <c r="F632" s="2">
        <v>3</v>
      </c>
      <c r="G632" s="3">
        <v>20</v>
      </c>
      <c r="H632" s="3">
        <f>grocery_chain_data[[#This Row],[Quantity]]*grocery_chain_data[[#This Row],[Unit Price]]</f>
        <v>60</v>
      </c>
      <c r="I632" s="3">
        <v>4</v>
      </c>
      <c r="J632" s="3">
        <f>grocery_chain_data[[#This Row],[Total Amount]]-grocery_chain_data[[#This Row],[Discount Amount]]</f>
        <v>56</v>
      </c>
      <c r="K632">
        <v>363</v>
      </c>
      <c r="L632" t="str">
        <f>IF(grocery_chain_data[[#This Row],[Final Amount]]&lt;0,"Return","Sale")</f>
        <v>Sale</v>
      </c>
      <c r="M632">
        <f>IF(grocery_chain_data[[#This Row],[Final Amount]]&lt;0,0,grocery_chain_data[[#This Row],[Final Amount]])</f>
        <v>56</v>
      </c>
    </row>
    <row r="633" spans="1:13" x14ac:dyDescent="0.3">
      <c r="A633">
        <v>5847</v>
      </c>
      <c r="B633" t="s">
        <v>12</v>
      </c>
      <c r="C633" s="1">
        <v>45688</v>
      </c>
      <c r="D633" s="1" t="str">
        <f t="shared" si="9"/>
        <v>Beverages</v>
      </c>
      <c r="E633" t="s">
        <v>7</v>
      </c>
      <c r="F633" s="2">
        <v>5</v>
      </c>
      <c r="G633" s="3">
        <v>16</v>
      </c>
      <c r="H633" s="3">
        <f>grocery_chain_data[[#This Row],[Quantity]]*grocery_chain_data[[#This Row],[Unit Price]]</f>
        <v>80</v>
      </c>
      <c r="I633" s="3">
        <v>16</v>
      </c>
      <c r="J633" s="3">
        <f>grocery_chain_data[[#This Row],[Total Amount]]-grocery_chain_data[[#This Row],[Discount Amount]]</f>
        <v>64</v>
      </c>
      <c r="K633">
        <v>230</v>
      </c>
      <c r="L633" t="str">
        <f>IF(grocery_chain_data[[#This Row],[Final Amount]]&lt;0,"Return","Sale")</f>
        <v>Sale</v>
      </c>
      <c r="M633">
        <f>IF(grocery_chain_data[[#This Row],[Final Amount]]&lt;0,0,grocery_chain_data[[#This Row],[Final Amount]])</f>
        <v>64</v>
      </c>
    </row>
    <row r="634" spans="1:13" x14ac:dyDescent="0.3">
      <c r="A634">
        <v>5837</v>
      </c>
      <c r="B634" t="s">
        <v>5</v>
      </c>
      <c r="C634" s="1">
        <v>45162</v>
      </c>
      <c r="D634" s="1" t="str">
        <f t="shared" si="9"/>
        <v>Dairy</v>
      </c>
      <c r="E634" t="s">
        <v>20</v>
      </c>
      <c r="F634" s="2">
        <v>2</v>
      </c>
      <c r="G634" s="3">
        <v>20</v>
      </c>
      <c r="H634" s="3">
        <f>grocery_chain_data[[#This Row],[Quantity]]*grocery_chain_data[[#This Row],[Unit Price]]</f>
        <v>40</v>
      </c>
      <c r="I634" s="3">
        <v>8</v>
      </c>
      <c r="J634" s="3">
        <f>grocery_chain_data[[#This Row],[Total Amount]]-grocery_chain_data[[#This Row],[Discount Amount]]</f>
        <v>32</v>
      </c>
      <c r="K634">
        <v>481</v>
      </c>
      <c r="L634" t="str">
        <f>IF(grocery_chain_data[[#This Row],[Final Amount]]&lt;0,"Return","Sale")</f>
        <v>Sale</v>
      </c>
      <c r="M634">
        <f>IF(grocery_chain_data[[#This Row],[Final Amount]]&lt;0,0,grocery_chain_data[[#This Row],[Final Amount]])</f>
        <v>32</v>
      </c>
    </row>
    <row r="635" spans="1:13" x14ac:dyDescent="0.3">
      <c r="A635">
        <v>7484</v>
      </c>
      <c r="B635" t="s">
        <v>5</v>
      </c>
      <c r="C635" s="1">
        <v>45358</v>
      </c>
      <c r="D635" s="1" t="str">
        <f t="shared" si="9"/>
        <v>Meat &amp; Seafood</v>
      </c>
      <c r="E635" t="s">
        <v>26</v>
      </c>
      <c r="F635" s="2">
        <v>1</v>
      </c>
      <c r="G635" s="3">
        <v>3</v>
      </c>
      <c r="H635" s="3">
        <f>grocery_chain_data[[#This Row],[Quantity]]*grocery_chain_data[[#This Row],[Unit Price]]</f>
        <v>3</v>
      </c>
      <c r="I635" s="3">
        <v>1</v>
      </c>
      <c r="J635" s="3">
        <f>grocery_chain_data[[#This Row],[Total Amount]]-grocery_chain_data[[#This Row],[Discount Amount]]</f>
        <v>2</v>
      </c>
      <c r="K635">
        <v>449</v>
      </c>
      <c r="L635" t="str">
        <f>IF(grocery_chain_data[[#This Row],[Final Amount]]&lt;0,"Return","Sale")</f>
        <v>Sale</v>
      </c>
      <c r="M635">
        <f>IF(grocery_chain_data[[#This Row],[Final Amount]]&lt;0,0,grocery_chain_data[[#This Row],[Final Amount]])</f>
        <v>2</v>
      </c>
    </row>
    <row r="636" spans="1:13" x14ac:dyDescent="0.3">
      <c r="A636">
        <v>1132</v>
      </c>
      <c r="B636" t="s">
        <v>8</v>
      </c>
      <c r="C636" s="1">
        <v>45584</v>
      </c>
      <c r="D636" s="1" t="str">
        <f t="shared" si="9"/>
        <v>Bakery</v>
      </c>
      <c r="E636" t="s">
        <v>22</v>
      </c>
      <c r="F636" s="2">
        <v>1</v>
      </c>
      <c r="G636" s="3">
        <v>9</v>
      </c>
      <c r="H636" s="3">
        <f>grocery_chain_data[[#This Row],[Quantity]]*grocery_chain_data[[#This Row],[Unit Price]]</f>
        <v>9</v>
      </c>
      <c r="I636" s="3">
        <v>0</v>
      </c>
      <c r="J636" s="3">
        <f>grocery_chain_data[[#This Row],[Total Amount]]-grocery_chain_data[[#This Row],[Discount Amount]]</f>
        <v>9</v>
      </c>
      <c r="K636">
        <v>79</v>
      </c>
      <c r="L636" t="str">
        <f>IF(grocery_chain_data[[#This Row],[Final Amount]]&lt;0,"Return","Sale")</f>
        <v>Sale</v>
      </c>
      <c r="M636">
        <f>IF(grocery_chain_data[[#This Row],[Final Amount]]&lt;0,0,grocery_chain_data[[#This Row],[Final Amount]])</f>
        <v>9</v>
      </c>
    </row>
    <row r="637" spans="1:13" x14ac:dyDescent="0.3">
      <c r="A637">
        <v>1803</v>
      </c>
      <c r="B637" t="s">
        <v>8</v>
      </c>
      <c r="C637" s="1">
        <v>45852</v>
      </c>
      <c r="D637" s="1" t="str">
        <f t="shared" si="9"/>
        <v>Meat &amp; Seafood</v>
      </c>
      <c r="E637" t="s">
        <v>9</v>
      </c>
      <c r="F637" s="2">
        <v>2</v>
      </c>
      <c r="G637" s="3">
        <v>22</v>
      </c>
      <c r="H637" s="3">
        <f>grocery_chain_data[[#This Row],[Quantity]]*grocery_chain_data[[#This Row],[Unit Price]]</f>
        <v>44</v>
      </c>
      <c r="I637" s="3">
        <v>9</v>
      </c>
      <c r="J637" s="3">
        <f>grocery_chain_data[[#This Row],[Total Amount]]-grocery_chain_data[[#This Row],[Discount Amount]]</f>
        <v>35</v>
      </c>
      <c r="K637">
        <v>226</v>
      </c>
      <c r="L637" t="str">
        <f>IF(grocery_chain_data[[#This Row],[Final Amount]]&lt;0,"Return","Sale")</f>
        <v>Sale</v>
      </c>
      <c r="M637">
        <f>IF(grocery_chain_data[[#This Row],[Final Amount]]&lt;0,0,grocery_chain_data[[#This Row],[Final Amount]])</f>
        <v>35</v>
      </c>
    </row>
    <row r="638" spans="1:13" x14ac:dyDescent="0.3">
      <c r="A638">
        <v>9138</v>
      </c>
      <c r="B638" t="s">
        <v>2</v>
      </c>
      <c r="C638" s="1">
        <v>45791</v>
      </c>
      <c r="D638" s="1" t="str">
        <f t="shared" si="9"/>
        <v>Produce</v>
      </c>
      <c r="E638" t="s">
        <v>18</v>
      </c>
      <c r="F638" s="2">
        <v>1</v>
      </c>
      <c r="G638" s="3">
        <v>20</v>
      </c>
      <c r="H638" s="3">
        <f>grocery_chain_data[[#This Row],[Quantity]]*grocery_chain_data[[#This Row],[Unit Price]]</f>
        <v>20</v>
      </c>
      <c r="I638" s="3">
        <v>2</v>
      </c>
      <c r="J638" s="3">
        <f>grocery_chain_data[[#This Row],[Total Amount]]-grocery_chain_data[[#This Row],[Discount Amount]]</f>
        <v>18</v>
      </c>
      <c r="K638">
        <v>440</v>
      </c>
      <c r="L638" t="str">
        <f>IF(grocery_chain_data[[#This Row],[Final Amount]]&lt;0,"Return","Sale")</f>
        <v>Sale</v>
      </c>
      <c r="M638">
        <f>IF(grocery_chain_data[[#This Row],[Final Amount]]&lt;0,0,grocery_chain_data[[#This Row],[Final Amount]])</f>
        <v>18</v>
      </c>
    </row>
    <row r="639" spans="1:13" x14ac:dyDescent="0.3">
      <c r="A639">
        <v>5689</v>
      </c>
      <c r="B639" t="s">
        <v>10</v>
      </c>
      <c r="C639" s="1">
        <v>45747</v>
      </c>
      <c r="D639" s="1" t="str">
        <f t="shared" si="9"/>
        <v>Pantry</v>
      </c>
      <c r="E639" t="s">
        <v>1</v>
      </c>
      <c r="F639" s="2">
        <v>5</v>
      </c>
      <c r="G639" s="3">
        <v>14</v>
      </c>
      <c r="H639" s="3">
        <f>grocery_chain_data[[#This Row],[Quantity]]*grocery_chain_data[[#This Row],[Unit Price]]</f>
        <v>70</v>
      </c>
      <c r="I639" s="3">
        <v>3</v>
      </c>
      <c r="J639" s="3">
        <f>grocery_chain_data[[#This Row],[Total Amount]]-grocery_chain_data[[#This Row],[Discount Amount]]</f>
        <v>67</v>
      </c>
      <c r="K639">
        <v>496</v>
      </c>
      <c r="L639" t="str">
        <f>IF(grocery_chain_data[[#This Row],[Final Amount]]&lt;0,"Return","Sale")</f>
        <v>Sale</v>
      </c>
      <c r="M639">
        <f>IF(grocery_chain_data[[#This Row],[Final Amount]]&lt;0,0,grocery_chain_data[[#This Row],[Final Amount]])</f>
        <v>67</v>
      </c>
    </row>
    <row r="640" spans="1:13" x14ac:dyDescent="0.3">
      <c r="A640">
        <v>4770</v>
      </c>
      <c r="B640" t="s">
        <v>8</v>
      </c>
      <c r="C640" s="1">
        <v>45616</v>
      </c>
      <c r="D640" s="1" t="str">
        <f t="shared" si="9"/>
        <v>Produce</v>
      </c>
      <c r="E640" t="s">
        <v>4</v>
      </c>
      <c r="F640" s="2">
        <v>3</v>
      </c>
      <c r="G640" s="3">
        <v>27</v>
      </c>
      <c r="H640" s="3">
        <f>grocery_chain_data[[#This Row],[Quantity]]*grocery_chain_data[[#This Row],[Unit Price]]</f>
        <v>81</v>
      </c>
      <c r="I640" s="3">
        <v>3</v>
      </c>
      <c r="J640" s="3">
        <f>grocery_chain_data[[#This Row],[Total Amount]]-grocery_chain_data[[#This Row],[Discount Amount]]</f>
        <v>78</v>
      </c>
      <c r="K640">
        <v>246</v>
      </c>
      <c r="L640" t="str">
        <f>IF(grocery_chain_data[[#This Row],[Final Amount]]&lt;0,"Return","Sale")</f>
        <v>Sale</v>
      </c>
      <c r="M640">
        <f>IF(grocery_chain_data[[#This Row],[Final Amount]]&lt;0,0,grocery_chain_data[[#This Row],[Final Amount]])</f>
        <v>78</v>
      </c>
    </row>
    <row r="641" spans="1:13" x14ac:dyDescent="0.3">
      <c r="A641">
        <v>6772</v>
      </c>
      <c r="B641" t="s">
        <v>16</v>
      </c>
      <c r="C641" s="1">
        <v>45315</v>
      </c>
      <c r="D641" s="1" t="str">
        <f t="shared" si="9"/>
        <v>Pantry</v>
      </c>
      <c r="E641" t="s">
        <v>1</v>
      </c>
      <c r="F641" s="2">
        <v>2</v>
      </c>
      <c r="G641" s="3">
        <v>10</v>
      </c>
      <c r="H641" s="3">
        <f>grocery_chain_data[[#This Row],[Quantity]]*grocery_chain_data[[#This Row],[Unit Price]]</f>
        <v>20</v>
      </c>
      <c r="I641" s="3">
        <v>3</v>
      </c>
      <c r="J641" s="3">
        <f>grocery_chain_data[[#This Row],[Total Amount]]-grocery_chain_data[[#This Row],[Discount Amount]]</f>
        <v>17</v>
      </c>
      <c r="K641">
        <v>0</v>
      </c>
      <c r="L641" t="str">
        <f>IF(grocery_chain_data[[#This Row],[Final Amount]]&lt;0,"Return","Sale")</f>
        <v>Sale</v>
      </c>
      <c r="M641">
        <f>IF(grocery_chain_data[[#This Row],[Final Amount]]&lt;0,0,grocery_chain_data[[#This Row],[Final Amount]])</f>
        <v>17</v>
      </c>
    </row>
    <row r="642" spans="1:13" x14ac:dyDescent="0.3">
      <c r="A642">
        <v>4115</v>
      </c>
      <c r="B642" t="s">
        <v>12</v>
      </c>
      <c r="C642" s="1">
        <v>45627</v>
      </c>
      <c r="D642" s="1" t="str">
        <f t="shared" ref="D642:D705" si="10">IF(E642="Pasta","Pantry",
IF(E642="Cheese","Dairy",
IF(E642="Onions","Produce",
IF(E642="Cereal","Pantry",
IF(E642="Orange Juice","Beverages",
IF(E642="Ground Beef","Meat &amp; Seafood",
IF(E642="Apples","Produce",
IF(E642="Milk","Dairy",
IF(E642="Bananas","Produce",
IF(E642="Bread","Bakery",
IF(E642="Carrots","Produce",
IF(E642="Chicken Breast","Meat &amp; Seafood",
IF(E642="Eggs","Dairy",
IF(E642="Potatoes","Produce",
IF(E642="Rice","Produce",
IF(E642="Salmon","Meat &amp; Seafood",
IF(E642="Tomatoes","Produce",
IF(E642="Yogurt","Dairy",
"Others"))))))))))))))))))</f>
        <v>Produce</v>
      </c>
      <c r="E642" t="s">
        <v>4</v>
      </c>
      <c r="F642" s="2">
        <v>1</v>
      </c>
      <c r="G642" s="3">
        <v>21</v>
      </c>
      <c r="H642" s="3">
        <f>grocery_chain_data[[#This Row],[Quantity]]*grocery_chain_data[[#This Row],[Unit Price]]</f>
        <v>21</v>
      </c>
      <c r="I642" s="3">
        <v>3</v>
      </c>
      <c r="J642" s="3">
        <f>grocery_chain_data[[#This Row],[Total Amount]]-grocery_chain_data[[#This Row],[Discount Amount]]</f>
        <v>18</v>
      </c>
      <c r="K642">
        <v>251</v>
      </c>
      <c r="L642" t="str">
        <f>IF(grocery_chain_data[[#This Row],[Final Amount]]&lt;0,"Return","Sale")</f>
        <v>Sale</v>
      </c>
      <c r="M642">
        <f>IF(grocery_chain_data[[#This Row],[Final Amount]]&lt;0,0,grocery_chain_data[[#This Row],[Final Amount]])</f>
        <v>18</v>
      </c>
    </row>
    <row r="643" spans="1:13" x14ac:dyDescent="0.3">
      <c r="A643">
        <v>5106</v>
      </c>
      <c r="B643" t="s">
        <v>13</v>
      </c>
      <c r="C643" s="1">
        <v>45671</v>
      </c>
      <c r="D643" s="1" t="str">
        <f t="shared" si="10"/>
        <v>Produce</v>
      </c>
      <c r="E643" t="s">
        <v>17</v>
      </c>
      <c r="F643" s="2">
        <v>5</v>
      </c>
      <c r="G643" s="3">
        <v>8</v>
      </c>
      <c r="H643" s="3">
        <f>grocery_chain_data[[#This Row],[Quantity]]*grocery_chain_data[[#This Row],[Unit Price]]</f>
        <v>40</v>
      </c>
      <c r="I643" s="3">
        <v>8</v>
      </c>
      <c r="J643" s="3">
        <f>grocery_chain_data[[#This Row],[Total Amount]]-grocery_chain_data[[#This Row],[Discount Amount]]</f>
        <v>32</v>
      </c>
      <c r="K643">
        <v>3</v>
      </c>
      <c r="L643" t="str">
        <f>IF(grocery_chain_data[[#This Row],[Final Amount]]&lt;0,"Return","Sale")</f>
        <v>Sale</v>
      </c>
      <c r="M643">
        <f>IF(grocery_chain_data[[#This Row],[Final Amount]]&lt;0,0,grocery_chain_data[[#This Row],[Final Amount]])</f>
        <v>32</v>
      </c>
    </row>
    <row r="644" spans="1:13" x14ac:dyDescent="0.3">
      <c r="A644">
        <v>3240</v>
      </c>
      <c r="B644" t="s">
        <v>8</v>
      </c>
      <c r="C644" s="1">
        <v>45632</v>
      </c>
      <c r="D644" s="1" t="str">
        <f t="shared" si="10"/>
        <v>Dairy</v>
      </c>
      <c r="E644" t="s">
        <v>3</v>
      </c>
      <c r="F644" s="2">
        <v>4</v>
      </c>
      <c r="G644" s="3">
        <v>8</v>
      </c>
      <c r="H644" s="3">
        <f>grocery_chain_data[[#This Row],[Quantity]]*grocery_chain_data[[#This Row],[Unit Price]]</f>
        <v>32</v>
      </c>
      <c r="I644" s="3">
        <v>3</v>
      </c>
      <c r="J644" s="3">
        <f>grocery_chain_data[[#This Row],[Total Amount]]-grocery_chain_data[[#This Row],[Discount Amount]]</f>
        <v>29</v>
      </c>
      <c r="K644">
        <v>366</v>
      </c>
      <c r="L644" t="str">
        <f>IF(grocery_chain_data[[#This Row],[Final Amount]]&lt;0,"Return","Sale")</f>
        <v>Sale</v>
      </c>
      <c r="M644">
        <f>IF(grocery_chain_data[[#This Row],[Final Amount]]&lt;0,0,grocery_chain_data[[#This Row],[Final Amount]])</f>
        <v>29</v>
      </c>
    </row>
    <row r="645" spans="1:13" x14ac:dyDescent="0.3">
      <c r="A645">
        <v>2591</v>
      </c>
      <c r="B645" t="s">
        <v>21</v>
      </c>
      <c r="C645" s="1">
        <v>45846</v>
      </c>
      <c r="D645" s="1" t="str">
        <f t="shared" si="10"/>
        <v>Bakery</v>
      </c>
      <c r="E645" t="s">
        <v>22</v>
      </c>
      <c r="F645" s="2">
        <v>4</v>
      </c>
      <c r="G645" s="3">
        <v>19</v>
      </c>
      <c r="H645" s="3">
        <f>grocery_chain_data[[#This Row],[Quantity]]*grocery_chain_data[[#This Row],[Unit Price]]</f>
        <v>76</v>
      </c>
      <c r="I645" s="3">
        <v>11</v>
      </c>
      <c r="J645" s="3">
        <f>grocery_chain_data[[#This Row],[Total Amount]]-grocery_chain_data[[#This Row],[Discount Amount]]</f>
        <v>65</v>
      </c>
      <c r="K645">
        <v>264</v>
      </c>
      <c r="L645" t="str">
        <f>IF(grocery_chain_data[[#This Row],[Final Amount]]&lt;0,"Return","Sale")</f>
        <v>Sale</v>
      </c>
      <c r="M645">
        <f>IF(grocery_chain_data[[#This Row],[Final Amount]]&lt;0,0,grocery_chain_data[[#This Row],[Final Amount]])</f>
        <v>65</v>
      </c>
    </row>
    <row r="646" spans="1:13" x14ac:dyDescent="0.3">
      <c r="A646">
        <v>1645</v>
      </c>
      <c r="B646" t="s">
        <v>2</v>
      </c>
      <c r="C646" s="1">
        <v>45384</v>
      </c>
      <c r="D646" s="1" t="str">
        <f t="shared" si="10"/>
        <v>Dairy</v>
      </c>
      <c r="E646" t="s">
        <v>3</v>
      </c>
      <c r="F646" s="2">
        <v>2</v>
      </c>
      <c r="G646" s="3">
        <v>26</v>
      </c>
      <c r="H646" s="3">
        <f>grocery_chain_data[[#This Row],[Quantity]]*grocery_chain_data[[#This Row],[Unit Price]]</f>
        <v>52</v>
      </c>
      <c r="I646" s="3">
        <v>8</v>
      </c>
      <c r="J646" s="3">
        <f>grocery_chain_data[[#This Row],[Total Amount]]-grocery_chain_data[[#This Row],[Discount Amount]]</f>
        <v>44</v>
      </c>
      <c r="K646">
        <v>93</v>
      </c>
      <c r="L646" t="str">
        <f>IF(grocery_chain_data[[#This Row],[Final Amount]]&lt;0,"Return","Sale")</f>
        <v>Sale</v>
      </c>
      <c r="M646">
        <f>IF(grocery_chain_data[[#This Row],[Final Amount]]&lt;0,0,grocery_chain_data[[#This Row],[Final Amount]])</f>
        <v>44</v>
      </c>
    </row>
    <row r="647" spans="1:13" x14ac:dyDescent="0.3">
      <c r="A647">
        <v>8222</v>
      </c>
      <c r="B647" t="s">
        <v>0</v>
      </c>
      <c r="C647" s="1">
        <v>45170</v>
      </c>
      <c r="D647" s="1" t="str">
        <f t="shared" si="10"/>
        <v>Meat &amp; Seafood</v>
      </c>
      <c r="E647" t="s">
        <v>15</v>
      </c>
      <c r="F647" s="2">
        <v>5</v>
      </c>
      <c r="G647" s="3">
        <v>14</v>
      </c>
      <c r="H647" s="3">
        <f>grocery_chain_data[[#This Row],[Quantity]]*grocery_chain_data[[#This Row],[Unit Price]]</f>
        <v>70</v>
      </c>
      <c r="I647" s="3">
        <v>14</v>
      </c>
      <c r="J647" s="3">
        <f>grocery_chain_data[[#This Row],[Total Amount]]-grocery_chain_data[[#This Row],[Discount Amount]]</f>
        <v>56</v>
      </c>
      <c r="K647">
        <v>358</v>
      </c>
      <c r="L647" t="str">
        <f>IF(grocery_chain_data[[#This Row],[Final Amount]]&lt;0,"Return","Sale")</f>
        <v>Sale</v>
      </c>
      <c r="M647">
        <f>IF(grocery_chain_data[[#This Row],[Final Amount]]&lt;0,0,grocery_chain_data[[#This Row],[Final Amount]])</f>
        <v>56</v>
      </c>
    </row>
    <row r="648" spans="1:13" x14ac:dyDescent="0.3">
      <c r="A648">
        <v>6977</v>
      </c>
      <c r="B648" t="s">
        <v>16</v>
      </c>
      <c r="C648" s="1">
        <v>45713</v>
      </c>
      <c r="D648" s="1" t="str">
        <f t="shared" si="10"/>
        <v>Dairy</v>
      </c>
      <c r="E648" t="s">
        <v>20</v>
      </c>
      <c r="F648" s="2">
        <v>1</v>
      </c>
      <c r="G648" s="3">
        <v>29</v>
      </c>
      <c r="H648" s="3">
        <f>grocery_chain_data[[#This Row],[Quantity]]*grocery_chain_data[[#This Row],[Unit Price]]</f>
        <v>29</v>
      </c>
      <c r="I648" s="3">
        <v>2</v>
      </c>
      <c r="J648" s="3">
        <f>grocery_chain_data[[#This Row],[Total Amount]]-grocery_chain_data[[#This Row],[Discount Amount]]</f>
        <v>27</v>
      </c>
      <c r="K648">
        <v>11</v>
      </c>
      <c r="L648" t="str">
        <f>IF(grocery_chain_data[[#This Row],[Final Amount]]&lt;0,"Return","Sale")</f>
        <v>Sale</v>
      </c>
      <c r="M648">
        <f>IF(grocery_chain_data[[#This Row],[Final Amount]]&lt;0,0,grocery_chain_data[[#This Row],[Final Amount]])</f>
        <v>27</v>
      </c>
    </row>
    <row r="649" spans="1:13" x14ac:dyDescent="0.3">
      <c r="A649">
        <v>3153</v>
      </c>
      <c r="B649" t="s">
        <v>5</v>
      </c>
      <c r="C649" s="1">
        <v>45215</v>
      </c>
      <c r="D649" s="1" t="str">
        <f t="shared" si="10"/>
        <v>Produce</v>
      </c>
      <c r="E649" t="s">
        <v>18</v>
      </c>
      <c r="F649" s="2">
        <v>2</v>
      </c>
      <c r="G649" s="3">
        <v>4</v>
      </c>
      <c r="H649" s="3">
        <f>grocery_chain_data[[#This Row],[Quantity]]*grocery_chain_data[[#This Row],[Unit Price]]</f>
        <v>8</v>
      </c>
      <c r="I649" s="3">
        <v>1</v>
      </c>
      <c r="J649" s="3">
        <f>grocery_chain_data[[#This Row],[Total Amount]]-grocery_chain_data[[#This Row],[Discount Amount]]</f>
        <v>7</v>
      </c>
      <c r="K649">
        <v>7</v>
      </c>
      <c r="L649" t="str">
        <f>IF(grocery_chain_data[[#This Row],[Final Amount]]&lt;0,"Return","Sale")</f>
        <v>Sale</v>
      </c>
      <c r="M649">
        <f>IF(grocery_chain_data[[#This Row],[Final Amount]]&lt;0,0,grocery_chain_data[[#This Row],[Final Amount]])</f>
        <v>7</v>
      </c>
    </row>
    <row r="650" spans="1:13" x14ac:dyDescent="0.3">
      <c r="A650">
        <v>5835</v>
      </c>
      <c r="B650" t="s">
        <v>16</v>
      </c>
      <c r="C650" s="1">
        <v>45398</v>
      </c>
      <c r="D650" s="1" t="str">
        <f t="shared" si="10"/>
        <v>Produce</v>
      </c>
      <c r="E650" t="s">
        <v>17</v>
      </c>
      <c r="F650" s="2">
        <v>4</v>
      </c>
      <c r="G650" s="3">
        <v>30</v>
      </c>
      <c r="H650" s="3">
        <f>grocery_chain_data[[#This Row],[Quantity]]*grocery_chain_data[[#This Row],[Unit Price]]</f>
        <v>120</v>
      </c>
      <c r="I650" s="3">
        <v>18</v>
      </c>
      <c r="J650" s="3">
        <f>grocery_chain_data[[#This Row],[Total Amount]]-grocery_chain_data[[#This Row],[Discount Amount]]</f>
        <v>102</v>
      </c>
      <c r="K650">
        <v>237</v>
      </c>
      <c r="L650" t="str">
        <f>IF(grocery_chain_data[[#This Row],[Final Amount]]&lt;0,"Return","Sale")</f>
        <v>Sale</v>
      </c>
      <c r="M650">
        <f>IF(grocery_chain_data[[#This Row],[Final Amount]]&lt;0,0,grocery_chain_data[[#This Row],[Final Amount]])</f>
        <v>102</v>
      </c>
    </row>
    <row r="651" spans="1:13" x14ac:dyDescent="0.3">
      <c r="A651">
        <v>7807</v>
      </c>
      <c r="B651" t="s">
        <v>0</v>
      </c>
      <c r="C651" s="1">
        <v>45281</v>
      </c>
      <c r="D651" s="1" t="str">
        <f t="shared" si="10"/>
        <v>Dairy</v>
      </c>
      <c r="E651" t="s">
        <v>19</v>
      </c>
      <c r="F651" s="2">
        <v>3</v>
      </c>
      <c r="G651" s="3">
        <v>23</v>
      </c>
      <c r="H651" s="3">
        <f>grocery_chain_data[[#This Row],[Quantity]]*grocery_chain_data[[#This Row],[Unit Price]]</f>
        <v>69</v>
      </c>
      <c r="I651" s="3">
        <v>14</v>
      </c>
      <c r="J651" s="3">
        <f>grocery_chain_data[[#This Row],[Total Amount]]-grocery_chain_data[[#This Row],[Discount Amount]]</f>
        <v>55</v>
      </c>
      <c r="K651">
        <v>36</v>
      </c>
      <c r="L651" t="str">
        <f>IF(grocery_chain_data[[#This Row],[Final Amount]]&lt;0,"Return","Sale")</f>
        <v>Sale</v>
      </c>
      <c r="M651">
        <f>IF(grocery_chain_data[[#This Row],[Final Amount]]&lt;0,0,grocery_chain_data[[#This Row],[Final Amount]])</f>
        <v>55</v>
      </c>
    </row>
    <row r="652" spans="1:13" x14ac:dyDescent="0.3">
      <c r="A652">
        <v>4289</v>
      </c>
      <c r="B652" t="s">
        <v>21</v>
      </c>
      <c r="C652" s="1">
        <v>45247</v>
      </c>
      <c r="D652" s="1" t="str">
        <f t="shared" si="10"/>
        <v>Produce</v>
      </c>
      <c r="E652" t="s">
        <v>14</v>
      </c>
      <c r="F652" s="2">
        <v>1</v>
      </c>
      <c r="G652" s="3">
        <v>5</v>
      </c>
      <c r="H652" s="3">
        <f>grocery_chain_data[[#This Row],[Quantity]]*grocery_chain_data[[#This Row],[Unit Price]]</f>
        <v>5</v>
      </c>
      <c r="I652" s="3">
        <v>0</v>
      </c>
      <c r="J652" s="3">
        <f>grocery_chain_data[[#This Row],[Total Amount]]-grocery_chain_data[[#This Row],[Discount Amount]]</f>
        <v>5</v>
      </c>
      <c r="K652">
        <v>393</v>
      </c>
      <c r="L652" t="str">
        <f>IF(grocery_chain_data[[#This Row],[Final Amount]]&lt;0,"Return","Sale")</f>
        <v>Sale</v>
      </c>
      <c r="M652">
        <f>IF(grocery_chain_data[[#This Row],[Final Amount]]&lt;0,0,grocery_chain_data[[#This Row],[Final Amount]])</f>
        <v>5</v>
      </c>
    </row>
    <row r="653" spans="1:13" x14ac:dyDescent="0.3">
      <c r="A653">
        <v>9837</v>
      </c>
      <c r="B653" t="s">
        <v>10</v>
      </c>
      <c r="C653" s="1">
        <v>45825</v>
      </c>
      <c r="D653" s="1" t="str">
        <f t="shared" si="10"/>
        <v>Dairy</v>
      </c>
      <c r="E653" t="s">
        <v>19</v>
      </c>
      <c r="F653" s="2">
        <v>2</v>
      </c>
      <c r="G653" s="3">
        <v>14</v>
      </c>
      <c r="H653" s="3">
        <f>grocery_chain_data[[#This Row],[Quantity]]*grocery_chain_data[[#This Row],[Unit Price]]</f>
        <v>28</v>
      </c>
      <c r="I653" s="3">
        <v>4</v>
      </c>
      <c r="J653" s="3">
        <f>grocery_chain_data[[#This Row],[Total Amount]]-grocery_chain_data[[#This Row],[Discount Amount]]</f>
        <v>24</v>
      </c>
      <c r="K653">
        <v>394</v>
      </c>
      <c r="L653" t="str">
        <f>IF(grocery_chain_data[[#This Row],[Final Amount]]&lt;0,"Return","Sale")</f>
        <v>Sale</v>
      </c>
      <c r="M653">
        <f>IF(grocery_chain_data[[#This Row],[Final Amount]]&lt;0,0,grocery_chain_data[[#This Row],[Final Amount]])</f>
        <v>24</v>
      </c>
    </row>
    <row r="654" spans="1:13" x14ac:dyDescent="0.3">
      <c r="A654">
        <v>6994</v>
      </c>
      <c r="B654" t="s">
        <v>21</v>
      </c>
      <c r="C654" s="1">
        <v>45557</v>
      </c>
      <c r="D654" s="1" t="str">
        <f t="shared" si="10"/>
        <v>Produce</v>
      </c>
      <c r="E654" t="s">
        <v>14</v>
      </c>
      <c r="F654" s="2">
        <v>3</v>
      </c>
      <c r="G654" s="3">
        <v>28</v>
      </c>
      <c r="H654" s="3">
        <f>grocery_chain_data[[#This Row],[Quantity]]*grocery_chain_data[[#This Row],[Unit Price]]</f>
        <v>84</v>
      </c>
      <c r="I654" s="3">
        <v>0</v>
      </c>
      <c r="J654" s="3">
        <f>grocery_chain_data[[#This Row],[Total Amount]]-grocery_chain_data[[#This Row],[Discount Amount]]</f>
        <v>84</v>
      </c>
      <c r="K654">
        <v>81</v>
      </c>
      <c r="L654" t="str">
        <f>IF(grocery_chain_data[[#This Row],[Final Amount]]&lt;0,"Return","Sale")</f>
        <v>Sale</v>
      </c>
      <c r="M654">
        <f>IF(grocery_chain_data[[#This Row],[Final Amount]]&lt;0,0,grocery_chain_data[[#This Row],[Final Amount]])</f>
        <v>84</v>
      </c>
    </row>
    <row r="655" spans="1:13" x14ac:dyDescent="0.3">
      <c r="A655">
        <v>9221</v>
      </c>
      <c r="B655" t="s">
        <v>2</v>
      </c>
      <c r="C655" s="1">
        <v>45854</v>
      </c>
      <c r="D655" s="1" t="str">
        <f t="shared" si="10"/>
        <v>Meat &amp; Seafood</v>
      </c>
      <c r="E655" t="s">
        <v>26</v>
      </c>
      <c r="F655" s="2">
        <v>3</v>
      </c>
      <c r="G655" s="3">
        <v>15</v>
      </c>
      <c r="H655" s="3">
        <f>grocery_chain_data[[#This Row],[Quantity]]*grocery_chain_data[[#This Row],[Unit Price]]</f>
        <v>45</v>
      </c>
      <c r="I655" s="3">
        <v>7</v>
      </c>
      <c r="J655" s="3">
        <f>grocery_chain_data[[#This Row],[Total Amount]]-grocery_chain_data[[#This Row],[Discount Amount]]</f>
        <v>38</v>
      </c>
      <c r="K655">
        <v>152</v>
      </c>
      <c r="L655" t="str">
        <f>IF(grocery_chain_data[[#This Row],[Final Amount]]&lt;0,"Return","Sale")</f>
        <v>Sale</v>
      </c>
      <c r="M655">
        <f>IF(grocery_chain_data[[#This Row],[Final Amount]]&lt;0,0,grocery_chain_data[[#This Row],[Final Amount]])</f>
        <v>38</v>
      </c>
    </row>
    <row r="656" spans="1:13" x14ac:dyDescent="0.3">
      <c r="A656">
        <v>5465</v>
      </c>
      <c r="B656" t="s">
        <v>13</v>
      </c>
      <c r="C656" s="1">
        <v>45790</v>
      </c>
      <c r="D656" s="1" t="str">
        <f t="shared" si="10"/>
        <v>Dairy</v>
      </c>
      <c r="E656" t="s">
        <v>23</v>
      </c>
      <c r="F656" s="2">
        <v>1</v>
      </c>
      <c r="G656" s="3">
        <v>8</v>
      </c>
      <c r="H656" s="3">
        <f>grocery_chain_data[[#This Row],[Quantity]]*grocery_chain_data[[#This Row],[Unit Price]]</f>
        <v>8</v>
      </c>
      <c r="I656" s="3">
        <v>2</v>
      </c>
      <c r="J656" s="3">
        <f>grocery_chain_data[[#This Row],[Total Amount]]-grocery_chain_data[[#This Row],[Discount Amount]]</f>
        <v>6</v>
      </c>
      <c r="K656">
        <v>222</v>
      </c>
      <c r="L656" t="str">
        <f>IF(grocery_chain_data[[#This Row],[Final Amount]]&lt;0,"Return","Sale")</f>
        <v>Sale</v>
      </c>
      <c r="M656">
        <f>IF(grocery_chain_data[[#This Row],[Final Amount]]&lt;0,0,grocery_chain_data[[#This Row],[Final Amount]])</f>
        <v>6</v>
      </c>
    </row>
    <row r="657" spans="1:13" x14ac:dyDescent="0.3">
      <c r="A657">
        <v>3695</v>
      </c>
      <c r="B657" t="s">
        <v>12</v>
      </c>
      <c r="C657" s="1">
        <v>45344</v>
      </c>
      <c r="D657" s="1" t="str">
        <f t="shared" si="10"/>
        <v>Meat &amp; Seafood</v>
      </c>
      <c r="E657" t="s">
        <v>26</v>
      </c>
      <c r="F657" s="2">
        <v>4</v>
      </c>
      <c r="G657" s="3">
        <v>24</v>
      </c>
      <c r="H657" s="3">
        <f>grocery_chain_data[[#This Row],[Quantity]]*grocery_chain_data[[#This Row],[Unit Price]]</f>
        <v>96</v>
      </c>
      <c r="I657" s="3">
        <v>4</v>
      </c>
      <c r="J657" s="3">
        <f>grocery_chain_data[[#This Row],[Total Amount]]-grocery_chain_data[[#This Row],[Discount Amount]]</f>
        <v>92</v>
      </c>
      <c r="K657">
        <v>4</v>
      </c>
      <c r="L657" t="str">
        <f>IF(grocery_chain_data[[#This Row],[Final Amount]]&lt;0,"Return","Sale")</f>
        <v>Sale</v>
      </c>
      <c r="M657">
        <f>IF(grocery_chain_data[[#This Row],[Final Amount]]&lt;0,0,grocery_chain_data[[#This Row],[Final Amount]])</f>
        <v>92</v>
      </c>
    </row>
    <row r="658" spans="1:13" x14ac:dyDescent="0.3">
      <c r="A658">
        <v>8894</v>
      </c>
      <c r="B658" t="s">
        <v>10</v>
      </c>
      <c r="C658" s="1">
        <v>45771</v>
      </c>
      <c r="D658" s="1" t="str">
        <f t="shared" si="10"/>
        <v>Dairy</v>
      </c>
      <c r="E658" t="s">
        <v>20</v>
      </c>
      <c r="F658" s="2">
        <v>3</v>
      </c>
      <c r="G658" s="3">
        <v>23</v>
      </c>
      <c r="H658" s="3">
        <f>grocery_chain_data[[#This Row],[Quantity]]*grocery_chain_data[[#This Row],[Unit Price]]</f>
        <v>69</v>
      </c>
      <c r="I658" s="3">
        <v>7</v>
      </c>
      <c r="J658" s="3">
        <f>grocery_chain_data[[#This Row],[Total Amount]]-grocery_chain_data[[#This Row],[Discount Amount]]</f>
        <v>62</v>
      </c>
      <c r="K658">
        <v>127</v>
      </c>
      <c r="L658" t="str">
        <f>IF(grocery_chain_data[[#This Row],[Final Amount]]&lt;0,"Return","Sale")</f>
        <v>Sale</v>
      </c>
      <c r="M658">
        <f>IF(grocery_chain_data[[#This Row],[Final Amount]]&lt;0,0,grocery_chain_data[[#This Row],[Final Amount]])</f>
        <v>62</v>
      </c>
    </row>
    <row r="659" spans="1:13" x14ac:dyDescent="0.3">
      <c r="A659">
        <v>5835</v>
      </c>
      <c r="B659" t="s">
        <v>27</v>
      </c>
      <c r="C659" s="1">
        <v>45724</v>
      </c>
      <c r="D659" s="1" t="str">
        <f t="shared" si="10"/>
        <v>Pantry</v>
      </c>
      <c r="E659" t="s">
        <v>6</v>
      </c>
      <c r="F659" s="2">
        <v>1</v>
      </c>
      <c r="G659" s="3">
        <v>3</v>
      </c>
      <c r="H659" s="3">
        <f>grocery_chain_data[[#This Row],[Quantity]]*grocery_chain_data[[#This Row],[Unit Price]]</f>
        <v>3</v>
      </c>
      <c r="I659" s="3">
        <v>0</v>
      </c>
      <c r="J659" s="3">
        <f>grocery_chain_data[[#This Row],[Total Amount]]-grocery_chain_data[[#This Row],[Discount Amount]]</f>
        <v>3</v>
      </c>
      <c r="K659">
        <v>330</v>
      </c>
      <c r="L659" t="str">
        <f>IF(grocery_chain_data[[#This Row],[Final Amount]]&lt;0,"Return","Sale")</f>
        <v>Sale</v>
      </c>
      <c r="M659">
        <f>IF(grocery_chain_data[[#This Row],[Final Amount]]&lt;0,0,grocery_chain_data[[#This Row],[Final Amount]])</f>
        <v>3</v>
      </c>
    </row>
    <row r="660" spans="1:13" x14ac:dyDescent="0.3">
      <c r="A660">
        <v>6549</v>
      </c>
      <c r="B660" t="s">
        <v>2</v>
      </c>
      <c r="C660" s="1">
        <v>45769</v>
      </c>
      <c r="D660" s="1" t="str">
        <f t="shared" si="10"/>
        <v>Dairy</v>
      </c>
      <c r="E660" t="s">
        <v>20</v>
      </c>
      <c r="F660" s="2">
        <v>4</v>
      </c>
      <c r="G660" s="3">
        <v>8</v>
      </c>
      <c r="H660" s="3">
        <f>grocery_chain_data[[#This Row],[Quantity]]*grocery_chain_data[[#This Row],[Unit Price]]</f>
        <v>32</v>
      </c>
      <c r="I660" s="3">
        <v>3</v>
      </c>
      <c r="J660" s="3">
        <f>grocery_chain_data[[#This Row],[Total Amount]]-grocery_chain_data[[#This Row],[Discount Amount]]</f>
        <v>29</v>
      </c>
      <c r="K660">
        <v>285</v>
      </c>
      <c r="L660" t="str">
        <f>IF(grocery_chain_data[[#This Row],[Final Amount]]&lt;0,"Return","Sale")</f>
        <v>Sale</v>
      </c>
      <c r="M660">
        <f>IF(grocery_chain_data[[#This Row],[Final Amount]]&lt;0,0,grocery_chain_data[[#This Row],[Final Amount]])</f>
        <v>29</v>
      </c>
    </row>
    <row r="661" spans="1:13" x14ac:dyDescent="0.3">
      <c r="A661">
        <v>2886</v>
      </c>
      <c r="B661" t="s">
        <v>21</v>
      </c>
      <c r="C661" s="1">
        <v>45508</v>
      </c>
      <c r="D661" s="1" t="str">
        <f t="shared" si="10"/>
        <v>Produce</v>
      </c>
      <c r="E661" t="s">
        <v>14</v>
      </c>
      <c r="F661" s="2">
        <v>3</v>
      </c>
      <c r="G661" s="3">
        <v>22</v>
      </c>
      <c r="H661" s="3">
        <f>grocery_chain_data[[#This Row],[Quantity]]*grocery_chain_data[[#This Row],[Unit Price]]</f>
        <v>66</v>
      </c>
      <c r="I661" s="3">
        <v>7</v>
      </c>
      <c r="J661" s="3">
        <f>grocery_chain_data[[#This Row],[Total Amount]]-grocery_chain_data[[#This Row],[Discount Amount]]</f>
        <v>59</v>
      </c>
      <c r="K661">
        <v>128</v>
      </c>
      <c r="L661" t="str">
        <f>IF(grocery_chain_data[[#This Row],[Final Amount]]&lt;0,"Return","Sale")</f>
        <v>Sale</v>
      </c>
      <c r="M661">
        <f>IF(grocery_chain_data[[#This Row],[Final Amount]]&lt;0,0,grocery_chain_data[[#This Row],[Final Amount]])</f>
        <v>59</v>
      </c>
    </row>
    <row r="662" spans="1:13" x14ac:dyDescent="0.3">
      <c r="A662">
        <v>2233</v>
      </c>
      <c r="B662" t="s">
        <v>10</v>
      </c>
      <c r="C662" s="1">
        <v>45254</v>
      </c>
      <c r="D662" s="1" t="str">
        <f t="shared" si="10"/>
        <v>Produce</v>
      </c>
      <c r="E662" t="s">
        <v>17</v>
      </c>
      <c r="F662" s="2">
        <v>5</v>
      </c>
      <c r="G662" s="3">
        <v>21</v>
      </c>
      <c r="H662" s="3">
        <f>grocery_chain_data[[#This Row],[Quantity]]*grocery_chain_data[[#This Row],[Unit Price]]</f>
        <v>105</v>
      </c>
      <c r="I662" s="3">
        <v>2</v>
      </c>
      <c r="J662" s="3">
        <f>grocery_chain_data[[#This Row],[Total Amount]]-grocery_chain_data[[#This Row],[Discount Amount]]</f>
        <v>103</v>
      </c>
      <c r="K662">
        <v>97</v>
      </c>
      <c r="L662" t="str">
        <f>IF(grocery_chain_data[[#This Row],[Final Amount]]&lt;0,"Return","Sale")</f>
        <v>Sale</v>
      </c>
      <c r="M662">
        <f>IF(grocery_chain_data[[#This Row],[Final Amount]]&lt;0,0,grocery_chain_data[[#This Row],[Final Amount]])</f>
        <v>103</v>
      </c>
    </row>
    <row r="663" spans="1:13" x14ac:dyDescent="0.3">
      <c r="A663">
        <v>4696</v>
      </c>
      <c r="B663" t="s">
        <v>10</v>
      </c>
      <c r="C663" s="1">
        <v>45813</v>
      </c>
      <c r="D663" s="1" t="str">
        <f t="shared" si="10"/>
        <v>Produce</v>
      </c>
      <c r="E663" t="s">
        <v>4</v>
      </c>
      <c r="F663" s="2">
        <v>2</v>
      </c>
      <c r="G663" s="3">
        <v>3</v>
      </c>
      <c r="H663" s="3">
        <f>grocery_chain_data[[#This Row],[Quantity]]*grocery_chain_data[[#This Row],[Unit Price]]</f>
        <v>6</v>
      </c>
      <c r="I663" s="3">
        <v>1</v>
      </c>
      <c r="J663" s="3">
        <f>grocery_chain_data[[#This Row],[Total Amount]]-grocery_chain_data[[#This Row],[Discount Amount]]</f>
        <v>5</v>
      </c>
      <c r="K663">
        <v>79</v>
      </c>
      <c r="L663" t="str">
        <f>IF(grocery_chain_data[[#This Row],[Final Amount]]&lt;0,"Return","Sale")</f>
        <v>Sale</v>
      </c>
      <c r="M663">
        <f>IF(grocery_chain_data[[#This Row],[Final Amount]]&lt;0,0,grocery_chain_data[[#This Row],[Final Amount]])</f>
        <v>5</v>
      </c>
    </row>
    <row r="664" spans="1:13" x14ac:dyDescent="0.3">
      <c r="A664">
        <v>7511</v>
      </c>
      <c r="B664" t="s">
        <v>12</v>
      </c>
      <c r="C664" s="1">
        <v>45801</v>
      </c>
      <c r="D664" s="1" t="str">
        <f t="shared" si="10"/>
        <v>Beverages</v>
      </c>
      <c r="E664" t="s">
        <v>7</v>
      </c>
      <c r="F664" s="2">
        <v>4</v>
      </c>
      <c r="G664" s="3">
        <v>1</v>
      </c>
      <c r="H664" s="3">
        <f>grocery_chain_data[[#This Row],[Quantity]]*grocery_chain_data[[#This Row],[Unit Price]]</f>
        <v>4</v>
      </c>
      <c r="I664" s="3">
        <v>0</v>
      </c>
      <c r="J664" s="3">
        <f>grocery_chain_data[[#This Row],[Total Amount]]-grocery_chain_data[[#This Row],[Discount Amount]]</f>
        <v>4</v>
      </c>
      <c r="K664">
        <v>326</v>
      </c>
      <c r="L664" t="str">
        <f>IF(grocery_chain_data[[#This Row],[Final Amount]]&lt;0,"Return","Sale")</f>
        <v>Sale</v>
      </c>
      <c r="M664">
        <f>IF(grocery_chain_data[[#This Row],[Final Amount]]&lt;0,0,grocery_chain_data[[#This Row],[Final Amount]])</f>
        <v>4</v>
      </c>
    </row>
    <row r="665" spans="1:13" x14ac:dyDescent="0.3">
      <c r="A665">
        <v>6992</v>
      </c>
      <c r="B665" t="s">
        <v>5</v>
      </c>
      <c r="C665" s="1">
        <v>45215</v>
      </c>
      <c r="D665" s="1" t="str">
        <f t="shared" si="10"/>
        <v>Beverages</v>
      </c>
      <c r="E665" t="s">
        <v>7</v>
      </c>
      <c r="F665" s="2">
        <v>5</v>
      </c>
      <c r="G665" s="3">
        <v>8</v>
      </c>
      <c r="H665" s="3">
        <f>grocery_chain_data[[#This Row],[Quantity]]*grocery_chain_data[[#This Row],[Unit Price]]</f>
        <v>40</v>
      </c>
      <c r="I665" s="3">
        <v>0</v>
      </c>
      <c r="J665" s="3">
        <f>grocery_chain_data[[#This Row],[Total Amount]]-grocery_chain_data[[#This Row],[Discount Amount]]</f>
        <v>40</v>
      </c>
      <c r="K665">
        <v>369</v>
      </c>
      <c r="L665" t="str">
        <f>IF(grocery_chain_data[[#This Row],[Final Amount]]&lt;0,"Return","Sale")</f>
        <v>Sale</v>
      </c>
      <c r="M665">
        <f>IF(grocery_chain_data[[#This Row],[Final Amount]]&lt;0,0,grocery_chain_data[[#This Row],[Final Amount]])</f>
        <v>40</v>
      </c>
    </row>
    <row r="666" spans="1:13" x14ac:dyDescent="0.3">
      <c r="A666">
        <v>7464</v>
      </c>
      <c r="B666" t="s">
        <v>2</v>
      </c>
      <c r="C666" s="1">
        <v>45155</v>
      </c>
      <c r="D666" s="1" t="str">
        <f t="shared" si="10"/>
        <v>Dairy</v>
      </c>
      <c r="E666" t="s">
        <v>23</v>
      </c>
      <c r="F666" s="2">
        <v>5</v>
      </c>
      <c r="G666" s="3">
        <v>21</v>
      </c>
      <c r="H666" s="3">
        <f>grocery_chain_data[[#This Row],[Quantity]]*grocery_chain_data[[#This Row],[Unit Price]]</f>
        <v>105</v>
      </c>
      <c r="I666" s="3">
        <v>2</v>
      </c>
      <c r="J666" s="3">
        <f>grocery_chain_data[[#This Row],[Total Amount]]-grocery_chain_data[[#This Row],[Discount Amount]]</f>
        <v>103</v>
      </c>
      <c r="K666">
        <v>392</v>
      </c>
      <c r="L666" t="str">
        <f>IF(grocery_chain_data[[#This Row],[Final Amount]]&lt;0,"Return","Sale")</f>
        <v>Sale</v>
      </c>
      <c r="M666">
        <f>IF(grocery_chain_data[[#This Row],[Final Amount]]&lt;0,0,grocery_chain_data[[#This Row],[Final Amount]])</f>
        <v>103</v>
      </c>
    </row>
    <row r="667" spans="1:13" x14ac:dyDescent="0.3">
      <c r="A667">
        <v>5332</v>
      </c>
      <c r="B667" t="s">
        <v>8</v>
      </c>
      <c r="C667" s="1">
        <v>45561</v>
      </c>
      <c r="D667" s="1" t="str">
        <f t="shared" si="10"/>
        <v>Pantry</v>
      </c>
      <c r="E667" t="s">
        <v>6</v>
      </c>
      <c r="F667" s="2">
        <v>1</v>
      </c>
      <c r="G667" s="3">
        <v>4</v>
      </c>
      <c r="H667" s="3">
        <f>grocery_chain_data[[#This Row],[Quantity]]*grocery_chain_data[[#This Row],[Unit Price]]</f>
        <v>4</v>
      </c>
      <c r="I667" s="3">
        <v>4</v>
      </c>
      <c r="J667" s="3">
        <f>grocery_chain_data[[#This Row],[Total Amount]]-grocery_chain_data[[#This Row],[Discount Amount]]</f>
        <v>0</v>
      </c>
      <c r="K667">
        <v>337</v>
      </c>
      <c r="L667" t="str">
        <f>IF(grocery_chain_data[[#This Row],[Final Amount]]&lt;0,"Return","Sale")</f>
        <v>Sale</v>
      </c>
      <c r="M667">
        <f>IF(grocery_chain_data[[#This Row],[Final Amount]]&lt;0,0,grocery_chain_data[[#This Row],[Final Amount]])</f>
        <v>0</v>
      </c>
    </row>
    <row r="668" spans="1:13" x14ac:dyDescent="0.3">
      <c r="A668">
        <v>3024</v>
      </c>
      <c r="B668" t="s">
        <v>5</v>
      </c>
      <c r="C668" s="1">
        <v>45498</v>
      </c>
      <c r="D668" s="1" t="str">
        <f t="shared" si="10"/>
        <v>Dairy</v>
      </c>
      <c r="E668" t="s">
        <v>19</v>
      </c>
      <c r="F668" s="2">
        <v>2</v>
      </c>
      <c r="G668" s="3">
        <v>4</v>
      </c>
      <c r="H668" s="3">
        <f>grocery_chain_data[[#This Row],[Quantity]]*grocery_chain_data[[#This Row],[Unit Price]]</f>
        <v>8</v>
      </c>
      <c r="I668" s="3">
        <v>3</v>
      </c>
      <c r="J668" s="3">
        <f>grocery_chain_data[[#This Row],[Total Amount]]-grocery_chain_data[[#This Row],[Discount Amount]]</f>
        <v>5</v>
      </c>
      <c r="K668">
        <v>98</v>
      </c>
      <c r="L668" t="str">
        <f>IF(grocery_chain_data[[#This Row],[Final Amount]]&lt;0,"Return","Sale")</f>
        <v>Sale</v>
      </c>
      <c r="M668">
        <f>IF(grocery_chain_data[[#This Row],[Final Amount]]&lt;0,0,grocery_chain_data[[#This Row],[Final Amount]])</f>
        <v>5</v>
      </c>
    </row>
    <row r="669" spans="1:13" x14ac:dyDescent="0.3">
      <c r="A669">
        <v>7038</v>
      </c>
      <c r="B669" t="s">
        <v>8</v>
      </c>
      <c r="C669" s="1">
        <v>45667</v>
      </c>
      <c r="D669" s="1" t="str">
        <f t="shared" si="10"/>
        <v>Produce</v>
      </c>
      <c r="E669" t="s">
        <v>25</v>
      </c>
      <c r="F669" s="2">
        <v>5</v>
      </c>
      <c r="G669" s="3">
        <v>19</v>
      </c>
      <c r="H669" s="3">
        <f>grocery_chain_data[[#This Row],[Quantity]]*grocery_chain_data[[#This Row],[Unit Price]]</f>
        <v>95</v>
      </c>
      <c r="I669" s="3">
        <v>2</v>
      </c>
      <c r="J669" s="3">
        <f>grocery_chain_data[[#This Row],[Total Amount]]-grocery_chain_data[[#This Row],[Discount Amount]]</f>
        <v>93</v>
      </c>
      <c r="K669">
        <v>302</v>
      </c>
      <c r="L669" t="str">
        <f>IF(grocery_chain_data[[#This Row],[Final Amount]]&lt;0,"Return","Sale")</f>
        <v>Sale</v>
      </c>
      <c r="M669">
        <f>IF(grocery_chain_data[[#This Row],[Final Amount]]&lt;0,0,grocery_chain_data[[#This Row],[Final Amount]])</f>
        <v>93</v>
      </c>
    </row>
    <row r="670" spans="1:13" x14ac:dyDescent="0.3">
      <c r="A670">
        <v>5295</v>
      </c>
      <c r="B670" t="s">
        <v>0</v>
      </c>
      <c r="C670" s="1">
        <v>45599</v>
      </c>
      <c r="D670" s="1" t="str">
        <f t="shared" si="10"/>
        <v>Dairy</v>
      </c>
      <c r="E670" t="s">
        <v>23</v>
      </c>
      <c r="F670" s="2">
        <v>4</v>
      </c>
      <c r="G670" s="3">
        <v>28</v>
      </c>
      <c r="H670" s="3">
        <f>grocery_chain_data[[#This Row],[Quantity]]*grocery_chain_data[[#This Row],[Unit Price]]</f>
        <v>112</v>
      </c>
      <c r="I670" s="3">
        <v>11</v>
      </c>
      <c r="J670" s="3">
        <f>grocery_chain_data[[#This Row],[Total Amount]]-grocery_chain_data[[#This Row],[Discount Amount]]</f>
        <v>101</v>
      </c>
      <c r="K670">
        <v>426</v>
      </c>
      <c r="L670" t="str">
        <f>IF(grocery_chain_data[[#This Row],[Final Amount]]&lt;0,"Return","Sale")</f>
        <v>Sale</v>
      </c>
      <c r="M670">
        <f>IF(grocery_chain_data[[#This Row],[Final Amount]]&lt;0,0,grocery_chain_data[[#This Row],[Final Amount]])</f>
        <v>101</v>
      </c>
    </row>
    <row r="671" spans="1:13" x14ac:dyDescent="0.3">
      <c r="A671">
        <v>7242</v>
      </c>
      <c r="B671" t="s">
        <v>13</v>
      </c>
      <c r="C671" s="1">
        <v>45783</v>
      </c>
      <c r="D671" s="1" t="str">
        <f t="shared" si="10"/>
        <v>Produce</v>
      </c>
      <c r="E671" t="s">
        <v>4</v>
      </c>
      <c r="F671" s="2">
        <v>4</v>
      </c>
      <c r="G671" s="3">
        <v>25</v>
      </c>
      <c r="H671" s="3">
        <f>grocery_chain_data[[#This Row],[Quantity]]*grocery_chain_data[[#This Row],[Unit Price]]</f>
        <v>100</v>
      </c>
      <c r="I671" s="3">
        <v>2</v>
      </c>
      <c r="J671" s="3">
        <f>grocery_chain_data[[#This Row],[Total Amount]]-grocery_chain_data[[#This Row],[Discount Amount]]</f>
        <v>98</v>
      </c>
      <c r="K671">
        <v>406</v>
      </c>
      <c r="L671" t="str">
        <f>IF(grocery_chain_data[[#This Row],[Final Amount]]&lt;0,"Return","Sale")</f>
        <v>Sale</v>
      </c>
      <c r="M671">
        <f>IF(grocery_chain_data[[#This Row],[Final Amount]]&lt;0,0,grocery_chain_data[[#This Row],[Final Amount]])</f>
        <v>98</v>
      </c>
    </row>
    <row r="672" spans="1:13" x14ac:dyDescent="0.3">
      <c r="A672">
        <v>7086</v>
      </c>
      <c r="B672" t="s">
        <v>13</v>
      </c>
      <c r="C672" s="1">
        <v>45229</v>
      </c>
      <c r="D672" s="1" t="str">
        <f t="shared" si="10"/>
        <v>Produce</v>
      </c>
      <c r="E672" t="s">
        <v>17</v>
      </c>
      <c r="F672" s="2">
        <v>1</v>
      </c>
      <c r="G672" s="3">
        <v>28</v>
      </c>
      <c r="H672" s="3">
        <f>grocery_chain_data[[#This Row],[Quantity]]*grocery_chain_data[[#This Row],[Unit Price]]</f>
        <v>28</v>
      </c>
      <c r="I672" s="3">
        <v>4</v>
      </c>
      <c r="J672" s="3">
        <f>grocery_chain_data[[#This Row],[Total Amount]]-grocery_chain_data[[#This Row],[Discount Amount]]</f>
        <v>24</v>
      </c>
      <c r="K672">
        <v>491</v>
      </c>
      <c r="L672" t="str">
        <f>IF(grocery_chain_data[[#This Row],[Final Amount]]&lt;0,"Return","Sale")</f>
        <v>Sale</v>
      </c>
      <c r="M672">
        <f>IF(grocery_chain_data[[#This Row],[Final Amount]]&lt;0,0,grocery_chain_data[[#This Row],[Final Amount]])</f>
        <v>24</v>
      </c>
    </row>
    <row r="673" spans="1:13" x14ac:dyDescent="0.3">
      <c r="A673">
        <v>4830</v>
      </c>
      <c r="B673" t="s">
        <v>2</v>
      </c>
      <c r="C673" s="1">
        <v>45511</v>
      </c>
      <c r="D673" s="1" t="str">
        <f t="shared" si="10"/>
        <v>Dairy</v>
      </c>
      <c r="E673" t="s">
        <v>23</v>
      </c>
      <c r="F673" s="2">
        <v>2</v>
      </c>
      <c r="G673" s="3">
        <v>16</v>
      </c>
      <c r="H673" s="3">
        <f>grocery_chain_data[[#This Row],[Quantity]]*grocery_chain_data[[#This Row],[Unit Price]]</f>
        <v>32</v>
      </c>
      <c r="I673" s="3">
        <v>4</v>
      </c>
      <c r="J673" s="3">
        <f>grocery_chain_data[[#This Row],[Total Amount]]-grocery_chain_data[[#This Row],[Discount Amount]]</f>
        <v>28</v>
      </c>
      <c r="K673">
        <v>127</v>
      </c>
      <c r="L673" t="str">
        <f>IF(grocery_chain_data[[#This Row],[Final Amount]]&lt;0,"Return","Sale")</f>
        <v>Sale</v>
      </c>
      <c r="M673">
        <f>IF(grocery_chain_data[[#This Row],[Final Amount]]&lt;0,0,grocery_chain_data[[#This Row],[Final Amount]])</f>
        <v>28</v>
      </c>
    </row>
    <row r="674" spans="1:13" x14ac:dyDescent="0.3">
      <c r="A674">
        <v>1410</v>
      </c>
      <c r="B674" t="s">
        <v>8</v>
      </c>
      <c r="C674" s="1">
        <v>45626</v>
      </c>
      <c r="D674" s="1" t="str">
        <f t="shared" si="10"/>
        <v>Beverages</v>
      </c>
      <c r="E674" t="s">
        <v>7</v>
      </c>
      <c r="F674" s="2">
        <v>4</v>
      </c>
      <c r="G674" s="3">
        <v>21</v>
      </c>
      <c r="H674" s="3">
        <f>grocery_chain_data[[#This Row],[Quantity]]*grocery_chain_data[[#This Row],[Unit Price]]</f>
        <v>84</v>
      </c>
      <c r="I674" s="3">
        <v>17</v>
      </c>
      <c r="J674" s="3">
        <f>grocery_chain_data[[#This Row],[Total Amount]]-grocery_chain_data[[#This Row],[Discount Amount]]</f>
        <v>67</v>
      </c>
      <c r="K674">
        <v>218</v>
      </c>
      <c r="L674" t="str">
        <f>IF(grocery_chain_data[[#This Row],[Final Amount]]&lt;0,"Return","Sale")</f>
        <v>Sale</v>
      </c>
      <c r="M674">
        <f>IF(grocery_chain_data[[#This Row],[Final Amount]]&lt;0,0,grocery_chain_data[[#This Row],[Final Amount]])</f>
        <v>67</v>
      </c>
    </row>
    <row r="675" spans="1:13" x14ac:dyDescent="0.3">
      <c r="A675">
        <v>6374</v>
      </c>
      <c r="B675" t="s">
        <v>5</v>
      </c>
      <c r="C675" s="1">
        <v>45855</v>
      </c>
      <c r="D675" s="1" t="str">
        <f t="shared" si="10"/>
        <v>Produce</v>
      </c>
      <c r="E675" t="s">
        <v>14</v>
      </c>
      <c r="F675" s="2">
        <v>5</v>
      </c>
      <c r="G675" s="3">
        <v>11</v>
      </c>
      <c r="H675" s="3">
        <f>grocery_chain_data[[#This Row],[Quantity]]*grocery_chain_data[[#This Row],[Unit Price]]</f>
        <v>55</v>
      </c>
      <c r="I675" s="3">
        <v>8</v>
      </c>
      <c r="J675" s="3">
        <f>grocery_chain_data[[#This Row],[Total Amount]]-grocery_chain_data[[#This Row],[Discount Amount]]</f>
        <v>47</v>
      </c>
      <c r="K675">
        <v>80</v>
      </c>
      <c r="L675" t="str">
        <f>IF(grocery_chain_data[[#This Row],[Final Amount]]&lt;0,"Return","Sale")</f>
        <v>Sale</v>
      </c>
      <c r="M675">
        <f>IF(grocery_chain_data[[#This Row],[Final Amount]]&lt;0,0,grocery_chain_data[[#This Row],[Final Amount]])</f>
        <v>47</v>
      </c>
    </row>
    <row r="676" spans="1:13" x14ac:dyDescent="0.3">
      <c r="A676">
        <v>4626</v>
      </c>
      <c r="B676" t="s">
        <v>16</v>
      </c>
      <c r="C676" s="1">
        <v>45648</v>
      </c>
      <c r="D676" s="1" t="str">
        <f t="shared" si="10"/>
        <v>Pantry</v>
      </c>
      <c r="E676" t="s">
        <v>6</v>
      </c>
      <c r="F676" s="2">
        <v>3</v>
      </c>
      <c r="G676" s="3">
        <v>13</v>
      </c>
      <c r="H676" s="3">
        <f>grocery_chain_data[[#This Row],[Quantity]]*grocery_chain_data[[#This Row],[Unit Price]]</f>
        <v>39</v>
      </c>
      <c r="I676" s="3">
        <v>0</v>
      </c>
      <c r="J676" s="3">
        <f>grocery_chain_data[[#This Row],[Total Amount]]-grocery_chain_data[[#This Row],[Discount Amount]]</f>
        <v>39</v>
      </c>
      <c r="K676">
        <v>324</v>
      </c>
      <c r="L676" t="str">
        <f>IF(grocery_chain_data[[#This Row],[Final Amount]]&lt;0,"Return","Sale")</f>
        <v>Sale</v>
      </c>
      <c r="M676">
        <f>IF(grocery_chain_data[[#This Row],[Final Amount]]&lt;0,0,grocery_chain_data[[#This Row],[Final Amount]])</f>
        <v>39</v>
      </c>
    </row>
    <row r="677" spans="1:13" x14ac:dyDescent="0.3">
      <c r="A677">
        <v>2035</v>
      </c>
      <c r="B677" t="s">
        <v>16</v>
      </c>
      <c r="C677" s="1">
        <v>45638</v>
      </c>
      <c r="D677" s="1" t="str">
        <f t="shared" si="10"/>
        <v>Meat &amp; Seafood</v>
      </c>
      <c r="E677" t="s">
        <v>9</v>
      </c>
      <c r="F677" s="2">
        <v>5</v>
      </c>
      <c r="G677" s="3">
        <v>17</v>
      </c>
      <c r="H677" s="3">
        <f>grocery_chain_data[[#This Row],[Quantity]]*grocery_chain_data[[#This Row],[Unit Price]]</f>
        <v>85</v>
      </c>
      <c r="I677" s="3">
        <v>13</v>
      </c>
      <c r="J677" s="3">
        <f>grocery_chain_data[[#This Row],[Total Amount]]-grocery_chain_data[[#This Row],[Discount Amount]]</f>
        <v>72</v>
      </c>
      <c r="K677">
        <v>192</v>
      </c>
      <c r="L677" t="str">
        <f>IF(grocery_chain_data[[#This Row],[Final Amount]]&lt;0,"Return","Sale")</f>
        <v>Sale</v>
      </c>
      <c r="M677">
        <f>IF(grocery_chain_data[[#This Row],[Final Amount]]&lt;0,0,grocery_chain_data[[#This Row],[Final Amount]])</f>
        <v>72</v>
      </c>
    </row>
    <row r="678" spans="1:13" x14ac:dyDescent="0.3">
      <c r="A678">
        <v>8606</v>
      </c>
      <c r="B678" t="s">
        <v>10</v>
      </c>
      <c r="C678" s="1">
        <v>45851</v>
      </c>
      <c r="D678" s="1" t="str">
        <f t="shared" si="10"/>
        <v>Produce</v>
      </c>
      <c r="E678" t="s">
        <v>14</v>
      </c>
      <c r="F678" s="2">
        <v>1</v>
      </c>
      <c r="G678" s="3">
        <v>22</v>
      </c>
      <c r="H678" s="3">
        <f>grocery_chain_data[[#This Row],[Quantity]]*grocery_chain_data[[#This Row],[Unit Price]]</f>
        <v>22</v>
      </c>
      <c r="I678" s="3">
        <v>2</v>
      </c>
      <c r="J678" s="3">
        <f>grocery_chain_data[[#This Row],[Total Amount]]-grocery_chain_data[[#This Row],[Discount Amount]]</f>
        <v>20</v>
      </c>
      <c r="K678">
        <v>145</v>
      </c>
      <c r="L678" t="str">
        <f>IF(grocery_chain_data[[#This Row],[Final Amount]]&lt;0,"Return","Sale")</f>
        <v>Sale</v>
      </c>
      <c r="M678">
        <f>IF(grocery_chain_data[[#This Row],[Final Amount]]&lt;0,0,grocery_chain_data[[#This Row],[Final Amount]])</f>
        <v>20</v>
      </c>
    </row>
    <row r="679" spans="1:13" x14ac:dyDescent="0.3">
      <c r="A679">
        <v>5951</v>
      </c>
      <c r="B679" t="s">
        <v>12</v>
      </c>
      <c r="C679" s="1">
        <v>45649</v>
      </c>
      <c r="D679" s="1" t="str">
        <f t="shared" si="10"/>
        <v>Produce</v>
      </c>
      <c r="E679" t="s">
        <v>17</v>
      </c>
      <c r="F679" s="2">
        <v>2</v>
      </c>
      <c r="G679" s="3">
        <v>7</v>
      </c>
      <c r="H679" s="3">
        <f>grocery_chain_data[[#This Row],[Quantity]]*grocery_chain_data[[#This Row],[Unit Price]]</f>
        <v>14</v>
      </c>
      <c r="I679" s="3">
        <v>0</v>
      </c>
      <c r="J679" s="3">
        <f>grocery_chain_data[[#This Row],[Total Amount]]-grocery_chain_data[[#This Row],[Discount Amount]]</f>
        <v>14</v>
      </c>
      <c r="K679">
        <v>161</v>
      </c>
      <c r="L679" t="str">
        <f>IF(grocery_chain_data[[#This Row],[Final Amount]]&lt;0,"Return","Sale")</f>
        <v>Sale</v>
      </c>
      <c r="M679">
        <f>IF(grocery_chain_data[[#This Row],[Final Amount]]&lt;0,0,grocery_chain_data[[#This Row],[Final Amount]])</f>
        <v>14</v>
      </c>
    </row>
    <row r="680" spans="1:13" x14ac:dyDescent="0.3">
      <c r="A680">
        <v>7689</v>
      </c>
      <c r="B680" t="s">
        <v>12</v>
      </c>
      <c r="C680" s="1">
        <v>45235</v>
      </c>
      <c r="D680" s="1" t="str">
        <f t="shared" si="10"/>
        <v>Produce</v>
      </c>
      <c r="E680" t="s">
        <v>24</v>
      </c>
      <c r="F680" s="2">
        <v>5</v>
      </c>
      <c r="G680" s="3">
        <v>18</v>
      </c>
      <c r="H680" s="3">
        <f>grocery_chain_data[[#This Row],[Quantity]]*grocery_chain_data[[#This Row],[Unit Price]]</f>
        <v>90</v>
      </c>
      <c r="I680" s="3">
        <v>1</v>
      </c>
      <c r="J680" s="3">
        <f>grocery_chain_data[[#This Row],[Total Amount]]-grocery_chain_data[[#This Row],[Discount Amount]]</f>
        <v>89</v>
      </c>
      <c r="K680">
        <v>292</v>
      </c>
      <c r="L680" t="str">
        <f>IF(grocery_chain_data[[#This Row],[Final Amount]]&lt;0,"Return","Sale")</f>
        <v>Sale</v>
      </c>
      <c r="M680">
        <f>IF(grocery_chain_data[[#This Row],[Final Amount]]&lt;0,0,grocery_chain_data[[#This Row],[Final Amount]])</f>
        <v>89</v>
      </c>
    </row>
    <row r="681" spans="1:13" x14ac:dyDescent="0.3">
      <c r="A681">
        <v>3290</v>
      </c>
      <c r="B681" t="s">
        <v>16</v>
      </c>
      <c r="C681" s="1">
        <v>45180</v>
      </c>
      <c r="D681" s="1" t="str">
        <f t="shared" si="10"/>
        <v>Dairy</v>
      </c>
      <c r="E681" t="s">
        <v>20</v>
      </c>
      <c r="F681" s="2">
        <v>3</v>
      </c>
      <c r="G681" s="3">
        <v>12</v>
      </c>
      <c r="H681" s="3">
        <f>grocery_chain_data[[#This Row],[Quantity]]*grocery_chain_data[[#This Row],[Unit Price]]</f>
        <v>36</v>
      </c>
      <c r="I681" s="3">
        <v>7</v>
      </c>
      <c r="J681" s="3">
        <f>grocery_chain_data[[#This Row],[Total Amount]]-grocery_chain_data[[#This Row],[Discount Amount]]</f>
        <v>29</v>
      </c>
      <c r="K681">
        <v>298</v>
      </c>
      <c r="L681" t="str">
        <f>IF(grocery_chain_data[[#This Row],[Final Amount]]&lt;0,"Return","Sale")</f>
        <v>Sale</v>
      </c>
      <c r="M681">
        <f>IF(grocery_chain_data[[#This Row],[Final Amount]]&lt;0,0,grocery_chain_data[[#This Row],[Final Amount]])</f>
        <v>29</v>
      </c>
    </row>
    <row r="682" spans="1:13" x14ac:dyDescent="0.3">
      <c r="A682">
        <v>1609</v>
      </c>
      <c r="B682" t="s">
        <v>12</v>
      </c>
      <c r="C682" s="1">
        <v>45381</v>
      </c>
      <c r="D682" s="1" t="str">
        <f t="shared" si="10"/>
        <v>Bakery</v>
      </c>
      <c r="E682" t="s">
        <v>22</v>
      </c>
      <c r="F682" s="2">
        <v>5</v>
      </c>
      <c r="G682" s="3">
        <v>13</v>
      </c>
      <c r="H682" s="3">
        <f>grocery_chain_data[[#This Row],[Quantity]]*grocery_chain_data[[#This Row],[Unit Price]]</f>
        <v>65</v>
      </c>
      <c r="I682" s="3">
        <v>0</v>
      </c>
      <c r="J682" s="3">
        <f>grocery_chain_data[[#This Row],[Total Amount]]-grocery_chain_data[[#This Row],[Discount Amount]]</f>
        <v>65</v>
      </c>
      <c r="K682">
        <v>469</v>
      </c>
      <c r="L682" t="str">
        <f>IF(grocery_chain_data[[#This Row],[Final Amount]]&lt;0,"Return","Sale")</f>
        <v>Sale</v>
      </c>
      <c r="M682">
        <f>IF(grocery_chain_data[[#This Row],[Final Amount]]&lt;0,0,grocery_chain_data[[#This Row],[Final Amount]])</f>
        <v>65</v>
      </c>
    </row>
    <row r="683" spans="1:13" x14ac:dyDescent="0.3">
      <c r="A683">
        <v>9071</v>
      </c>
      <c r="B683" t="s">
        <v>0</v>
      </c>
      <c r="C683" s="1">
        <v>45235</v>
      </c>
      <c r="D683" s="1" t="str">
        <f t="shared" si="10"/>
        <v>Produce</v>
      </c>
      <c r="E683" t="s">
        <v>25</v>
      </c>
      <c r="F683" s="2">
        <v>2</v>
      </c>
      <c r="G683" s="3">
        <v>15</v>
      </c>
      <c r="H683" s="3">
        <f>grocery_chain_data[[#This Row],[Quantity]]*grocery_chain_data[[#This Row],[Unit Price]]</f>
        <v>30</v>
      </c>
      <c r="I683" s="3">
        <v>4</v>
      </c>
      <c r="J683" s="3">
        <f>grocery_chain_data[[#This Row],[Total Amount]]-grocery_chain_data[[#This Row],[Discount Amount]]</f>
        <v>26</v>
      </c>
      <c r="K683">
        <v>460</v>
      </c>
      <c r="L683" t="str">
        <f>IF(grocery_chain_data[[#This Row],[Final Amount]]&lt;0,"Return","Sale")</f>
        <v>Sale</v>
      </c>
      <c r="M683">
        <f>IF(grocery_chain_data[[#This Row],[Final Amount]]&lt;0,0,grocery_chain_data[[#This Row],[Final Amount]])</f>
        <v>26</v>
      </c>
    </row>
    <row r="684" spans="1:13" x14ac:dyDescent="0.3">
      <c r="A684">
        <v>2592</v>
      </c>
      <c r="B684" t="s">
        <v>13</v>
      </c>
      <c r="C684" s="1">
        <v>45327</v>
      </c>
      <c r="D684" s="1" t="str">
        <f t="shared" si="10"/>
        <v>Produce</v>
      </c>
      <c r="E684" t="s">
        <v>14</v>
      </c>
      <c r="F684" s="2">
        <v>1</v>
      </c>
      <c r="G684" s="3">
        <v>24</v>
      </c>
      <c r="H684" s="3">
        <f>grocery_chain_data[[#This Row],[Quantity]]*grocery_chain_data[[#This Row],[Unit Price]]</f>
        <v>24</v>
      </c>
      <c r="I684" s="3">
        <v>4</v>
      </c>
      <c r="J684" s="3">
        <f>grocery_chain_data[[#This Row],[Total Amount]]-grocery_chain_data[[#This Row],[Discount Amount]]</f>
        <v>20</v>
      </c>
      <c r="K684">
        <v>471</v>
      </c>
      <c r="L684" t="str">
        <f>IF(grocery_chain_data[[#This Row],[Final Amount]]&lt;0,"Return","Sale")</f>
        <v>Sale</v>
      </c>
      <c r="M684">
        <f>IF(grocery_chain_data[[#This Row],[Final Amount]]&lt;0,0,grocery_chain_data[[#This Row],[Final Amount]])</f>
        <v>20</v>
      </c>
    </row>
    <row r="685" spans="1:13" x14ac:dyDescent="0.3">
      <c r="A685">
        <v>9807</v>
      </c>
      <c r="B685" t="s">
        <v>8</v>
      </c>
      <c r="C685" s="1">
        <v>45250</v>
      </c>
      <c r="D685" s="1" t="str">
        <f t="shared" si="10"/>
        <v>Meat &amp; Seafood</v>
      </c>
      <c r="E685" t="s">
        <v>26</v>
      </c>
      <c r="F685" s="2">
        <v>2</v>
      </c>
      <c r="G685" s="3">
        <v>23</v>
      </c>
      <c r="H685" s="3">
        <f>grocery_chain_data[[#This Row],[Quantity]]*grocery_chain_data[[#This Row],[Unit Price]]</f>
        <v>46</v>
      </c>
      <c r="I685" s="3">
        <v>0</v>
      </c>
      <c r="J685" s="3">
        <f>grocery_chain_data[[#This Row],[Total Amount]]-grocery_chain_data[[#This Row],[Discount Amount]]</f>
        <v>46</v>
      </c>
      <c r="K685">
        <v>434</v>
      </c>
      <c r="L685" t="str">
        <f>IF(grocery_chain_data[[#This Row],[Final Amount]]&lt;0,"Return","Sale")</f>
        <v>Sale</v>
      </c>
      <c r="M685">
        <f>IF(grocery_chain_data[[#This Row],[Final Amount]]&lt;0,0,grocery_chain_data[[#This Row],[Final Amount]])</f>
        <v>46</v>
      </c>
    </row>
    <row r="686" spans="1:13" x14ac:dyDescent="0.3">
      <c r="A686">
        <v>7367</v>
      </c>
      <c r="B686" t="s">
        <v>8</v>
      </c>
      <c r="C686" s="1">
        <v>45497</v>
      </c>
      <c r="D686" s="1" t="str">
        <f t="shared" si="10"/>
        <v>Produce</v>
      </c>
      <c r="E686" t="s">
        <v>17</v>
      </c>
      <c r="F686" s="2">
        <v>5</v>
      </c>
      <c r="G686" s="3">
        <v>2</v>
      </c>
      <c r="H686" s="3">
        <f>grocery_chain_data[[#This Row],[Quantity]]*grocery_chain_data[[#This Row],[Unit Price]]</f>
        <v>10</v>
      </c>
      <c r="I686" s="3">
        <v>2</v>
      </c>
      <c r="J686" s="3">
        <f>grocery_chain_data[[#This Row],[Total Amount]]-grocery_chain_data[[#This Row],[Discount Amount]]</f>
        <v>8</v>
      </c>
      <c r="K686">
        <v>276</v>
      </c>
      <c r="L686" t="str">
        <f>IF(grocery_chain_data[[#This Row],[Final Amount]]&lt;0,"Return","Sale")</f>
        <v>Sale</v>
      </c>
      <c r="M686">
        <f>IF(grocery_chain_data[[#This Row],[Final Amount]]&lt;0,0,grocery_chain_data[[#This Row],[Final Amount]])</f>
        <v>8</v>
      </c>
    </row>
    <row r="687" spans="1:13" x14ac:dyDescent="0.3">
      <c r="A687">
        <v>7078</v>
      </c>
      <c r="B687" t="s">
        <v>2</v>
      </c>
      <c r="C687" s="1">
        <v>45665</v>
      </c>
      <c r="D687" s="1" t="str">
        <f t="shared" si="10"/>
        <v>Dairy</v>
      </c>
      <c r="E687" t="s">
        <v>20</v>
      </c>
      <c r="F687" s="2">
        <v>1</v>
      </c>
      <c r="G687" s="3">
        <v>21</v>
      </c>
      <c r="H687" s="3">
        <f>grocery_chain_data[[#This Row],[Quantity]]*grocery_chain_data[[#This Row],[Unit Price]]</f>
        <v>21</v>
      </c>
      <c r="I687" s="3">
        <v>3</v>
      </c>
      <c r="J687" s="3">
        <f>grocery_chain_data[[#This Row],[Total Amount]]-grocery_chain_data[[#This Row],[Discount Amount]]</f>
        <v>18</v>
      </c>
      <c r="K687">
        <v>201</v>
      </c>
      <c r="L687" t="str">
        <f>IF(grocery_chain_data[[#This Row],[Final Amount]]&lt;0,"Return","Sale")</f>
        <v>Sale</v>
      </c>
      <c r="M687">
        <f>IF(grocery_chain_data[[#This Row],[Final Amount]]&lt;0,0,grocery_chain_data[[#This Row],[Final Amount]])</f>
        <v>18</v>
      </c>
    </row>
    <row r="688" spans="1:13" x14ac:dyDescent="0.3">
      <c r="A688">
        <v>9850</v>
      </c>
      <c r="B688" t="s">
        <v>0</v>
      </c>
      <c r="C688" s="1">
        <v>45470</v>
      </c>
      <c r="D688" s="1" t="str">
        <f t="shared" si="10"/>
        <v>Dairy</v>
      </c>
      <c r="E688" t="s">
        <v>3</v>
      </c>
      <c r="F688" s="2">
        <v>3</v>
      </c>
      <c r="G688" s="3">
        <v>24</v>
      </c>
      <c r="H688" s="3">
        <f>grocery_chain_data[[#This Row],[Quantity]]*grocery_chain_data[[#This Row],[Unit Price]]</f>
        <v>72</v>
      </c>
      <c r="I688" s="3">
        <v>11</v>
      </c>
      <c r="J688" s="3">
        <f>grocery_chain_data[[#This Row],[Total Amount]]-grocery_chain_data[[#This Row],[Discount Amount]]</f>
        <v>61</v>
      </c>
      <c r="K688">
        <v>75</v>
      </c>
      <c r="L688" t="str">
        <f>IF(grocery_chain_data[[#This Row],[Final Amount]]&lt;0,"Return","Sale")</f>
        <v>Sale</v>
      </c>
      <c r="M688">
        <f>IF(grocery_chain_data[[#This Row],[Final Amount]]&lt;0,0,grocery_chain_data[[#This Row],[Final Amount]])</f>
        <v>61</v>
      </c>
    </row>
    <row r="689" spans="1:13" x14ac:dyDescent="0.3">
      <c r="A689">
        <v>3531</v>
      </c>
      <c r="B689" t="s">
        <v>0</v>
      </c>
      <c r="C689" s="1">
        <v>45832</v>
      </c>
      <c r="D689" s="1" t="str">
        <f t="shared" si="10"/>
        <v>Dairy</v>
      </c>
      <c r="E689" t="s">
        <v>19</v>
      </c>
      <c r="F689" s="2">
        <v>5</v>
      </c>
      <c r="G689" s="3">
        <v>13</v>
      </c>
      <c r="H689" s="3">
        <f>grocery_chain_data[[#This Row],[Quantity]]*grocery_chain_data[[#This Row],[Unit Price]]</f>
        <v>65</v>
      </c>
      <c r="I689" s="3">
        <v>3</v>
      </c>
      <c r="J689" s="3">
        <f>grocery_chain_data[[#This Row],[Total Amount]]-grocery_chain_data[[#This Row],[Discount Amount]]</f>
        <v>62</v>
      </c>
      <c r="K689">
        <v>43</v>
      </c>
      <c r="L689" t="str">
        <f>IF(grocery_chain_data[[#This Row],[Final Amount]]&lt;0,"Return","Sale")</f>
        <v>Sale</v>
      </c>
      <c r="M689">
        <f>IF(grocery_chain_data[[#This Row],[Final Amount]]&lt;0,0,grocery_chain_data[[#This Row],[Final Amount]])</f>
        <v>62</v>
      </c>
    </row>
    <row r="690" spans="1:13" x14ac:dyDescent="0.3">
      <c r="A690">
        <v>7797</v>
      </c>
      <c r="B690" t="s">
        <v>5</v>
      </c>
      <c r="C690" s="1">
        <v>45653</v>
      </c>
      <c r="D690" s="1" t="str">
        <f t="shared" si="10"/>
        <v>Produce</v>
      </c>
      <c r="E690" t="s">
        <v>25</v>
      </c>
      <c r="F690" s="2">
        <v>5</v>
      </c>
      <c r="G690" s="3">
        <v>7</v>
      </c>
      <c r="H690" s="3">
        <f>grocery_chain_data[[#This Row],[Quantity]]*grocery_chain_data[[#This Row],[Unit Price]]</f>
        <v>35</v>
      </c>
      <c r="I690" s="3">
        <v>3</v>
      </c>
      <c r="J690" s="3">
        <f>grocery_chain_data[[#This Row],[Total Amount]]-grocery_chain_data[[#This Row],[Discount Amount]]</f>
        <v>32</v>
      </c>
      <c r="K690">
        <v>202</v>
      </c>
      <c r="L690" t="str">
        <f>IF(grocery_chain_data[[#This Row],[Final Amount]]&lt;0,"Return","Sale")</f>
        <v>Sale</v>
      </c>
      <c r="M690">
        <f>IF(grocery_chain_data[[#This Row],[Final Amount]]&lt;0,0,grocery_chain_data[[#This Row],[Final Amount]])</f>
        <v>32</v>
      </c>
    </row>
    <row r="691" spans="1:13" x14ac:dyDescent="0.3">
      <c r="A691">
        <v>2622</v>
      </c>
      <c r="B691" t="s">
        <v>2</v>
      </c>
      <c r="C691" s="1">
        <v>45792</v>
      </c>
      <c r="D691" s="1" t="str">
        <f t="shared" si="10"/>
        <v>Meat &amp; Seafood</v>
      </c>
      <c r="E691" t="s">
        <v>9</v>
      </c>
      <c r="F691" s="2">
        <v>1</v>
      </c>
      <c r="G691" s="3">
        <v>9</v>
      </c>
      <c r="H691" s="3">
        <f>grocery_chain_data[[#This Row],[Quantity]]*grocery_chain_data[[#This Row],[Unit Price]]</f>
        <v>9</v>
      </c>
      <c r="I691" s="3">
        <v>0</v>
      </c>
      <c r="J691" s="3">
        <f>grocery_chain_data[[#This Row],[Total Amount]]-grocery_chain_data[[#This Row],[Discount Amount]]</f>
        <v>9</v>
      </c>
      <c r="K691">
        <v>220</v>
      </c>
      <c r="L691" t="str">
        <f>IF(grocery_chain_data[[#This Row],[Final Amount]]&lt;0,"Return","Sale")</f>
        <v>Sale</v>
      </c>
      <c r="M691">
        <f>IF(grocery_chain_data[[#This Row],[Final Amount]]&lt;0,0,grocery_chain_data[[#This Row],[Final Amount]])</f>
        <v>9</v>
      </c>
    </row>
    <row r="692" spans="1:13" x14ac:dyDescent="0.3">
      <c r="A692">
        <v>9017</v>
      </c>
      <c r="B692" t="s">
        <v>0</v>
      </c>
      <c r="C692" s="1">
        <v>45623</v>
      </c>
      <c r="D692" s="1" t="str">
        <f t="shared" si="10"/>
        <v>Dairy</v>
      </c>
      <c r="E692" t="s">
        <v>3</v>
      </c>
      <c r="F692" s="2">
        <v>4</v>
      </c>
      <c r="G692" s="3">
        <v>12</v>
      </c>
      <c r="H692" s="3">
        <f>grocery_chain_data[[#This Row],[Quantity]]*grocery_chain_data[[#This Row],[Unit Price]]</f>
        <v>48</v>
      </c>
      <c r="I692" s="3">
        <v>7</v>
      </c>
      <c r="J692" s="3">
        <f>grocery_chain_data[[#This Row],[Total Amount]]-grocery_chain_data[[#This Row],[Discount Amount]]</f>
        <v>41</v>
      </c>
      <c r="K692">
        <v>97</v>
      </c>
      <c r="L692" t="str">
        <f>IF(grocery_chain_data[[#This Row],[Final Amount]]&lt;0,"Return","Sale")</f>
        <v>Sale</v>
      </c>
      <c r="M692">
        <f>IF(grocery_chain_data[[#This Row],[Final Amount]]&lt;0,0,grocery_chain_data[[#This Row],[Final Amount]])</f>
        <v>41</v>
      </c>
    </row>
    <row r="693" spans="1:13" x14ac:dyDescent="0.3">
      <c r="A693">
        <v>7686</v>
      </c>
      <c r="B693" t="s">
        <v>13</v>
      </c>
      <c r="C693" s="1">
        <v>45874</v>
      </c>
      <c r="D693" s="1" t="str">
        <f t="shared" si="10"/>
        <v>Produce</v>
      </c>
      <c r="E693" t="s">
        <v>11</v>
      </c>
      <c r="F693" s="2">
        <v>3</v>
      </c>
      <c r="G693" s="3">
        <v>19</v>
      </c>
      <c r="H693" s="3">
        <f>grocery_chain_data[[#This Row],[Quantity]]*grocery_chain_data[[#This Row],[Unit Price]]</f>
        <v>57</v>
      </c>
      <c r="I693" s="3">
        <v>2</v>
      </c>
      <c r="J693" s="3">
        <f>grocery_chain_data[[#This Row],[Total Amount]]-grocery_chain_data[[#This Row],[Discount Amount]]</f>
        <v>55</v>
      </c>
      <c r="K693">
        <v>411</v>
      </c>
      <c r="L693" t="str">
        <f>IF(grocery_chain_data[[#This Row],[Final Amount]]&lt;0,"Return","Sale")</f>
        <v>Sale</v>
      </c>
      <c r="M693">
        <f>IF(grocery_chain_data[[#This Row],[Final Amount]]&lt;0,0,grocery_chain_data[[#This Row],[Final Amount]])</f>
        <v>55</v>
      </c>
    </row>
    <row r="694" spans="1:13" x14ac:dyDescent="0.3">
      <c r="A694">
        <v>5583</v>
      </c>
      <c r="B694" t="s">
        <v>13</v>
      </c>
      <c r="C694" s="1">
        <v>45170</v>
      </c>
      <c r="D694" s="1" t="str">
        <f t="shared" si="10"/>
        <v>Dairy</v>
      </c>
      <c r="E694" t="s">
        <v>23</v>
      </c>
      <c r="F694" s="2">
        <v>3</v>
      </c>
      <c r="G694" s="3">
        <v>6</v>
      </c>
      <c r="H694" s="3">
        <f>grocery_chain_data[[#This Row],[Quantity]]*grocery_chain_data[[#This Row],[Unit Price]]</f>
        <v>18</v>
      </c>
      <c r="I694" s="3">
        <v>4</v>
      </c>
      <c r="J694" s="3">
        <f>grocery_chain_data[[#This Row],[Total Amount]]-grocery_chain_data[[#This Row],[Discount Amount]]</f>
        <v>14</v>
      </c>
      <c r="K694">
        <v>372</v>
      </c>
      <c r="L694" t="str">
        <f>IF(grocery_chain_data[[#This Row],[Final Amount]]&lt;0,"Return","Sale")</f>
        <v>Sale</v>
      </c>
      <c r="M694">
        <f>IF(grocery_chain_data[[#This Row],[Final Amount]]&lt;0,0,grocery_chain_data[[#This Row],[Final Amount]])</f>
        <v>14</v>
      </c>
    </row>
    <row r="695" spans="1:13" x14ac:dyDescent="0.3">
      <c r="A695">
        <v>7070</v>
      </c>
      <c r="B695" t="s">
        <v>21</v>
      </c>
      <c r="C695" s="1">
        <v>45313</v>
      </c>
      <c r="D695" s="1" t="str">
        <f t="shared" si="10"/>
        <v>Dairy</v>
      </c>
      <c r="E695" t="s">
        <v>20</v>
      </c>
      <c r="F695" s="2">
        <v>3</v>
      </c>
      <c r="G695" s="3">
        <v>1</v>
      </c>
      <c r="H695" s="3">
        <f>grocery_chain_data[[#This Row],[Quantity]]*grocery_chain_data[[#This Row],[Unit Price]]</f>
        <v>3</v>
      </c>
      <c r="I695" s="3">
        <v>1</v>
      </c>
      <c r="J695" s="3">
        <f>grocery_chain_data[[#This Row],[Total Amount]]-grocery_chain_data[[#This Row],[Discount Amount]]</f>
        <v>2</v>
      </c>
      <c r="K695">
        <v>355</v>
      </c>
      <c r="L695" t="str">
        <f>IF(grocery_chain_data[[#This Row],[Final Amount]]&lt;0,"Return","Sale")</f>
        <v>Sale</v>
      </c>
      <c r="M695">
        <f>IF(grocery_chain_data[[#This Row],[Final Amount]]&lt;0,0,grocery_chain_data[[#This Row],[Final Amount]])</f>
        <v>2</v>
      </c>
    </row>
    <row r="696" spans="1:13" x14ac:dyDescent="0.3">
      <c r="A696">
        <v>8264</v>
      </c>
      <c r="B696" t="s">
        <v>10</v>
      </c>
      <c r="C696" s="1">
        <v>45490</v>
      </c>
      <c r="D696" s="1" t="str">
        <f t="shared" si="10"/>
        <v>Produce</v>
      </c>
      <c r="E696" t="s">
        <v>18</v>
      </c>
      <c r="F696" s="2">
        <v>3</v>
      </c>
      <c r="G696" s="3">
        <v>7</v>
      </c>
      <c r="H696" s="3">
        <f>grocery_chain_data[[#This Row],[Quantity]]*grocery_chain_data[[#This Row],[Unit Price]]</f>
        <v>21</v>
      </c>
      <c r="I696" s="3">
        <v>4</v>
      </c>
      <c r="J696" s="3">
        <f>grocery_chain_data[[#This Row],[Total Amount]]-grocery_chain_data[[#This Row],[Discount Amount]]</f>
        <v>17</v>
      </c>
      <c r="K696">
        <v>275</v>
      </c>
      <c r="L696" t="str">
        <f>IF(grocery_chain_data[[#This Row],[Final Amount]]&lt;0,"Return","Sale")</f>
        <v>Sale</v>
      </c>
      <c r="M696">
        <f>IF(grocery_chain_data[[#This Row],[Final Amount]]&lt;0,0,grocery_chain_data[[#This Row],[Final Amount]])</f>
        <v>17</v>
      </c>
    </row>
    <row r="697" spans="1:13" x14ac:dyDescent="0.3">
      <c r="A697">
        <v>4868</v>
      </c>
      <c r="B697" t="s">
        <v>2</v>
      </c>
      <c r="C697" s="1">
        <v>45809</v>
      </c>
      <c r="D697" s="1" t="str">
        <f t="shared" si="10"/>
        <v>Pantry</v>
      </c>
      <c r="E697" t="s">
        <v>1</v>
      </c>
      <c r="F697" s="2">
        <v>5</v>
      </c>
      <c r="G697" s="3">
        <v>15</v>
      </c>
      <c r="H697" s="3">
        <f>grocery_chain_data[[#This Row],[Quantity]]*grocery_chain_data[[#This Row],[Unit Price]]</f>
        <v>75</v>
      </c>
      <c r="I697" s="3">
        <v>0</v>
      </c>
      <c r="J697" s="3">
        <f>grocery_chain_data[[#This Row],[Total Amount]]-grocery_chain_data[[#This Row],[Discount Amount]]</f>
        <v>75</v>
      </c>
      <c r="K697">
        <v>373</v>
      </c>
      <c r="L697" t="str">
        <f>IF(grocery_chain_data[[#This Row],[Final Amount]]&lt;0,"Return","Sale")</f>
        <v>Sale</v>
      </c>
      <c r="M697">
        <f>IF(grocery_chain_data[[#This Row],[Final Amount]]&lt;0,0,grocery_chain_data[[#This Row],[Final Amount]])</f>
        <v>75</v>
      </c>
    </row>
    <row r="698" spans="1:13" x14ac:dyDescent="0.3">
      <c r="A698">
        <v>6942</v>
      </c>
      <c r="B698" t="s">
        <v>13</v>
      </c>
      <c r="C698" s="1">
        <v>45222</v>
      </c>
      <c r="D698" s="1" t="str">
        <f t="shared" si="10"/>
        <v>Produce</v>
      </c>
      <c r="E698" t="s">
        <v>24</v>
      </c>
      <c r="F698" s="2">
        <v>1</v>
      </c>
      <c r="G698" s="3">
        <v>8</v>
      </c>
      <c r="H698" s="3">
        <f>grocery_chain_data[[#This Row],[Quantity]]*grocery_chain_data[[#This Row],[Unit Price]]</f>
        <v>8</v>
      </c>
      <c r="I698" s="3">
        <v>2</v>
      </c>
      <c r="J698" s="3">
        <f>grocery_chain_data[[#This Row],[Total Amount]]-grocery_chain_data[[#This Row],[Discount Amount]]</f>
        <v>6</v>
      </c>
      <c r="K698">
        <v>30</v>
      </c>
      <c r="L698" t="str">
        <f>IF(grocery_chain_data[[#This Row],[Final Amount]]&lt;0,"Return","Sale")</f>
        <v>Sale</v>
      </c>
      <c r="M698">
        <f>IF(grocery_chain_data[[#This Row],[Final Amount]]&lt;0,0,grocery_chain_data[[#This Row],[Final Amount]])</f>
        <v>6</v>
      </c>
    </row>
    <row r="699" spans="1:13" x14ac:dyDescent="0.3">
      <c r="A699">
        <v>7018</v>
      </c>
      <c r="B699" t="s">
        <v>12</v>
      </c>
      <c r="C699" s="1">
        <v>45567</v>
      </c>
      <c r="D699" s="1" t="str">
        <f t="shared" si="10"/>
        <v>Meat &amp; Seafood</v>
      </c>
      <c r="E699" t="s">
        <v>15</v>
      </c>
      <c r="F699" s="2">
        <v>1</v>
      </c>
      <c r="G699" s="3">
        <v>3</v>
      </c>
      <c r="H699" s="3">
        <f>grocery_chain_data[[#This Row],[Quantity]]*grocery_chain_data[[#This Row],[Unit Price]]</f>
        <v>3</v>
      </c>
      <c r="I699" s="3">
        <v>0</v>
      </c>
      <c r="J699" s="3">
        <f>grocery_chain_data[[#This Row],[Total Amount]]-grocery_chain_data[[#This Row],[Discount Amount]]</f>
        <v>3</v>
      </c>
      <c r="K699">
        <v>338</v>
      </c>
      <c r="L699" t="str">
        <f>IF(grocery_chain_data[[#This Row],[Final Amount]]&lt;0,"Return","Sale")</f>
        <v>Sale</v>
      </c>
      <c r="M699">
        <f>IF(grocery_chain_data[[#This Row],[Final Amount]]&lt;0,0,grocery_chain_data[[#This Row],[Final Amount]])</f>
        <v>3</v>
      </c>
    </row>
    <row r="700" spans="1:13" x14ac:dyDescent="0.3">
      <c r="A700">
        <v>6876</v>
      </c>
      <c r="B700" t="s">
        <v>16</v>
      </c>
      <c r="C700" s="1">
        <v>45192</v>
      </c>
      <c r="D700" s="1" t="str">
        <f t="shared" si="10"/>
        <v>Produce</v>
      </c>
      <c r="E700" t="s">
        <v>18</v>
      </c>
      <c r="F700" s="2">
        <v>3</v>
      </c>
      <c r="G700" s="3">
        <v>26</v>
      </c>
      <c r="H700" s="3">
        <f>grocery_chain_data[[#This Row],[Quantity]]*grocery_chain_data[[#This Row],[Unit Price]]</f>
        <v>78</v>
      </c>
      <c r="I700" s="3">
        <v>16</v>
      </c>
      <c r="J700" s="3">
        <f>grocery_chain_data[[#This Row],[Total Amount]]-grocery_chain_data[[#This Row],[Discount Amount]]</f>
        <v>62</v>
      </c>
      <c r="K700">
        <v>332</v>
      </c>
      <c r="L700" t="str">
        <f>IF(grocery_chain_data[[#This Row],[Final Amount]]&lt;0,"Return","Sale")</f>
        <v>Sale</v>
      </c>
      <c r="M700">
        <f>IF(grocery_chain_data[[#This Row],[Final Amount]]&lt;0,0,grocery_chain_data[[#This Row],[Final Amount]])</f>
        <v>62</v>
      </c>
    </row>
    <row r="701" spans="1:13" x14ac:dyDescent="0.3">
      <c r="A701">
        <v>7523</v>
      </c>
      <c r="B701" t="s">
        <v>8</v>
      </c>
      <c r="C701" s="1">
        <v>45359</v>
      </c>
      <c r="D701" s="1" t="str">
        <f t="shared" si="10"/>
        <v>Meat &amp; Seafood</v>
      </c>
      <c r="E701" t="s">
        <v>26</v>
      </c>
      <c r="F701" s="2">
        <v>3</v>
      </c>
      <c r="G701" s="3">
        <v>15</v>
      </c>
      <c r="H701" s="3">
        <f>grocery_chain_data[[#This Row],[Quantity]]*grocery_chain_data[[#This Row],[Unit Price]]</f>
        <v>45</v>
      </c>
      <c r="I701" s="3">
        <v>9</v>
      </c>
      <c r="J701" s="3">
        <f>grocery_chain_data[[#This Row],[Total Amount]]-grocery_chain_data[[#This Row],[Discount Amount]]</f>
        <v>36</v>
      </c>
      <c r="K701">
        <v>305</v>
      </c>
      <c r="L701" t="str">
        <f>IF(grocery_chain_data[[#This Row],[Final Amount]]&lt;0,"Return","Sale")</f>
        <v>Sale</v>
      </c>
      <c r="M701">
        <f>IF(grocery_chain_data[[#This Row],[Final Amount]]&lt;0,0,grocery_chain_data[[#This Row],[Final Amount]])</f>
        <v>36</v>
      </c>
    </row>
    <row r="702" spans="1:13" x14ac:dyDescent="0.3">
      <c r="A702">
        <v>4109</v>
      </c>
      <c r="B702" t="s">
        <v>21</v>
      </c>
      <c r="C702" s="1">
        <v>45239</v>
      </c>
      <c r="D702" s="1" t="str">
        <f t="shared" si="10"/>
        <v>Meat &amp; Seafood</v>
      </c>
      <c r="E702" t="s">
        <v>15</v>
      </c>
      <c r="F702" s="2">
        <v>5</v>
      </c>
      <c r="G702" s="3">
        <v>28</v>
      </c>
      <c r="H702" s="3">
        <f>grocery_chain_data[[#This Row],[Quantity]]*grocery_chain_data[[#This Row],[Unit Price]]</f>
        <v>140</v>
      </c>
      <c r="I702" s="3">
        <v>28</v>
      </c>
      <c r="J702" s="3">
        <f>grocery_chain_data[[#This Row],[Total Amount]]-grocery_chain_data[[#This Row],[Discount Amount]]</f>
        <v>112</v>
      </c>
      <c r="K702">
        <v>11</v>
      </c>
      <c r="L702" t="str">
        <f>IF(grocery_chain_data[[#This Row],[Final Amount]]&lt;0,"Return","Sale")</f>
        <v>Sale</v>
      </c>
      <c r="M702">
        <f>IF(grocery_chain_data[[#This Row],[Final Amount]]&lt;0,0,grocery_chain_data[[#This Row],[Final Amount]])</f>
        <v>112</v>
      </c>
    </row>
    <row r="703" spans="1:13" x14ac:dyDescent="0.3">
      <c r="A703">
        <v>8450</v>
      </c>
      <c r="B703" t="s">
        <v>2</v>
      </c>
      <c r="C703" s="1">
        <v>45216</v>
      </c>
      <c r="D703" s="1" t="str">
        <f t="shared" si="10"/>
        <v>Pantry</v>
      </c>
      <c r="E703" t="s">
        <v>6</v>
      </c>
      <c r="F703" s="2">
        <v>4</v>
      </c>
      <c r="G703" s="3">
        <v>12</v>
      </c>
      <c r="H703" s="3">
        <f>grocery_chain_data[[#This Row],[Quantity]]*grocery_chain_data[[#This Row],[Unit Price]]</f>
        <v>48</v>
      </c>
      <c r="I703" s="3">
        <v>7</v>
      </c>
      <c r="J703" s="3">
        <f>grocery_chain_data[[#This Row],[Total Amount]]-grocery_chain_data[[#This Row],[Discount Amount]]</f>
        <v>41</v>
      </c>
      <c r="K703">
        <v>80</v>
      </c>
      <c r="L703" t="str">
        <f>IF(grocery_chain_data[[#This Row],[Final Amount]]&lt;0,"Return","Sale")</f>
        <v>Sale</v>
      </c>
      <c r="M703">
        <f>IF(grocery_chain_data[[#This Row],[Final Amount]]&lt;0,0,grocery_chain_data[[#This Row],[Final Amount]])</f>
        <v>41</v>
      </c>
    </row>
    <row r="704" spans="1:13" x14ac:dyDescent="0.3">
      <c r="A704">
        <v>4475</v>
      </c>
      <c r="B704" t="s">
        <v>16</v>
      </c>
      <c r="C704" s="1">
        <v>45643</v>
      </c>
      <c r="D704" s="1" t="str">
        <f t="shared" si="10"/>
        <v>Produce</v>
      </c>
      <c r="E704" t="s">
        <v>17</v>
      </c>
      <c r="F704" s="2">
        <v>2</v>
      </c>
      <c r="G704" s="3">
        <v>30</v>
      </c>
      <c r="H704" s="3">
        <f>grocery_chain_data[[#This Row],[Quantity]]*grocery_chain_data[[#This Row],[Unit Price]]</f>
        <v>60</v>
      </c>
      <c r="I704" s="3">
        <v>4</v>
      </c>
      <c r="J704" s="3">
        <f>grocery_chain_data[[#This Row],[Total Amount]]-grocery_chain_data[[#This Row],[Discount Amount]]</f>
        <v>56</v>
      </c>
      <c r="K704">
        <v>256</v>
      </c>
      <c r="L704" t="str">
        <f>IF(grocery_chain_data[[#This Row],[Final Amount]]&lt;0,"Return","Sale")</f>
        <v>Sale</v>
      </c>
      <c r="M704">
        <f>IF(grocery_chain_data[[#This Row],[Final Amount]]&lt;0,0,grocery_chain_data[[#This Row],[Final Amount]])</f>
        <v>56</v>
      </c>
    </row>
    <row r="705" spans="1:13" x14ac:dyDescent="0.3">
      <c r="A705">
        <v>1349</v>
      </c>
      <c r="B705" t="s">
        <v>8</v>
      </c>
      <c r="C705" s="1">
        <v>45184</v>
      </c>
      <c r="D705" s="1" t="str">
        <f t="shared" si="10"/>
        <v>Produce</v>
      </c>
      <c r="E705" t="s">
        <v>4</v>
      </c>
      <c r="F705" s="2">
        <v>3</v>
      </c>
      <c r="G705" s="3">
        <v>8</v>
      </c>
      <c r="H705" s="3">
        <f>grocery_chain_data[[#This Row],[Quantity]]*grocery_chain_data[[#This Row],[Unit Price]]</f>
        <v>24</v>
      </c>
      <c r="I705" s="3">
        <v>0</v>
      </c>
      <c r="J705" s="3">
        <f>grocery_chain_data[[#This Row],[Total Amount]]-grocery_chain_data[[#This Row],[Discount Amount]]</f>
        <v>24</v>
      </c>
      <c r="K705">
        <v>174</v>
      </c>
      <c r="L705" t="str">
        <f>IF(grocery_chain_data[[#This Row],[Final Amount]]&lt;0,"Return","Sale")</f>
        <v>Sale</v>
      </c>
      <c r="M705">
        <f>IF(grocery_chain_data[[#This Row],[Final Amount]]&lt;0,0,grocery_chain_data[[#This Row],[Final Amount]])</f>
        <v>24</v>
      </c>
    </row>
    <row r="706" spans="1:13" x14ac:dyDescent="0.3">
      <c r="A706">
        <v>6464</v>
      </c>
      <c r="B706" t="s">
        <v>5</v>
      </c>
      <c r="C706" s="1">
        <v>45334</v>
      </c>
      <c r="D706" s="1" t="str">
        <f t="shared" ref="D706:D769" si="11">IF(E706="Pasta","Pantry",
IF(E706="Cheese","Dairy",
IF(E706="Onions","Produce",
IF(E706="Cereal","Pantry",
IF(E706="Orange Juice","Beverages",
IF(E706="Ground Beef","Meat &amp; Seafood",
IF(E706="Apples","Produce",
IF(E706="Milk","Dairy",
IF(E706="Bananas","Produce",
IF(E706="Bread","Bakery",
IF(E706="Carrots","Produce",
IF(E706="Chicken Breast","Meat &amp; Seafood",
IF(E706="Eggs","Dairy",
IF(E706="Potatoes","Produce",
IF(E706="Rice","Produce",
IF(E706="Salmon","Meat &amp; Seafood",
IF(E706="Tomatoes","Produce",
IF(E706="Yogurt","Dairy",
"Others"))))))))))))))))))</f>
        <v>Produce</v>
      </c>
      <c r="E706" t="s">
        <v>14</v>
      </c>
      <c r="F706" s="2">
        <v>5</v>
      </c>
      <c r="G706" s="3">
        <v>29</v>
      </c>
      <c r="H706" s="3">
        <f>grocery_chain_data[[#This Row],[Quantity]]*grocery_chain_data[[#This Row],[Unit Price]]</f>
        <v>145</v>
      </c>
      <c r="I706" s="3">
        <v>14</v>
      </c>
      <c r="J706" s="3">
        <f>grocery_chain_data[[#This Row],[Total Amount]]-grocery_chain_data[[#This Row],[Discount Amount]]</f>
        <v>131</v>
      </c>
      <c r="K706">
        <v>313</v>
      </c>
      <c r="L706" t="str">
        <f>IF(grocery_chain_data[[#This Row],[Final Amount]]&lt;0,"Return","Sale")</f>
        <v>Sale</v>
      </c>
      <c r="M706">
        <f>IF(grocery_chain_data[[#This Row],[Final Amount]]&lt;0,0,grocery_chain_data[[#This Row],[Final Amount]])</f>
        <v>131</v>
      </c>
    </row>
    <row r="707" spans="1:13" x14ac:dyDescent="0.3">
      <c r="A707">
        <v>3063</v>
      </c>
      <c r="B707" t="s">
        <v>21</v>
      </c>
      <c r="C707" s="1">
        <v>45756</v>
      </c>
      <c r="D707" s="1" t="str">
        <f t="shared" si="11"/>
        <v>Dairy</v>
      </c>
      <c r="E707" t="s">
        <v>20</v>
      </c>
      <c r="F707" s="2">
        <v>4</v>
      </c>
      <c r="G707" s="3">
        <v>29</v>
      </c>
      <c r="H707" s="3">
        <f>grocery_chain_data[[#This Row],[Quantity]]*grocery_chain_data[[#This Row],[Unit Price]]</f>
        <v>116</v>
      </c>
      <c r="I707" s="3">
        <v>12</v>
      </c>
      <c r="J707" s="3">
        <f>grocery_chain_data[[#This Row],[Total Amount]]-grocery_chain_data[[#This Row],[Discount Amount]]</f>
        <v>104</v>
      </c>
      <c r="K707">
        <v>465</v>
      </c>
      <c r="L707" t="str">
        <f>IF(grocery_chain_data[[#This Row],[Final Amount]]&lt;0,"Return","Sale")</f>
        <v>Sale</v>
      </c>
      <c r="M707">
        <f>IF(grocery_chain_data[[#This Row],[Final Amount]]&lt;0,0,grocery_chain_data[[#This Row],[Final Amount]])</f>
        <v>104</v>
      </c>
    </row>
    <row r="708" spans="1:13" x14ac:dyDescent="0.3">
      <c r="A708">
        <v>4362</v>
      </c>
      <c r="B708" t="s">
        <v>2</v>
      </c>
      <c r="C708" s="1">
        <v>45198</v>
      </c>
      <c r="D708" s="1" t="str">
        <f t="shared" si="11"/>
        <v>Dairy</v>
      </c>
      <c r="E708" t="s">
        <v>23</v>
      </c>
      <c r="F708" s="2">
        <v>2</v>
      </c>
      <c r="G708" s="3">
        <v>18</v>
      </c>
      <c r="H708" s="3">
        <f>grocery_chain_data[[#This Row],[Quantity]]*grocery_chain_data[[#This Row],[Unit Price]]</f>
        <v>36</v>
      </c>
      <c r="I708" s="3">
        <v>7</v>
      </c>
      <c r="J708" s="3">
        <f>grocery_chain_data[[#This Row],[Total Amount]]-grocery_chain_data[[#This Row],[Discount Amount]]</f>
        <v>29</v>
      </c>
      <c r="K708">
        <v>350</v>
      </c>
      <c r="L708" t="str">
        <f>IF(grocery_chain_data[[#This Row],[Final Amount]]&lt;0,"Return","Sale")</f>
        <v>Sale</v>
      </c>
      <c r="M708">
        <f>IF(grocery_chain_data[[#This Row],[Final Amount]]&lt;0,0,grocery_chain_data[[#This Row],[Final Amount]])</f>
        <v>29</v>
      </c>
    </row>
    <row r="709" spans="1:13" x14ac:dyDescent="0.3">
      <c r="A709">
        <v>4394</v>
      </c>
      <c r="B709" t="s">
        <v>12</v>
      </c>
      <c r="C709" s="1">
        <v>45600</v>
      </c>
      <c r="D709" s="1" t="str">
        <f t="shared" si="11"/>
        <v>Dairy</v>
      </c>
      <c r="E709" t="s">
        <v>20</v>
      </c>
      <c r="F709" s="2">
        <v>4</v>
      </c>
      <c r="G709" s="3">
        <v>30</v>
      </c>
      <c r="H709" s="3">
        <f>grocery_chain_data[[#This Row],[Quantity]]*grocery_chain_data[[#This Row],[Unit Price]]</f>
        <v>120</v>
      </c>
      <c r="I709" s="3">
        <v>0</v>
      </c>
      <c r="J709" s="3">
        <f>grocery_chain_data[[#This Row],[Total Amount]]-grocery_chain_data[[#This Row],[Discount Amount]]</f>
        <v>120</v>
      </c>
      <c r="K709">
        <v>499</v>
      </c>
      <c r="L709" t="str">
        <f>IF(grocery_chain_data[[#This Row],[Final Amount]]&lt;0,"Return","Sale")</f>
        <v>Sale</v>
      </c>
      <c r="M709">
        <f>IF(grocery_chain_data[[#This Row],[Final Amount]]&lt;0,0,grocery_chain_data[[#This Row],[Final Amount]])</f>
        <v>120</v>
      </c>
    </row>
    <row r="710" spans="1:13" x14ac:dyDescent="0.3">
      <c r="A710">
        <v>4538</v>
      </c>
      <c r="B710" t="s">
        <v>5</v>
      </c>
      <c r="C710" s="1">
        <v>45776</v>
      </c>
      <c r="D710" s="1" t="str">
        <f t="shared" si="11"/>
        <v>Bakery</v>
      </c>
      <c r="E710" t="s">
        <v>22</v>
      </c>
      <c r="F710" s="2">
        <v>5</v>
      </c>
      <c r="G710" s="3">
        <v>16</v>
      </c>
      <c r="H710" s="3">
        <f>grocery_chain_data[[#This Row],[Quantity]]*grocery_chain_data[[#This Row],[Unit Price]]</f>
        <v>80</v>
      </c>
      <c r="I710" s="3">
        <v>16</v>
      </c>
      <c r="J710" s="3">
        <f>grocery_chain_data[[#This Row],[Total Amount]]-grocery_chain_data[[#This Row],[Discount Amount]]</f>
        <v>64</v>
      </c>
      <c r="K710">
        <v>368</v>
      </c>
      <c r="L710" t="str">
        <f>IF(grocery_chain_data[[#This Row],[Final Amount]]&lt;0,"Return","Sale")</f>
        <v>Sale</v>
      </c>
      <c r="M710">
        <f>IF(grocery_chain_data[[#This Row],[Final Amount]]&lt;0,0,grocery_chain_data[[#This Row],[Final Amount]])</f>
        <v>64</v>
      </c>
    </row>
    <row r="711" spans="1:13" x14ac:dyDescent="0.3">
      <c r="A711">
        <v>4817</v>
      </c>
      <c r="B711" t="s">
        <v>16</v>
      </c>
      <c r="C711" s="1">
        <v>45400</v>
      </c>
      <c r="D711" s="1" t="str">
        <f t="shared" si="11"/>
        <v>Produce</v>
      </c>
      <c r="E711" t="s">
        <v>18</v>
      </c>
      <c r="F711" s="2">
        <v>3</v>
      </c>
      <c r="G711" s="3">
        <v>27</v>
      </c>
      <c r="H711" s="3">
        <f>grocery_chain_data[[#This Row],[Quantity]]*grocery_chain_data[[#This Row],[Unit Price]]</f>
        <v>81</v>
      </c>
      <c r="I711" s="3">
        <v>12</v>
      </c>
      <c r="J711" s="3">
        <f>grocery_chain_data[[#This Row],[Total Amount]]-grocery_chain_data[[#This Row],[Discount Amount]]</f>
        <v>69</v>
      </c>
      <c r="K711">
        <v>211</v>
      </c>
      <c r="L711" t="str">
        <f>IF(grocery_chain_data[[#This Row],[Final Amount]]&lt;0,"Return","Sale")</f>
        <v>Sale</v>
      </c>
      <c r="M711">
        <f>IF(grocery_chain_data[[#This Row],[Final Amount]]&lt;0,0,grocery_chain_data[[#This Row],[Final Amount]])</f>
        <v>69</v>
      </c>
    </row>
    <row r="712" spans="1:13" x14ac:dyDescent="0.3">
      <c r="A712">
        <v>3417</v>
      </c>
      <c r="B712" t="s">
        <v>10</v>
      </c>
      <c r="C712" s="1">
        <v>45757</v>
      </c>
      <c r="D712" s="1" t="str">
        <f t="shared" si="11"/>
        <v>Pantry</v>
      </c>
      <c r="E712" t="s">
        <v>1</v>
      </c>
      <c r="F712" s="2">
        <v>2</v>
      </c>
      <c r="G712" s="3">
        <v>24</v>
      </c>
      <c r="H712" s="3">
        <f>grocery_chain_data[[#This Row],[Quantity]]*grocery_chain_data[[#This Row],[Unit Price]]</f>
        <v>48</v>
      </c>
      <c r="I712" s="3">
        <v>9</v>
      </c>
      <c r="J712" s="3">
        <f>grocery_chain_data[[#This Row],[Total Amount]]-grocery_chain_data[[#This Row],[Discount Amount]]</f>
        <v>39</v>
      </c>
      <c r="K712">
        <v>54</v>
      </c>
      <c r="L712" t="str">
        <f>IF(grocery_chain_data[[#This Row],[Final Amount]]&lt;0,"Return","Sale")</f>
        <v>Sale</v>
      </c>
      <c r="M712">
        <f>IF(grocery_chain_data[[#This Row],[Final Amount]]&lt;0,0,grocery_chain_data[[#This Row],[Final Amount]])</f>
        <v>39</v>
      </c>
    </row>
    <row r="713" spans="1:13" x14ac:dyDescent="0.3">
      <c r="A713">
        <v>1046</v>
      </c>
      <c r="B713" t="s">
        <v>13</v>
      </c>
      <c r="C713" s="1">
        <v>45360</v>
      </c>
      <c r="D713" s="1" t="str">
        <f t="shared" si="11"/>
        <v>Pantry</v>
      </c>
      <c r="E713" t="s">
        <v>1</v>
      </c>
      <c r="F713" s="2">
        <v>5</v>
      </c>
      <c r="G713" s="3">
        <v>17</v>
      </c>
      <c r="H713" s="3">
        <f>grocery_chain_data[[#This Row],[Quantity]]*grocery_chain_data[[#This Row],[Unit Price]]</f>
        <v>85</v>
      </c>
      <c r="I713" s="3">
        <v>17</v>
      </c>
      <c r="J713" s="3">
        <f>grocery_chain_data[[#This Row],[Total Amount]]-grocery_chain_data[[#This Row],[Discount Amount]]</f>
        <v>68</v>
      </c>
      <c r="K713">
        <v>118</v>
      </c>
      <c r="L713" t="str">
        <f>IF(grocery_chain_data[[#This Row],[Final Amount]]&lt;0,"Return","Sale")</f>
        <v>Sale</v>
      </c>
      <c r="M713">
        <f>IF(grocery_chain_data[[#This Row],[Final Amount]]&lt;0,0,grocery_chain_data[[#This Row],[Final Amount]])</f>
        <v>68</v>
      </c>
    </row>
    <row r="714" spans="1:13" x14ac:dyDescent="0.3">
      <c r="A714">
        <v>3370</v>
      </c>
      <c r="B714" t="s">
        <v>13</v>
      </c>
      <c r="C714" s="1">
        <v>45245</v>
      </c>
      <c r="D714" s="1" t="str">
        <f t="shared" si="11"/>
        <v>Bakery</v>
      </c>
      <c r="E714" t="s">
        <v>22</v>
      </c>
      <c r="F714" s="2">
        <v>4</v>
      </c>
      <c r="G714" s="3">
        <v>5</v>
      </c>
      <c r="H714" s="3">
        <f>grocery_chain_data[[#This Row],[Quantity]]*grocery_chain_data[[#This Row],[Unit Price]]</f>
        <v>20</v>
      </c>
      <c r="I714" s="3">
        <v>0</v>
      </c>
      <c r="J714" s="3">
        <f>grocery_chain_data[[#This Row],[Total Amount]]-grocery_chain_data[[#This Row],[Discount Amount]]</f>
        <v>20</v>
      </c>
      <c r="K714">
        <v>433</v>
      </c>
      <c r="L714" t="str">
        <f>IF(grocery_chain_data[[#This Row],[Final Amount]]&lt;0,"Return","Sale")</f>
        <v>Sale</v>
      </c>
      <c r="M714">
        <f>IF(grocery_chain_data[[#This Row],[Final Amount]]&lt;0,0,grocery_chain_data[[#This Row],[Final Amount]])</f>
        <v>20</v>
      </c>
    </row>
    <row r="715" spans="1:13" x14ac:dyDescent="0.3">
      <c r="A715">
        <v>9850</v>
      </c>
      <c r="B715" t="s">
        <v>16</v>
      </c>
      <c r="C715" s="1">
        <v>45339</v>
      </c>
      <c r="D715" s="1" t="str">
        <f t="shared" si="11"/>
        <v>Produce</v>
      </c>
      <c r="E715" t="s">
        <v>14</v>
      </c>
      <c r="F715" s="2">
        <v>4</v>
      </c>
      <c r="G715" s="3">
        <v>15</v>
      </c>
      <c r="H715" s="3">
        <f>grocery_chain_data[[#This Row],[Quantity]]*grocery_chain_data[[#This Row],[Unit Price]]</f>
        <v>60</v>
      </c>
      <c r="I715" s="3">
        <v>12</v>
      </c>
      <c r="J715" s="3">
        <f>grocery_chain_data[[#This Row],[Total Amount]]-grocery_chain_data[[#This Row],[Discount Amount]]</f>
        <v>48</v>
      </c>
      <c r="K715">
        <v>83</v>
      </c>
      <c r="L715" t="str">
        <f>IF(grocery_chain_data[[#This Row],[Final Amount]]&lt;0,"Return","Sale")</f>
        <v>Sale</v>
      </c>
      <c r="M715">
        <f>IF(grocery_chain_data[[#This Row],[Final Amount]]&lt;0,0,grocery_chain_data[[#This Row],[Final Amount]])</f>
        <v>48</v>
      </c>
    </row>
    <row r="716" spans="1:13" x14ac:dyDescent="0.3">
      <c r="A716">
        <v>3858</v>
      </c>
      <c r="B716" t="s">
        <v>13</v>
      </c>
      <c r="C716" s="1">
        <v>45230</v>
      </c>
      <c r="D716" s="1" t="str">
        <f t="shared" si="11"/>
        <v>Produce</v>
      </c>
      <c r="E716" t="s">
        <v>18</v>
      </c>
      <c r="F716" s="2">
        <v>3</v>
      </c>
      <c r="G716" s="3">
        <v>29</v>
      </c>
      <c r="H716" s="3">
        <f>grocery_chain_data[[#This Row],[Quantity]]*grocery_chain_data[[#This Row],[Unit Price]]</f>
        <v>87</v>
      </c>
      <c r="I716" s="3">
        <v>17</v>
      </c>
      <c r="J716" s="3">
        <f>grocery_chain_data[[#This Row],[Total Amount]]-grocery_chain_data[[#This Row],[Discount Amount]]</f>
        <v>70</v>
      </c>
      <c r="K716">
        <v>113</v>
      </c>
      <c r="L716" t="str">
        <f>IF(grocery_chain_data[[#This Row],[Final Amount]]&lt;0,"Return","Sale")</f>
        <v>Sale</v>
      </c>
      <c r="M716">
        <f>IF(grocery_chain_data[[#This Row],[Final Amount]]&lt;0,0,grocery_chain_data[[#This Row],[Final Amount]])</f>
        <v>70</v>
      </c>
    </row>
    <row r="717" spans="1:13" x14ac:dyDescent="0.3">
      <c r="A717">
        <v>1422</v>
      </c>
      <c r="B717" t="s">
        <v>0</v>
      </c>
      <c r="C717" s="1">
        <v>45247</v>
      </c>
      <c r="D717" s="1" t="str">
        <f t="shared" si="11"/>
        <v>Meat &amp; Seafood</v>
      </c>
      <c r="E717" t="s">
        <v>15</v>
      </c>
      <c r="F717" s="2">
        <v>5</v>
      </c>
      <c r="G717" s="3">
        <v>15</v>
      </c>
      <c r="H717" s="3">
        <f>grocery_chain_data[[#This Row],[Quantity]]*grocery_chain_data[[#This Row],[Unit Price]]</f>
        <v>75</v>
      </c>
      <c r="I717" s="3">
        <v>15</v>
      </c>
      <c r="J717" s="3">
        <f>grocery_chain_data[[#This Row],[Total Amount]]-grocery_chain_data[[#This Row],[Discount Amount]]</f>
        <v>60</v>
      </c>
      <c r="K717">
        <v>166</v>
      </c>
      <c r="L717" t="str">
        <f>IF(grocery_chain_data[[#This Row],[Final Amount]]&lt;0,"Return","Sale")</f>
        <v>Sale</v>
      </c>
      <c r="M717">
        <f>IF(grocery_chain_data[[#This Row],[Final Amount]]&lt;0,0,grocery_chain_data[[#This Row],[Final Amount]])</f>
        <v>60</v>
      </c>
    </row>
    <row r="718" spans="1:13" x14ac:dyDescent="0.3">
      <c r="A718">
        <v>1243</v>
      </c>
      <c r="B718" t="s">
        <v>8</v>
      </c>
      <c r="C718" s="1">
        <v>45423</v>
      </c>
      <c r="D718" s="1" t="str">
        <f t="shared" si="11"/>
        <v>Dairy</v>
      </c>
      <c r="E718" t="s">
        <v>19</v>
      </c>
      <c r="F718" s="2">
        <v>5</v>
      </c>
      <c r="G718" s="3">
        <v>22</v>
      </c>
      <c r="H718" s="3">
        <f>grocery_chain_data[[#This Row],[Quantity]]*grocery_chain_data[[#This Row],[Unit Price]]</f>
        <v>110</v>
      </c>
      <c r="I718" s="3">
        <v>11</v>
      </c>
      <c r="J718" s="3">
        <f>grocery_chain_data[[#This Row],[Total Amount]]-grocery_chain_data[[#This Row],[Discount Amount]]</f>
        <v>99</v>
      </c>
      <c r="K718">
        <v>194</v>
      </c>
      <c r="L718" t="str">
        <f>IF(grocery_chain_data[[#This Row],[Final Amount]]&lt;0,"Return","Sale")</f>
        <v>Sale</v>
      </c>
      <c r="M718">
        <f>IF(grocery_chain_data[[#This Row],[Final Amount]]&lt;0,0,grocery_chain_data[[#This Row],[Final Amount]])</f>
        <v>99</v>
      </c>
    </row>
    <row r="719" spans="1:13" x14ac:dyDescent="0.3">
      <c r="A719">
        <v>4898</v>
      </c>
      <c r="B719" t="s">
        <v>2</v>
      </c>
      <c r="C719" s="1">
        <v>45602</v>
      </c>
      <c r="D719" s="1" t="str">
        <f t="shared" si="11"/>
        <v>Dairy</v>
      </c>
      <c r="E719" t="s">
        <v>19</v>
      </c>
      <c r="F719" s="2">
        <v>5</v>
      </c>
      <c r="G719" s="3">
        <v>4</v>
      </c>
      <c r="H719" s="3">
        <f>grocery_chain_data[[#This Row],[Quantity]]*grocery_chain_data[[#This Row],[Unit Price]]</f>
        <v>20</v>
      </c>
      <c r="I719" s="3">
        <v>4</v>
      </c>
      <c r="J719" s="3">
        <f>grocery_chain_data[[#This Row],[Total Amount]]-grocery_chain_data[[#This Row],[Discount Amount]]</f>
        <v>16</v>
      </c>
      <c r="K719">
        <v>233</v>
      </c>
      <c r="L719" t="str">
        <f>IF(grocery_chain_data[[#This Row],[Final Amount]]&lt;0,"Return","Sale")</f>
        <v>Sale</v>
      </c>
      <c r="M719">
        <f>IF(grocery_chain_data[[#This Row],[Final Amount]]&lt;0,0,grocery_chain_data[[#This Row],[Final Amount]])</f>
        <v>16</v>
      </c>
    </row>
    <row r="720" spans="1:13" x14ac:dyDescent="0.3">
      <c r="A720">
        <v>6304</v>
      </c>
      <c r="B720" t="s">
        <v>2</v>
      </c>
      <c r="C720" s="1">
        <v>45157</v>
      </c>
      <c r="D720" s="1" t="str">
        <f t="shared" si="11"/>
        <v>Produce</v>
      </c>
      <c r="E720" t="s">
        <v>14</v>
      </c>
      <c r="F720" s="2">
        <v>1</v>
      </c>
      <c r="G720" s="3">
        <v>17</v>
      </c>
      <c r="H720" s="3">
        <f>grocery_chain_data[[#This Row],[Quantity]]*grocery_chain_data[[#This Row],[Unit Price]]</f>
        <v>17</v>
      </c>
      <c r="I720" s="3">
        <v>3</v>
      </c>
      <c r="J720" s="3">
        <f>grocery_chain_data[[#This Row],[Total Amount]]-grocery_chain_data[[#This Row],[Discount Amount]]</f>
        <v>14</v>
      </c>
      <c r="K720">
        <v>264</v>
      </c>
      <c r="L720" t="str">
        <f>IF(grocery_chain_data[[#This Row],[Final Amount]]&lt;0,"Return","Sale")</f>
        <v>Sale</v>
      </c>
      <c r="M720">
        <f>IF(grocery_chain_data[[#This Row],[Final Amount]]&lt;0,0,grocery_chain_data[[#This Row],[Final Amount]])</f>
        <v>14</v>
      </c>
    </row>
    <row r="721" spans="1:13" x14ac:dyDescent="0.3">
      <c r="A721">
        <v>3854</v>
      </c>
      <c r="B721" t="s">
        <v>12</v>
      </c>
      <c r="C721" s="1">
        <v>45351</v>
      </c>
      <c r="D721" s="1" t="str">
        <f t="shared" si="11"/>
        <v>Produce</v>
      </c>
      <c r="E721" t="s">
        <v>14</v>
      </c>
      <c r="F721" s="2">
        <v>3</v>
      </c>
      <c r="G721" s="3">
        <v>23</v>
      </c>
      <c r="H721" s="3">
        <f>grocery_chain_data[[#This Row],[Quantity]]*grocery_chain_data[[#This Row],[Unit Price]]</f>
        <v>69</v>
      </c>
      <c r="I721" s="3">
        <v>14</v>
      </c>
      <c r="J721" s="3">
        <f>grocery_chain_data[[#This Row],[Total Amount]]-grocery_chain_data[[#This Row],[Discount Amount]]</f>
        <v>55</v>
      </c>
      <c r="K721">
        <v>146</v>
      </c>
      <c r="L721" t="str">
        <f>IF(grocery_chain_data[[#This Row],[Final Amount]]&lt;0,"Return","Sale")</f>
        <v>Sale</v>
      </c>
      <c r="M721">
        <f>IF(grocery_chain_data[[#This Row],[Final Amount]]&lt;0,0,grocery_chain_data[[#This Row],[Final Amount]])</f>
        <v>55</v>
      </c>
    </row>
    <row r="722" spans="1:13" x14ac:dyDescent="0.3">
      <c r="A722">
        <v>1858</v>
      </c>
      <c r="B722" t="s">
        <v>8</v>
      </c>
      <c r="C722" s="1">
        <v>45243</v>
      </c>
      <c r="D722" s="1" t="str">
        <f t="shared" si="11"/>
        <v>Dairy</v>
      </c>
      <c r="E722" t="s">
        <v>19</v>
      </c>
      <c r="F722" s="2">
        <v>5</v>
      </c>
      <c r="G722" s="3">
        <v>27</v>
      </c>
      <c r="H722" s="3">
        <f>grocery_chain_data[[#This Row],[Quantity]]*grocery_chain_data[[#This Row],[Unit Price]]</f>
        <v>135</v>
      </c>
      <c r="I722" s="3">
        <v>4</v>
      </c>
      <c r="J722" s="3">
        <f>grocery_chain_data[[#This Row],[Total Amount]]-grocery_chain_data[[#This Row],[Discount Amount]]</f>
        <v>131</v>
      </c>
      <c r="K722">
        <v>237</v>
      </c>
      <c r="L722" t="str">
        <f>IF(grocery_chain_data[[#This Row],[Final Amount]]&lt;0,"Return","Sale")</f>
        <v>Sale</v>
      </c>
      <c r="M722">
        <f>IF(grocery_chain_data[[#This Row],[Final Amount]]&lt;0,0,grocery_chain_data[[#This Row],[Final Amount]])</f>
        <v>131</v>
      </c>
    </row>
    <row r="723" spans="1:13" x14ac:dyDescent="0.3">
      <c r="A723">
        <v>7897</v>
      </c>
      <c r="B723" t="s">
        <v>0</v>
      </c>
      <c r="C723" s="1">
        <v>45553</v>
      </c>
      <c r="D723" s="1" t="str">
        <f t="shared" si="11"/>
        <v>Produce</v>
      </c>
      <c r="E723" t="s">
        <v>4</v>
      </c>
      <c r="F723" s="2">
        <v>2</v>
      </c>
      <c r="G723" s="3">
        <v>12</v>
      </c>
      <c r="H723" s="3">
        <f>grocery_chain_data[[#This Row],[Quantity]]*grocery_chain_data[[#This Row],[Unit Price]]</f>
        <v>24</v>
      </c>
      <c r="I723" s="3">
        <v>2</v>
      </c>
      <c r="J723" s="3">
        <f>grocery_chain_data[[#This Row],[Total Amount]]-grocery_chain_data[[#This Row],[Discount Amount]]</f>
        <v>22</v>
      </c>
      <c r="K723">
        <v>165</v>
      </c>
      <c r="L723" t="str">
        <f>IF(grocery_chain_data[[#This Row],[Final Amount]]&lt;0,"Return","Sale")</f>
        <v>Sale</v>
      </c>
      <c r="M723">
        <f>IF(grocery_chain_data[[#This Row],[Final Amount]]&lt;0,0,grocery_chain_data[[#This Row],[Final Amount]])</f>
        <v>22</v>
      </c>
    </row>
    <row r="724" spans="1:13" x14ac:dyDescent="0.3">
      <c r="A724">
        <v>2862</v>
      </c>
      <c r="B724" t="s">
        <v>21</v>
      </c>
      <c r="C724" s="1">
        <v>45724</v>
      </c>
      <c r="D724" s="1" t="str">
        <f t="shared" si="11"/>
        <v>Bakery</v>
      </c>
      <c r="E724" t="s">
        <v>22</v>
      </c>
      <c r="F724" s="2">
        <v>3</v>
      </c>
      <c r="G724" s="3">
        <v>10</v>
      </c>
      <c r="H724" s="3">
        <f>grocery_chain_data[[#This Row],[Quantity]]*grocery_chain_data[[#This Row],[Unit Price]]</f>
        <v>30</v>
      </c>
      <c r="I724" s="3">
        <v>0</v>
      </c>
      <c r="J724" s="3">
        <f>grocery_chain_data[[#This Row],[Total Amount]]-grocery_chain_data[[#This Row],[Discount Amount]]</f>
        <v>30</v>
      </c>
      <c r="K724">
        <v>332</v>
      </c>
      <c r="L724" t="str">
        <f>IF(grocery_chain_data[[#This Row],[Final Amount]]&lt;0,"Return","Sale")</f>
        <v>Sale</v>
      </c>
      <c r="M724">
        <f>IF(grocery_chain_data[[#This Row],[Final Amount]]&lt;0,0,grocery_chain_data[[#This Row],[Final Amount]])</f>
        <v>30</v>
      </c>
    </row>
    <row r="725" spans="1:13" x14ac:dyDescent="0.3">
      <c r="A725">
        <v>2041</v>
      </c>
      <c r="B725" t="s">
        <v>0</v>
      </c>
      <c r="C725" s="1">
        <v>45514</v>
      </c>
      <c r="D725" s="1" t="str">
        <f t="shared" si="11"/>
        <v>Meat &amp; Seafood</v>
      </c>
      <c r="E725" t="s">
        <v>26</v>
      </c>
      <c r="F725" s="2">
        <v>4</v>
      </c>
      <c r="G725" s="3">
        <v>19</v>
      </c>
      <c r="H725" s="3">
        <f>grocery_chain_data[[#This Row],[Quantity]]*grocery_chain_data[[#This Row],[Unit Price]]</f>
        <v>76</v>
      </c>
      <c r="I725" s="3">
        <v>0</v>
      </c>
      <c r="J725" s="3">
        <f>grocery_chain_data[[#This Row],[Total Amount]]-grocery_chain_data[[#This Row],[Discount Amount]]</f>
        <v>76</v>
      </c>
      <c r="K725">
        <v>43</v>
      </c>
      <c r="L725" t="str">
        <f>IF(grocery_chain_data[[#This Row],[Final Amount]]&lt;0,"Return","Sale")</f>
        <v>Sale</v>
      </c>
      <c r="M725">
        <f>IF(grocery_chain_data[[#This Row],[Final Amount]]&lt;0,0,grocery_chain_data[[#This Row],[Final Amount]])</f>
        <v>76</v>
      </c>
    </row>
    <row r="726" spans="1:13" x14ac:dyDescent="0.3">
      <c r="A726">
        <v>8344</v>
      </c>
      <c r="B726" t="s">
        <v>2</v>
      </c>
      <c r="C726" s="1">
        <v>45749</v>
      </c>
      <c r="D726" s="1" t="str">
        <f t="shared" si="11"/>
        <v>Produce</v>
      </c>
      <c r="E726" t="s">
        <v>11</v>
      </c>
      <c r="F726" s="2">
        <v>4</v>
      </c>
      <c r="G726" s="3">
        <v>17</v>
      </c>
      <c r="H726" s="3">
        <f>grocery_chain_data[[#This Row],[Quantity]]*grocery_chain_data[[#This Row],[Unit Price]]</f>
        <v>68</v>
      </c>
      <c r="I726" s="3">
        <v>10</v>
      </c>
      <c r="J726" s="3">
        <f>grocery_chain_data[[#This Row],[Total Amount]]-grocery_chain_data[[#This Row],[Discount Amount]]</f>
        <v>58</v>
      </c>
      <c r="K726">
        <v>22</v>
      </c>
      <c r="L726" t="str">
        <f>IF(grocery_chain_data[[#This Row],[Final Amount]]&lt;0,"Return","Sale")</f>
        <v>Sale</v>
      </c>
      <c r="M726">
        <f>IF(grocery_chain_data[[#This Row],[Final Amount]]&lt;0,0,grocery_chain_data[[#This Row],[Final Amount]])</f>
        <v>58</v>
      </c>
    </row>
    <row r="727" spans="1:13" x14ac:dyDescent="0.3">
      <c r="A727">
        <v>6931</v>
      </c>
      <c r="B727" t="s">
        <v>5</v>
      </c>
      <c r="C727" s="1">
        <v>45543</v>
      </c>
      <c r="D727" s="1" t="str">
        <f t="shared" si="11"/>
        <v>Dairy</v>
      </c>
      <c r="E727" t="s">
        <v>20</v>
      </c>
      <c r="F727" s="2">
        <v>2</v>
      </c>
      <c r="G727" s="3">
        <v>23</v>
      </c>
      <c r="H727" s="3">
        <f>grocery_chain_data[[#This Row],[Quantity]]*grocery_chain_data[[#This Row],[Unit Price]]</f>
        <v>46</v>
      </c>
      <c r="I727" s="3">
        <v>7</v>
      </c>
      <c r="J727" s="3">
        <f>grocery_chain_data[[#This Row],[Total Amount]]-grocery_chain_data[[#This Row],[Discount Amount]]</f>
        <v>39</v>
      </c>
      <c r="K727">
        <v>26</v>
      </c>
      <c r="L727" t="str">
        <f>IF(grocery_chain_data[[#This Row],[Final Amount]]&lt;0,"Return","Sale")</f>
        <v>Sale</v>
      </c>
      <c r="M727">
        <f>IF(grocery_chain_data[[#This Row],[Final Amount]]&lt;0,0,grocery_chain_data[[#This Row],[Final Amount]])</f>
        <v>39</v>
      </c>
    </row>
    <row r="728" spans="1:13" x14ac:dyDescent="0.3">
      <c r="A728">
        <v>2786</v>
      </c>
      <c r="B728" t="s">
        <v>12</v>
      </c>
      <c r="C728" s="1">
        <v>45496</v>
      </c>
      <c r="D728" s="1" t="str">
        <f t="shared" si="11"/>
        <v>Produce</v>
      </c>
      <c r="E728" t="s">
        <v>17</v>
      </c>
      <c r="F728" s="2">
        <v>2</v>
      </c>
      <c r="G728" s="3">
        <v>4</v>
      </c>
      <c r="H728" s="3">
        <f>grocery_chain_data[[#This Row],[Quantity]]*grocery_chain_data[[#This Row],[Unit Price]]</f>
        <v>8</v>
      </c>
      <c r="I728" s="3">
        <v>3</v>
      </c>
      <c r="J728" s="3">
        <f>grocery_chain_data[[#This Row],[Total Amount]]-grocery_chain_data[[#This Row],[Discount Amount]]</f>
        <v>5</v>
      </c>
      <c r="K728">
        <v>67</v>
      </c>
      <c r="L728" t="str">
        <f>IF(grocery_chain_data[[#This Row],[Final Amount]]&lt;0,"Return","Sale")</f>
        <v>Sale</v>
      </c>
      <c r="M728">
        <f>IF(grocery_chain_data[[#This Row],[Final Amount]]&lt;0,0,grocery_chain_data[[#This Row],[Final Amount]])</f>
        <v>5</v>
      </c>
    </row>
    <row r="729" spans="1:13" x14ac:dyDescent="0.3">
      <c r="A729">
        <v>9254</v>
      </c>
      <c r="B729" t="s">
        <v>12</v>
      </c>
      <c r="C729" s="1">
        <v>45317</v>
      </c>
      <c r="D729" s="1" t="str">
        <f t="shared" si="11"/>
        <v>Meat &amp; Seafood</v>
      </c>
      <c r="E729" t="s">
        <v>15</v>
      </c>
      <c r="F729" s="2">
        <v>4</v>
      </c>
      <c r="G729" s="3">
        <v>26</v>
      </c>
      <c r="H729" s="3">
        <f>grocery_chain_data[[#This Row],[Quantity]]*grocery_chain_data[[#This Row],[Unit Price]]</f>
        <v>104</v>
      </c>
      <c r="I729" s="3">
        <v>5</v>
      </c>
      <c r="J729" s="3">
        <f>grocery_chain_data[[#This Row],[Total Amount]]-grocery_chain_data[[#This Row],[Discount Amount]]</f>
        <v>99</v>
      </c>
      <c r="K729">
        <v>278</v>
      </c>
      <c r="L729" t="str">
        <f>IF(grocery_chain_data[[#This Row],[Final Amount]]&lt;0,"Return","Sale")</f>
        <v>Sale</v>
      </c>
      <c r="M729">
        <f>IF(grocery_chain_data[[#This Row],[Final Amount]]&lt;0,0,grocery_chain_data[[#This Row],[Final Amount]])</f>
        <v>99</v>
      </c>
    </row>
    <row r="730" spans="1:13" x14ac:dyDescent="0.3">
      <c r="A730">
        <v>1710</v>
      </c>
      <c r="B730" t="s">
        <v>21</v>
      </c>
      <c r="C730" s="1">
        <v>45709</v>
      </c>
      <c r="D730" s="1" t="str">
        <f t="shared" si="11"/>
        <v>Produce</v>
      </c>
      <c r="E730" t="s">
        <v>25</v>
      </c>
      <c r="F730" s="2">
        <v>4</v>
      </c>
      <c r="G730" s="3">
        <v>13</v>
      </c>
      <c r="H730" s="3">
        <f>grocery_chain_data[[#This Row],[Quantity]]*grocery_chain_data[[#This Row],[Unit Price]]</f>
        <v>52</v>
      </c>
      <c r="I730" s="3">
        <v>10</v>
      </c>
      <c r="J730" s="3">
        <f>grocery_chain_data[[#This Row],[Total Amount]]-grocery_chain_data[[#This Row],[Discount Amount]]</f>
        <v>42</v>
      </c>
      <c r="K730">
        <v>40</v>
      </c>
      <c r="L730" t="str">
        <f>IF(grocery_chain_data[[#This Row],[Final Amount]]&lt;0,"Return","Sale")</f>
        <v>Sale</v>
      </c>
      <c r="M730">
        <f>IF(grocery_chain_data[[#This Row],[Final Amount]]&lt;0,0,grocery_chain_data[[#This Row],[Final Amount]])</f>
        <v>42</v>
      </c>
    </row>
    <row r="731" spans="1:13" x14ac:dyDescent="0.3">
      <c r="A731">
        <v>9543</v>
      </c>
      <c r="B731" t="s">
        <v>2</v>
      </c>
      <c r="C731" s="1">
        <v>45379</v>
      </c>
      <c r="D731" s="1" t="str">
        <f t="shared" si="11"/>
        <v>Produce</v>
      </c>
      <c r="E731" t="s">
        <v>4</v>
      </c>
      <c r="F731" s="2">
        <v>2</v>
      </c>
      <c r="G731" s="3">
        <v>2</v>
      </c>
      <c r="H731" s="3">
        <f>grocery_chain_data[[#This Row],[Quantity]]*grocery_chain_data[[#This Row],[Unit Price]]</f>
        <v>4</v>
      </c>
      <c r="I731" s="3">
        <v>0</v>
      </c>
      <c r="J731" s="3">
        <f>grocery_chain_data[[#This Row],[Total Amount]]-grocery_chain_data[[#This Row],[Discount Amount]]</f>
        <v>4</v>
      </c>
      <c r="K731">
        <v>75</v>
      </c>
      <c r="L731" t="str">
        <f>IF(grocery_chain_data[[#This Row],[Final Amount]]&lt;0,"Return","Sale")</f>
        <v>Sale</v>
      </c>
      <c r="M731">
        <f>IF(grocery_chain_data[[#This Row],[Final Amount]]&lt;0,0,grocery_chain_data[[#This Row],[Final Amount]])</f>
        <v>4</v>
      </c>
    </row>
    <row r="732" spans="1:13" x14ac:dyDescent="0.3">
      <c r="A732">
        <v>8504</v>
      </c>
      <c r="B732" t="s">
        <v>16</v>
      </c>
      <c r="C732" s="1">
        <v>45644</v>
      </c>
      <c r="D732" s="1" t="str">
        <f t="shared" si="11"/>
        <v>Dairy</v>
      </c>
      <c r="E732" t="s">
        <v>20</v>
      </c>
      <c r="F732" s="2">
        <v>1</v>
      </c>
      <c r="G732" s="3">
        <v>20</v>
      </c>
      <c r="H732" s="3">
        <f>grocery_chain_data[[#This Row],[Quantity]]*grocery_chain_data[[#This Row],[Unit Price]]</f>
        <v>20</v>
      </c>
      <c r="I732" s="3">
        <v>3</v>
      </c>
      <c r="J732" s="3">
        <f>grocery_chain_data[[#This Row],[Total Amount]]-grocery_chain_data[[#This Row],[Discount Amount]]</f>
        <v>17</v>
      </c>
      <c r="K732">
        <v>429</v>
      </c>
      <c r="L732" t="str">
        <f>IF(grocery_chain_data[[#This Row],[Final Amount]]&lt;0,"Return","Sale")</f>
        <v>Sale</v>
      </c>
      <c r="M732">
        <f>IF(grocery_chain_data[[#This Row],[Final Amount]]&lt;0,0,grocery_chain_data[[#This Row],[Final Amount]])</f>
        <v>17</v>
      </c>
    </row>
    <row r="733" spans="1:13" x14ac:dyDescent="0.3">
      <c r="A733">
        <v>1510</v>
      </c>
      <c r="B733" t="s">
        <v>0</v>
      </c>
      <c r="C733" s="1">
        <v>45192</v>
      </c>
      <c r="D733" s="1" t="str">
        <f t="shared" si="11"/>
        <v>Meat &amp; Seafood</v>
      </c>
      <c r="E733" t="s">
        <v>26</v>
      </c>
      <c r="F733" s="2">
        <v>4</v>
      </c>
      <c r="G733" s="3">
        <v>30</v>
      </c>
      <c r="H733" s="3">
        <f>grocery_chain_data[[#This Row],[Quantity]]*grocery_chain_data[[#This Row],[Unit Price]]</f>
        <v>120</v>
      </c>
      <c r="I733" s="3">
        <v>4</v>
      </c>
      <c r="J733" s="3">
        <f>grocery_chain_data[[#This Row],[Total Amount]]-grocery_chain_data[[#This Row],[Discount Amount]]</f>
        <v>116</v>
      </c>
      <c r="K733">
        <v>82</v>
      </c>
      <c r="L733" t="str">
        <f>IF(grocery_chain_data[[#This Row],[Final Amount]]&lt;0,"Return","Sale")</f>
        <v>Sale</v>
      </c>
      <c r="M733">
        <f>IF(grocery_chain_data[[#This Row],[Final Amount]]&lt;0,0,grocery_chain_data[[#This Row],[Final Amount]])</f>
        <v>116</v>
      </c>
    </row>
    <row r="734" spans="1:13" x14ac:dyDescent="0.3">
      <c r="A734">
        <v>8847</v>
      </c>
      <c r="B734" t="s">
        <v>2</v>
      </c>
      <c r="C734" s="1">
        <v>45803</v>
      </c>
      <c r="D734" s="1" t="str">
        <f t="shared" si="11"/>
        <v>Meat &amp; Seafood</v>
      </c>
      <c r="E734" t="s">
        <v>15</v>
      </c>
      <c r="F734" s="2">
        <v>5</v>
      </c>
      <c r="G734" s="3">
        <v>11</v>
      </c>
      <c r="H734" s="3">
        <f>grocery_chain_data[[#This Row],[Quantity]]*grocery_chain_data[[#This Row],[Unit Price]]</f>
        <v>55</v>
      </c>
      <c r="I734" s="3">
        <v>9</v>
      </c>
      <c r="J734" s="3">
        <f>grocery_chain_data[[#This Row],[Total Amount]]-grocery_chain_data[[#This Row],[Discount Amount]]</f>
        <v>46</v>
      </c>
      <c r="K734">
        <v>18</v>
      </c>
      <c r="L734" t="str">
        <f>IF(grocery_chain_data[[#This Row],[Final Amount]]&lt;0,"Return","Sale")</f>
        <v>Sale</v>
      </c>
      <c r="M734">
        <f>IF(grocery_chain_data[[#This Row],[Final Amount]]&lt;0,0,grocery_chain_data[[#This Row],[Final Amount]])</f>
        <v>46</v>
      </c>
    </row>
    <row r="735" spans="1:13" x14ac:dyDescent="0.3">
      <c r="A735">
        <v>7580</v>
      </c>
      <c r="B735" t="s">
        <v>16</v>
      </c>
      <c r="C735" s="1">
        <v>45476</v>
      </c>
      <c r="D735" s="1" t="str">
        <f t="shared" si="11"/>
        <v>Produce</v>
      </c>
      <c r="E735" t="s">
        <v>14</v>
      </c>
      <c r="F735" s="2">
        <v>1</v>
      </c>
      <c r="G735" s="3">
        <v>23</v>
      </c>
      <c r="H735" s="3">
        <f>grocery_chain_data[[#This Row],[Quantity]]*grocery_chain_data[[#This Row],[Unit Price]]</f>
        <v>23</v>
      </c>
      <c r="I735" s="3">
        <v>3</v>
      </c>
      <c r="J735" s="3">
        <f>grocery_chain_data[[#This Row],[Total Amount]]-grocery_chain_data[[#This Row],[Discount Amount]]</f>
        <v>20</v>
      </c>
      <c r="K735">
        <v>431</v>
      </c>
      <c r="L735" t="str">
        <f>IF(grocery_chain_data[[#This Row],[Final Amount]]&lt;0,"Return","Sale")</f>
        <v>Sale</v>
      </c>
      <c r="M735">
        <f>IF(grocery_chain_data[[#This Row],[Final Amount]]&lt;0,0,grocery_chain_data[[#This Row],[Final Amount]])</f>
        <v>20</v>
      </c>
    </row>
    <row r="736" spans="1:13" x14ac:dyDescent="0.3">
      <c r="A736">
        <v>2768</v>
      </c>
      <c r="B736" t="s">
        <v>10</v>
      </c>
      <c r="C736" s="1">
        <v>45525</v>
      </c>
      <c r="D736" s="1" t="str">
        <f t="shared" si="11"/>
        <v>Meat &amp; Seafood</v>
      </c>
      <c r="E736" t="s">
        <v>26</v>
      </c>
      <c r="F736" s="2">
        <v>3</v>
      </c>
      <c r="G736" s="3">
        <v>11</v>
      </c>
      <c r="H736" s="3">
        <f>grocery_chain_data[[#This Row],[Quantity]]*grocery_chain_data[[#This Row],[Unit Price]]</f>
        <v>33</v>
      </c>
      <c r="I736" s="3">
        <v>0</v>
      </c>
      <c r="J736" s="3">
        <f>grocery_chain_data[[#This Row],[Total Amount]]-grocery_chain_data[[#This Row],[Discount Amount]]</f>
        <v>33</v>
      </c>
      <c r="K736">
        <v>211</v>
      </c>
      <c r="L736" t="str">
        <f>IF(grocery_chain_data[[#This Row],[Final Amount]]&lt;0,"Return","Sale")</f>
        <v>Sale</v>
      </c>
      <c r="M736">
        <f>IF(grocery_chain_data[[#This Row],[Final Amount]]&lt;0,0,grocery_chain_data[[#This Row],[Final Amount]])</f>
        <v>33</v>
      </c>
    </row>
    <row r="737" spans="1:13" x14ac:dyDescent="0.3">
      <c r="A737">
        <v>8267</v>
      </c>
      <c r="B737" t="s">
        <v>21</v>
      </c>
      <c r="C737" s="1">
        <v>45202</v>
      </c>
      <c r="D737" s="1" t="str">
        <f t="shared" si="11"/>
        <v>Dairy</v>
      </c>
      <c r="E737" t="s">
        <v>19</v>
      </c>
      <c r="F737" s="2">
        <v>1</v>
      </c>
      <c r="G737" s="3">
        <v>18</v>
      </c>
      <c r="H737" s="3">
        <f>grocery_chain_data[[#This Row],[Quantity]]*grocery_chain_data[[#This Row],[Unit Price]]</f>
        <v>18</v>
      </c>
      <c r="I737" s="3">
        <v>2</v>
      </c>
      <c r="J737" s="3">
        <f>grocery_chain_data[[#This Row],[Total Amount]]-grocery_chain_data[[#This Row],[Discount Amount]]</f>
        <v>16</v>
      </c>
      <c r="K737">
        <v>322</v>
      </c>
      <c r="L737" t="str">
        <f>IF(grocery_chain_data[[#This Row],[Final Amount]]&lt;0,"Return","Sale")</f>
        <v>Sale</v>
      </c>
      <c r="M737">
        <f>IF(grocery_chain_data[[#This Row],[Final Amount]]&lt;0,0,grocery_chain_data[[#This Row],[Final Amount]])</f>
        <v>16</v>
      </c>
    </row>
    <row r="738" spans="1:13" x14ac:dyDescent="0.3">
      <c r="A738">
        <v>2323</v>
      </c>
      <c r="B738" t="s">
        <v>12</v>
      </c>
      <c r="C738" s="1">
        <v>45395</v>
      </c>
      <c r="D738" s="1" t="str">
        <f t="shared" si="11"/>
        <v>Pantry</v>
      </c>
      <c r="E738" t="s">
        <v>6</v>
      </c>
      <c r="F738" s="2">
        <v>3</v>
      </c>
      <c r="G738" s="3">
        <v>16</v>
      </c>
      <c r="H738" s="3">
        <f>grocery_chain_data[[#This Row],[Quantity]]*grocery_chain_data[[#This Row],[Unit Price]]</f>
        <v>48</v>
      </c>
      <c r="I738" s="3">
        <v>10</v>
      </c>
      <c r="J738" s="3">
        <f>grocery_chain_data[[#This Row],[Total Amount]]-grocery_chain_data[[#This Row],[Discount Amount]]</f>
        <v>38</v>
      </c>
      <c r="K738">
        <v>319</v>
      </c>
      <c r="L738" t="str">
        <f>IF(grocery_chain_data[[#This Row],[Final Amount]]&lt;0,"Return","Sale")</f>
        <v>Sale</v>
      </c>
      <c r="M738">
        <f>IF(grocery_chain_data[[#This Row],[Final Amount]]&lt;0,0,grocery_chain_data[[#This Row],[Final Amount]])</f>
        <v>38</v>
      </c>
    </row>
    <row r="739" spans="1:13" x14ac:dyDescent="0.3">
      <c r="A739">
        <v>3430</v>
      </c>
      <c r="B739" t="s">
        <v>10</v>
      </c>
      <c r="C739" s="1">
        <v>45196</v>
      </c>
      <c r="D739" s="1" t="str">
        <f t="shared" si="11"/>
        <v>Produce</v>
      </c>
      <c r="E739" t="s">
        <v>25</v>
      </c>
      <c r="F739" s="2">
        <v>4</v>
      </c>
      <c r="G739" s="3">
        <v>24</v>
      </c>
      <c r="H739" s="3">
        <f>grocery_chain_data[[#This Row],[Quantity]]*grocery_chain_data[[#This Row],[Unit Price]]</f>
        <v>96</v>
      </c>
      <c r="I739" s="3">
        <v>0</v>
      </c>
      <c r="J739" s="3">
        <f>grocery_chain_data[[#This Row],[Total Amount]]-grocery_chain_data[[#This Row],[Discount Amount]]</f>
        <v>96</v>
      </c>
      <c r="K739">
        <v>452</v>
      </c>
      <c r="L739" t="str">
        <f>IF(grocery_chain_data[[#This Row],[Final Amount]]&lt;0,"Return","Sale")</f>
        <v>Sale</v>
      </c>
      <c r="M739">
        <f>IF(grocery_chain_data[[#This Row],[Final Amount]]&lt;0,0,grocery_chain_data[[#This Row],[Final Amount]])</f>
        <v>96</v>
      </c>
    </row>
    <row r="740" spans="1:13" x14ac:dyDescent="0.3">
      <c r="A740">
        <v>3067</v>
      </c>
      <c r="B740" t="s">
        <v>12</v>
      </c>
      <c r="C740" s="1">
        <v>45358</v>
      </c>
      <c r="D740" s="1" t="str">
        <f t="shared" si="11"/>
        <v>Produce</v>
      </c>
      <c r="E740" t="s">
        <v>18</v>
      </c>
      <c r="F740" s="2">
        <v>1</v>
      </c>
      <c r="G740" s="3">
        <v>2</v>
      </c>
      <c r="H740" s="3">
        <f>grocery_chain_data[[#This Row],[Quantity]]*grocery_chain_data[[#This Row],[Unit Price]]</f>
        <v>2</v>
      </c>
      <c r="I740" s="3">
        <v>0</v>
      </c>
      <c r="J740" s="3">
        <f>grocery_chain_data[[#This Row],[Total Amount]]-grocery_chain_data[[#This Row],[Discount Amount]]</f>
        <v>2</v>
      </c>
      <c r="K740">
        <v>320</v>
      </c>
      <c r="L740" t="str">
        <f>IF(grocery_chain_data[[#This Row],[Final Amount]]&lt;0,"Return","Sale")</f>
        <v>Sale</v>
      </c>
      <c r="M740">
        <f>IF(grocery_chain_data[[#This Row],[Final Amount]]&lt;0,0,grocery_chain_data[[#This Row],[Final Amount]])</f>
        <v>2</v>
      </c>
    </row>
    <row r="741" spans="1:13" x14ac:dyDescent="0.3">
      <c r="A741">
        <v>9984</v>
      </c>
      <c r="B741" t="s">
        <v>21</v>
      </c>
      <c r="C741" s="1">
        <v>45698</v>
      </c>
      <c r="D741" s="1" t="str">
        <f t="shared" si="11"/>
        <v>Dairy</v>
      </c>
      <c r="E741" t="s">
        <v>3</v>
      </c>
      <c r="F741" s="2">
        <v>4</v>
      </c>
      <c r="G741" s="3">
        <v>2</v>
      </c>
      <c r="H741" s="3">
        <f>grocery_chain_data[[#This Row],[Quantity]]*grocery_chain_data[[#This Row],[Unit Price]]</f>
        <v>8</v>
      </c>
      <c r="I741" s="3">
        <v>4</v>
      </c>
      <c r="J741" s="3">
        <f>grocery_chain_data[[#This Row],[Total Amount]]-grocery_chain_data[[#This Row],[Discount Amount]]</f>
        <v>4</v>
      </c>
      <c r="K741">
        <v>179</v>
      </c>
      <c r="L741" t="str">
        <f>IF(grocery_chain_data[[#This Row],[Final Amount]]&lt;0,"Return","Sale")</f>
        <v>Sale</v>
      </c>
      <c r="M741">
        <f>IF(grocery_chain_data[[#This Row],[Final Amount]]&lt;0,0,grocery_chain_data[[#This Row],[Final Amount]])</f>
        <v>4</v>
      </c>
    </row>
    <row r="742" spans="1:13" x14ac:dyDescent="0.3">
      <c r="A742">
        <v>6327</v>
      </c>
      <c r="B742" t="s">
        <v>27</v>
      </c>
      <c r="C742" s="1">
        <v>45440</v>
      </c>
      <c r="D742" s="1" t="str">
        <f t="shared" si="11"/>
        <v>Bakery</v>
      </c>
      <c r="E742" t="s">
        <v>22</v>
      </c>
      <c r="F742" s="2">
        <v>3</v>
      </c>
      <c r="G742" s="3">
        <v>10</v>
      </c>
      <c r="H742" s="3">
        <f>grocery_chain_data[[#This Row],[Quantity]]*grocery_chain_data[[#This Row],[Unit Price]]</f>
        <v>30</v>
      </c>
      <c r="I742" s="3">
        <v>1</v>
      </c>
      <c r="J742" s="3">
        <f>grocery_chain_data[[#This Row],[Total Amount]]-grocery_chain_data[[#This Row],[Discount Amount]]</f>
        <v>29</v>
      </c>
      <c r="K742">
        <v>281</v>
      </c>
      <c r="L742" t="str">
        <f>IF(grocery_chain_data[[#This Row],[Final Amount]]&lt;0,"Return","Sale")</f>
        <v>Sale</v>
      </c>
      <c r="M742">
        <f>IF(grocery_chain_data[[#This Row],[Final Amount]]&lt;0,0,grocery_chain_data[[#This Row],[Final Amount]])</f>
        <v>29</v>
      </c>
    </row>
    <row r="743" spans="1:13" x14ac:dyDescent="0.3">
      <c r="A743">
        <v>9692</v>
      </c>
      <c r="B743" t="s">
        <v>16</v>
      </c>
      <c r="C743" s="1">
        <v>45374</v>
      </c>
      <c r="D743" s="1" t="str">
        <f t="shared" si="11"/>
        <v>Produce</v>
      </c>
      <c r="E743" t="s">
        <v>14</v>
      </c>
      <c r="F743" s="2">
        <v>5</v>
      </c>
      <c r="G743" s="3">
        <v>19</v>
      </c>
      <c r="H743" s="3">
        <f>grocery_chain_data[[#This Row],[Quantity]]*grocery_chain_data[[#This Row],[Unit Price]]</f>
        <v>95</v>
      </c>
      <c r="I743" s="3">
        <v>19</v>
      </c>
      <c r="J743" s="3">
        <f>grocery_chain_data[[#This Row],[Total Amount]]-grocery_chain_data[[#This Row],[Discount Amount]]</f>
        <v>76</v>
      </c>
      <c r="K743">
        <v>14</v>
      </c>
      <c r="L743" t="str">
        <f>IF(grocery_chain_data[[#This Row],[Final Amount]]&lt;0,"Return","Sale")</f>
        <v>Sale</v>
      </c>
      <c r="M743">
        <f>IF(grocery_chain_data[[#This Row],[Final Amount]]&lt;0,0,grocery_chain_data[[#This Row],[Final Amount]])</f>
        <v>76</v>
      </c>
    </row>
    <row r="744" spans="1:13" x14ac:dyDescent="0.3">
      <c r="A744">
        <v>8433</v>
      </c>
      <c r="B744" t="s">
        <v>16</v>
      </c>
      <c r="C744" s="1">
        <v>45537</v>
      </c>
      <c r="D744" s="1" t="str">
        <f t="shared" si="11"/>
        <v>Produce</v>
      </c>
      <c r="E744" t="s">
        <v>25</v>
      </c>
      <c r="F744" s="2">
        <v>4</v>
      </c>
      <c r="G744" s="3">
        <v>24</v>
      </c>
      <c r="H744" s="3">
        <f>grocery_chain_data[[#This Row],[Quantity]]*grocery_chain_data[[#This Row],[Unit Price]]</f>
        <v>96</v>
      </c>
      <c r="I744" s="3">
        <v>10</v>
      </c>
      <c r="J744" s="3">
        <f>grocery_chain_data[[#This Row],[Total Amount]]-grocery_chain_data[[#This Row],[Discount Amount]]</f>
        <v>86</v>
      </c>
      <c r="K744">
        <v>330</v>
      </c>
      <c r="L744" t="str">
        <f>IF(grocery_chain_data[[#This Row],[Final Amount]]&lt;0,"Return","Sale")</f>
        <v>Sale</v>
      </c>
      <c r="M744">
        <f>IF(grocery_chain_data[[#This Row],[Final Amount]]&lt;0,0,grocery_chain_data[[#This Row],[Final Amount]])</f>
        <v>86</v>
      </c>
    </row>
    <row r="745" spans="1:13" x14ac:dyDescent="0.3">
      <c r="A745">
        <v>8048</v>
      </c>
      <c r="B745" t="s">
        <v>5</v>
      </c>
      <c r="C745" s="1">
        <v>45222</v>
      </c>
      <c r="D745" s="1" t="str">
        <f t="shared" si="11"/>
        <v>Meat &amp; Seafood</v>
      </c>
      <c r="E745" t="s">
        <v>15</v>
      </c>
      <c r="F745" s="2">
        <v>5</v>
      </c>
      <c r="G745" s="3">
        <v>27</v>
      </c>
      <c r="H745" s="3">
        <f>grocery_chain_data[[#This Row],[Quantity]]*grocery_chain_data[[#This Row],[Unit Price]]</f>
        <v>135</v>
      </c>
      <c r="I745" s="3">
        <v>0</v>
      </c>
      <c r="J745" s="3">
        <f>grocery_chain_data[[#This Row],[Total Amount]]-grocery_chain_data[[#This Row],[Discount Amount]]</f>
        <v>135</v>
      </c>
      <c r="K745">
        <v>236</v>
      </c>
      <c r="L745" t="str">
        <f>IF(grocery_chain_data[[#This Row],[Final Amount]]&lt;0,"Return","Sale")</f>
        <v>Sale</v>
      </c>
      <c r="M745">
        <f>IF(grocery_chain_data[[#This Row],[Final Amount]]&lt;0,0,grocery_chain_data[[#This Row],[Final Amount]])</f>
        <v>135</v>
      </c>
    </row>
    <row r="746" spans="1:13" x14ac:dyDescent="0.3">
      <c r="A746">
        <v>2874</v>
      </c>
      <c r="B746" t="s">
        <v>13</v>
      </c>
      <c r="C746" s="1">
        <v>45807</v>
      </c>
      <c r="D746" s="1" t="str">
        <f t="shared" si="11"/>
        <v>Produce</v>
      </c>
      <c r="E746" t="s">
        <v>17</v>
      </c>
      <c r="F746" s="2">
        <v>5</v>
      </c>
      <c r="G746" s="3">
        <v>22</v>
      </c>
      <c r="H746" s="3">
        <f>grocery_chain_data[[#This Row],[Quantity]]*grocery_chain_data[[#This Row],[Unit Price]]</f>
        <v>110</v>
      </c>
      <c r="I746" s="3">
        <v>22</v>
      </c>
      <c r="J746" s="3">
        <f>grocery_chain_data[[#This Row],[Total Amount]]-grocery_chain_data[[#This Row],[Discount Amount]]</f>
        <v>88</v>
      </c>
      <c r="K746">
        <v>161</v>
      </c>
      <c r="L746" t="str">
        <f>IF(grocery_chain_data[[#This Row],[Final Amount]]&lt;0,"Return","Sale")</f>
        <v>Sale</v>
      </c>
      <c r="M746">
        <f>IF(grocery_chain_data[[#This Row],[Final Amount]]&lt;0,0,grocery_chain_data[[#This Row],[Final Amount]])</f>
        <v>88</v>
      </c>
    </row>
    <row r="747" spans="1:13" x14ac:dyDescent="0.3">
      <c r="A747">
        <v>4522</v>
      </c>
      <c r="B747" t="s">
        <v>16</v>
      </c>
      <c r="C747" s="1">
        <v>45479</v>
      </c>
      <c r="D747" s="1" t="str">
        <f t="shared" si="11"/>
        <v>Bakery</v>
      </c>
      <c r="E747" t="s">
        <v>22</v>
      </c>
      <c r="F747" s="2">
        <v>2</v>
      </c>
      <c r="G747" s="3">
        <v>9</v>
      </c>
      <c r="H747" s="3">
        <f>grocery_chain_data[[#This Row],[Quantity]]*grocery_chain_data[[#This Row],[Unit Price]]</f>
        <v>18</v>
      </c>
      <c r="I747" s="3">
        <v>2</v>
      </c>
      <c r="J747" s="3">
        <f>grocery_chain_data[[#This Row],[Total Amount]]-grocery_chain_data[[#This Row],[Discount Amount]]</f>
        <v>16</v>
      </c>
      <c r="K747">
        <v>15</v>
      </c>
      <c r="L747" t="str">
        <f>IF(grocery_chain_data[[#This Row],[Final Amount]]&lt;0,"Return","Sale")</f>
        <v>Sale</v>
      </c>
      <c r="M747">
        <f>IF(grocery_chain_data[[#This Row],[Final Amount]]&lt;0,0,grocery_chain_data[[#This Row],[Final Amount]])</f>
        <v>16</v>
      </c>
    </row>
    <row r="748" spans="1:13" x14ac:dyDescent="0.3">
      <c r="A748">
        <v>8398</v>
      </c>
      <c r="B748" t="s">
        <v>2</v>
      </c>
      <c r="C748" s="1">
        <v>45834</v>
      </c>
      <c r="D748" s="1" t="str">
        <f t="shared" si="11"/>
        <v>Produce</v>
      </c>
      <c r="E748" t="s">
        <v>14</v>
      </c>
      <c r="F748" s="2">
        <v>2</v>
      </c>
      <c r="G748" s="3">
        <v>18</v>
      </c>
      <c r="H748" s="3">
        <f>grocery_chain_data[[#This Row],[Quantity]]*grocery_chain_data[[#This Row],[Unit Price]]</f>
        <v>36</v>
      </c>
      <c r="I748" s="3">
        <v>0</v>
      </c>
      <c r="J748" s="3">
        <f>grocery_chain_data[[#This Row],[Total Amount]]-grocery_chain_data[[#This Row],[Discount Amount]]</f>
        <v>36</v>
      </c>
      <c r="K748">
        <v>442</v>
      </c>
      <c r="L748" t="str">
        <f>IF(grocery_chain_data[[#This Row],[Final Amount]]&lt;0,"Return","Sale")</f>
        <v>Sale</v>
      </c>
      <c r="M748">
        <f>IF(grocery_chain_data[[#This Row],[Final Amount]]&lt;0,0,grocery_chain_data[[#This Row],[Final Amount]])</f>
        <v>36</v>
      </c>
    </row>
    <row r="749" spans="1:13" x14ac:dyDescent="0.3">
      <c r="A749">
        <v>4743</v>
      </c>
      <c r="B749" t="s">
        <v>16</v>
      </c>
      <c r="C749" s="1">
        <v>45466</v>
      </c>
      <c r="D749" s="1" t="str">
        <f t="shared" si="11"/>
        <v>Pantry</v>
      </c>
      <c r="E749" t="s">
        <v>1</v>
      </c>
      <c r="F749" s="2">
        <v>4</v>
      </c>
      <c r="G749" s="3">
        <v>4</v>
      </c>
      <c r="H749" s="3">
        <f>grocery_chain_data[[#This Row],[Quantity]]*grocery_chain_data[[#This Row],[Unit Price]]</f>
        <v>16</v>
      </c>
      <c r="I749" s="3">
        <v>2</v>
      </c>
      <c r="J749" s="3">
        <f>grocery_chain_data[[#This Row],[Total Amount]]-grocery_chain_data[[#This Row],[Discount Amount]]</f>
        <v>14</v>
      </c>
      <c r="K749">
        <v>449</v>
      </c>
      <c r="L749" t="str">
        <f>IF(grocery_chain_data[[#This Row],[Final Amount]]&lt;0,"Return","Sale")</f>
        <v>Sale</v>
      </c>
      <c r="M749">
        <f>IF(grocery_chain_data[[#This Row],[Final Amount]]&lt;0,0,grocery_chain_data[[#This Row],[Final Amount]])</f>
        <v>14</v>
      </c>
    </row>
    <row r="750" spans="1:13" x14ac:dyDescent="0.3">
      <c r="A750">
        <v>6553</v>
      </c>
      <c r="B750" t="s">
        <v>10</v>
      </c>
      <c r="C750" s="1">
        <v>45787</v>
      </c>
      <c r="D750" s="1" t="str">
        <f t="shared" si="11"/>
        <v>Dairy</v>
      </c>
      <c r="E750" t="s">
        <v>23</v>
      </c>
      <c r="F750" s="2">
        <v>5</v>
      </c>
      <c r="G750" s="3">
        <v>10</v>
      </c>
      <c r="H750" s="3">
        <f>grocery_chain_data[[#This Row],[Quantity]]*grocery_chain_data[[#This Row],[Unit Price]]</f>
        <v>50</v>
      </c>
      <c r="I750" s="3">
        <v>4</v>
      </c>
      <c r="J750" s="3">
        <f>grocery_chain_data[[#This Row],[Total Amount]]-grocery_chain_data[[#This Row],[Discount Amount]]</f>
        <v>46</v>
      </c>
      <c r="K750">
        <v>57</v>
      </c>
      <c r="L750" t="str">
        <f>IF(grocery_chain_data[[#This Row],[Final Amount]]&lt;0,"Return","Sale")</f>
        <v>Sale</v>
      </c>
      <c r="M750">
        <f>IF(grocery_chain_data[[#This Row],[Final Amount]]&lt;0,0,grocery_chain_data[[#This Row],[Final Amount]])</f>
        <v>46</v>
      </c>
    </row>
    <row r="751" spans="1:13" x14ac:dyDescent="0.3">
      <c r="A751">
        <v>8430</v>
      </c>
      <c r="B751" t="s">
        <v>0</v>
      </c>
      <c r="C751" s="1">
        <v>45454</v>
      </c>
      <c r="D751" s="1" t="str">
        <f t="shared" si="11"/>
        <v>Produce</v>
      </c>
      <c r="E751" t="s">
        <v>24</v>
      </c>
      <c r="F751" s="2">
        <v>1</v>
      </c>
      <c r="G751" s="3">
        <v>24</v>
      </c>
      <c r="H751" s="3">
        <f>grocery_chain_data[[#This Row],[Quantity]]*grocery_chain_data[[#This Row],[Unit Price]]</f>
        <v>24</v>
      </c>
      <c r="I751" s="3">
        <v>5</v>
      </c>
      <c r="J751" s="3">
        <f>grocery_chain_data[[#This Row],[Total Amount]]-grocery_chain_data[[#This Row],[Discount Amount]]</f>
        <v>19</v>
      </c>
      <c r="K751">
        <v>463</v>
      </c>
      <c r="L751" t="str">
        <f>IF(grocery_chain_data[[#This Row],[Final Amount]]&lt;0,"Return","Sale")</f>
        <v>Sale</v>
      </c>
      <c r="M751">
        <f>IF(grocery_chain_data[[#This Row],[Final Amount]]&lt;0,0,grocery_chain_data[[#This Row],[Final Amount]])</f>
        <v>19</v>
      </c>
    </row>
    <row r="752" spans="1:13" x14ac:dyDescent="0.3">
      <c r="A752">
        <v>7815</v>
      </c>
      <c r="B752" t="s">
        <v>16</v>
      </c>
      <c r="C752" s="1">
        <v>45711</v>
      </c>
      <c r="D752" s="1" t="str">
        <f t="shared" si="11"/>
        <v>Produce</v>
      </c>
      <c r="E752" t="s">
        <v>24</v>
      </c>
      <c r="F752" s="2">
        <v>3</v>
      </c>
      <c r="G752" s="3">
        <v>23</v>
      </c>
      <c r="H752" s="3">
        <f>grocery_chain_data[[#This Row],[Quantity]]*grocery_chain_data[[#This Row],[Unit Price]]</f>
        <v>69</v>
      </c>
      <c r="I752" s="3">
        <v>4</v>
      </c>
      <c r="J752" s="3">
        <f>grocery_chain_data[[#This Row],[Total Amount]]-grocery_chain_data[[#This Row],[Discount Amount]]</f>
        <v>65</v>
      </c>
      <c r="K752">
        <v>73</v>
      </c>
      <c r="L752" t="str">
        <f>IF(grocery_chain_data[[#This Row],[Final Amount]]&lt;0,"Return","Sale")</f>
        <v>Sale</v>
      </c>
      <c r="M752">
        <f>IF(grocery_chain_data[[#This Row],[Final Amount]]&lt;0,0,grocery_chain_data[[#This Row],[Final Amount]])</f>
        <v>65</v>
      </c>
    </row>
    <row r="753" spans="1:13" x14ac:dyDescent="0.3">
      <c r="A753">
        <v>2557</v>
      </c>
      <c r="B753" t="s">
        <v>5</v>
      </c>
      <c r="C753" s="1">
        <v>45387</v>
      </c>
      <c r="D753" s="1" t="str">
        <f t="shared" si="11"/>
        <v>Dairy</v>
      </c>
      <c r="E753" t="s">
        <v>19</v>
      </c>
      <c r="F753" s="2">
        <v>4</v>
      </c>
      <c r="G753" s="3">
        <v>12</v>
      </c>
      <c r="H753" s="3">
        <f>grocery_chain_data[[#This Row],[Quantity]]*grocery_chain_data[[#This Row],[Unit Price]]</f>
        <v>48</v>
      </c>
      <c r="I753" s="3">
        <v>2</v>
      </c>
      <c r="J753" s="3">
        <f>grocery_chain_data[[#This Row],[Total Amount]]-grocery_chain_data[[#This Row],[Discount Amount]]</f>
        <v>46</v>
      </c>
      <c r="K753">
        <v>442</v>
      </c>
      <c r="L753" t="str">
        <f>IF(grocery_chain_data[[#This Row],[Final Amount]]&lt;0,"Return","Sale")</f>
        <v>Sale</v>
      </c>
      <c r="M753">
        <f>IF(grocery_chain_data[[#This Row],[Final Amount]]&lt;0,0,grocery_chain_data[[#This Row],[Final Amount]])</f>
        <v>46</v>
      </c>
    </row>
    <row r="754" spans="1:13" x14ac:dyDescent="0.3">
      <c r="A754">
        <v>7992</v>
      </c>
      <c r="B754" t="s">
        <v>13</v>
      </c>
      <c r="C754" s="1">
        <v>45387</v>
      </c>
      <c r="D754" s="1" t="str">
        <f t="shared" si="11"/>
        <v>Bakery</v>
      </c>
      <c r="E754" t="s">
        <v>22</v>
      </c>
      <c r="F754" s="2">
        <v>3</v>
      </c>
      <c r="G754" s="3">
        <v>15</v>
      </c>
      <c r="H754" s="3">
        <f>grocery_chain_data[[#This Row],[Quantity]]*grocery_chain_data[[#This Row],[Unit Price]]</f>
        <v>45</v>
      </c>
      <c r="I754" s="3">
        <v>4</v>
      </c>
      <c r="J754" s="3">
        <f>grocery_chain_data[[#This Row],[Total Amount]]-grocery_chain_data[[#This Row],[Discount Amount]]</f>
        <v>41</v>
      </c>
      <c r="K754">
        <v>23</v>
      </c>
      <c r="L754" t="str">
        <f>IF(grocery_chain_data[[#This Row],[Final Amount]]&lt;0,"Return","Sale")</f>
        <v>Sale</v>
      </c>
      <c r="M754">
        <f>IF(grocery_chain_data[[#This Row],[Final Amount]]&lt;0,0,grocery_chain_data[[#This Row],[Final Amount]])</f>
        <v>41</v>
      </c>
    </row>
    <row r="755" spans="1:13" x14ac:dyDescent="0.3">
      <c r="A755">
        <v>5176</v>
      </c>
      <c r="B755" t="s">
        <v>12</v>
      </c>
      <c r="C755" s="1">
        <v>45435</v>
      </c>
      <c r="D755" s="1" t="str">
        <f t="shared" si="11"/>
        <v>Produce</v>
      </c>
      <c r="E755" t="s">
        <v>17</v>
      </c>
      <c r="F755" s="2">
        <v>2</v>
      </c>
      <c r="G755" s="3">
        <v>10</v>
      </c>
      <c r="H755" s="3">
        <f>grocery_chain_data[[#This Row],[Quantity]]*grocery_chain_data[[#This Row],[Unit Price]]</f>
        <v>20</v>
      </c>
      <c r="I755" s="3">
        <v>3</v>
      </c>
      <c r="J755" s="3">
        <f>grocery_chain_data[[#This Row],[Total Amount]]-grocery_chain_data[[#This Row],[Discount Amount]]</f>
        <v>17</v>
      </c>
      <c r="K755">
        <v>98</v>
      </c>
      <c r="L755" t="str">
        <f>IF(grocery_chain_data[[#This Row],[Final Amount]]&lt;0,"Return","Sale")</f>
        <v>Sale</v>
      </c>
      <c r="M755">
        <f>IF(grocery_chain_data[[#This Row],[Final Amount]]&lt;0,0,grocery_chain_data[[#This Row],[Final Amount]])</f>
        <v>17</v>
      </c>
    </row>
    <row r="756" spans="1:13" x14ac:dyDescent="0.3">
      <c r="A756">
        <v>3500</v>
      </c>
      <c r="B756" t="s">
        <v>2</v>
      </c>
      <c r="C756" s="1">
        <v>45678</v>
      </c>
      <c r="D756" s="1" t="str">
        <f t="shared" si="11"/>
        <v>Meat &amp; Seafood</v>
      </c>
      <c r="E756" t="s">
        <v>15</v>
      </c>
      <c r="F756" s="2">
        <v>1</v>
      </c>
      <c r="G756" s="3">
        <v>9</v>
      </c>
      <c r="H756" s="3">
        <f>grocery_chain_data[[#This Row],[Quantity]]*grocery_chain_data[[#This Row],[Unit Price]]</f>
        <v>9</v>
      </c>
      <c r="I756" s="3">
        <v>1</v>
      </c>
      <c r="J756" s="3">
        <f>grocery_chain_data[[#This Row],[Total Amount]]-grocery_chain_data[[#This Row],[Discount Amount]]</f>
        <v>8</v>
      </c>
      <c r="K756">
        <v>80</v>
      </c>
      <c r="L756" t="str">
        <f>IF(grocery_chain_data[[#This Row],[Final Amount]]&lt;0,"Return","Sale")</f>
        <v>Sale</v>
      </c>
      <c r="M756">
        <f>IF(grocery_chain_data[[#This Row],[Final Amount]]&lt;0,0,grocery_chain_data[[#This Row],[Final Amount]])</f>
        <v>8</v>
      </c>
    </row>
    <row r="757" spans="1:13" x14ac:dyDescent="0.3">
      <c r="A757">
        <v>8770</v>
      </c>
      <c r="B757" t="s">
        <v>2</v>
      </c>
      <c r="C757" s="1">
        <v>45197</v>
      </c>
      <c r="D757" s="1" t="str">
        <f t="shared" si="11"/>
        <v>Meat &amp; Seafood</v>
      </c>
      <c r="E757" t="s">
        <v>26</v>
      </c>
      <c r="F757" s="2">
        <v>2</v>
      </c>
      <c r="G757" s="3">
        <v>17</v>
      </c>
      <c r="H757" s="3">
        <f>grocery_chain_data[[#This Row],[Quantity]]*grocery_chain_data[[#This Row],[Unit Price]]</f>
        <v>34</v>
      </c>
      <c r="I757" s="3">
        <v>5</v>
      </c>
      <c r="J757" s="3">
        <f>grocery_chain_data[[#This Row],[Total Amount]]-grocery_chain_data[[#This Row],[Discount Amount]]</f>
        <v>29</v>
      </c>
      <c r="K757">
        <v>281</v>
      </c>
      <c r="L757" t="str">
        <f>IF(grocery_chain_data[[#This Row],[Final Amount]]&lt;0,"Return","Sale")</f>
        <v>Sale</v>
      </c>
      <c r="M757">
        <f>IF(grocery_chain_data[[#This Row],[Final Amount]]&lt;0,0,grocery_chain_data[[#This Row],[Final Amount]])</f>
        <v>29</v>
      </c>
    </row>
    <row r="758" spans="1:13" x14ac:dyDescent="0.3">
      <c r="A758">
        <v>2494</v>
      </c>
      <c r="B758" t="s">
        <v>5</v>
      </c>
      <c r="C758" s="1">
        <v>45791</v>
      </c>
      <c r="D758" s="1" t="str">
        <f t="shared" si="11"/>
        <v>Meat &amp; Seafood</v>
      </c>
      <c r="E758" t="s">
        <v>9</v>
      </c>
      <c r="F758" s="2">
        <v>2</v>
      </c>
      <c r="G758" s="3">
        <v>3</v>
      </c>
      <c r="H758" s="3">
        <f>grocery_chain_data[[#This Row],[Quantity]]*grocery_chain_data[[#This Row],[Unit Price]]</f>
        <v>6</v>
      </c>
      <c r="I758" s="3">
        <v>3</v>
      </c>
      <c r="J758" s="3">
        <f>grocery_chain_data[[#This Row],[Total Amount]]-grocery_chain_data[[#This Row],[Discount Amount]]</f>
        <v>3</v>
      </c>
      <c r="K758">
        <v>313</v>
      </c>
      <c r="L758" t="str">
        <f>IF(grocery_chain_data[[#This Row],[Final Amount]]&lt;0,"Return","Sale")</f>
        <v>Sale</v>
      </c>
      <c r="M758">
        <f>IF(grocery_chain_data[[#This Row],[Final Amount]]&lt;0,0,grocery_chain_data[[#This Row],[Final Amount]])</f>
        <v>3</v>
      </c>
    </row>
    <row r="759" spans="1:13" x14ac:dyDescent="0.3">
      <c r="A759">
        <v>2398</v>
      </c>
      <c r="B759" t="s">
        <v>5</v>
      </c>
      <c r="C759" s="1">
        <v>45217</v>
      </c>
      <c r="D759" s="1" t="str">
        <f t="shared" si="11"/>
        <v>Produce</v>
      </c>
      <c r="E759" t="s">
        <v>25</v>
      </c>
      <c r="F759" s="2">
        <v>1</v>
      </c>
      <c r="G759" s="3">
        <v>4</v>
      </c>
      <c r="H759" s="3">
        <f>grocery_chain_data[[#This Row],[Quantity]]*grocery_chain_data[[#This Row],[Unit Price]]</f>
        <v>4</v>
      </c>
      <c r="I759" s="3">
        <v>0</v>
      </c>
      <c r="J759" s="3">
        <f>grocery_chain_data[[#This Row],[Total Amount]]-grocery_chain_data[[#This Row],[Discount Amount]]</f>
        <v>4</v>
      </c>
      <c r="K759">
        <v>27</v>
      </c>
      <c r="L759" t="str">
        <f>IF(grocery_chain_data[[#This Row],[Final Amount]]&lt;0,"Return","Sale")</f>
        <v>Sale</v>
      </c>
      <c r="M759">
        <f>IF(grocery_chain_data[[#This Row],[Final Amount]]&lt;0,0,grocery_chain_data[[#This Row],[Final Amount]])</f>
        <v>4</v>
      </c>
    </row>
    <row r="760" spans="1:13" x14ac:dyDescent="0.3">
      <c r="A760">
        <v>8075</v>
      </c>
      <c r="B760" t="s">
        <v>8</v>
      </c>
      <c r="C760" s="1">
        <v>45220</v>
      </c>
      <c r="D760" s="1" t="str">
        <f t="shared" si="11"/>
        <v>Meat &amp; Seafood</v>
      </c>
      <c r="E760" t="s">
        <v>15</v>
      </c>
      <c r="F760" s="2">
        <v>5</v>
      </c>
      <c r="G760" s="3">
        <v>11</v>
      </c>
      <c r="H760" s="3">
        <f>grocery_chain_data[[#This Row],[Quantity]]*grocery_chain_data[[#This Row],[Unit Price]]</f>
        <v>55</v>
      </c>
      <c r="I760" s="3">
        <v>0</v>
      </c>
      <c r="J760" s="3">
        <f>grocery_chain_data[[#This Row],[Total Amount]]-grocery_chain_data[[#This Row],[Discount Amount]]</f>
        <v>55</v>
      </c>
      <c r="K760">
        <v>170</v>
      </c>
      <c r="L760" t="str">
        <f>IF(grocery_chain_data[[#This Row],[Final Amount]]&lt;0,"Return","Sale")</f>
        <v>Sale</v>
      </c>
      <c r="M760">
        <f>IF(grocery_chain_data[[#This Row],[Final Amount]]&lt;0,0,grocery_chain_data[[#This Row],[Final Amount]])</f>
        <v>55</v>
      </c>
    </row>
    <row r="761" spans="1:13" x14ac:dyDescent="0.3">
      <c r="A761">
        <v>7105</v>
      </c>
      <c r="B761" t="s">
        <v>2</v>
      </c>
      <c r="C761" s="1">
        <v>45775</v>
      </c>
      <c r="D761" s="1" t="str">
        <f t="shared" si="11"/>
        <v>Meat &amp; Seafood</v>
      </c>
      <c r="E761" t="s">
        <v>15</v>
      </c>
      <c r="F761" s="2">
        <v>5</v>
      </c>
      <c r="G761" s="3">
        <v>5</v>
      </c>
      <c r="H761" s="3">
        <f>grocery_chain_data[[#This Row],[Quantity]]*grocery_chain_data[[#This Row],[Unit Price]]</f>
        <v>25</v>
      </c>
      <c r="I761" s="3">
        <v>3</v>
      </c>
      <c r="J761" s="3">
        <f>grocery_chain_data[[#This Row],[Total Amount]]-grocery_chain_data[[#This Row],[Discount Amount]]</f>
        <v>22</v>
      </c>
      <c r="K761">
        <v>416</v>
      </c>
      <c r="L761" t="str">
        <f>IF(grocery_chain_data[[#This Row],[Final Amount]]&lt;0,"Return","Sale")</f>
        <v>Sale</v>
      </c>
      <c r="M761">
        <f>IF(grocery_chain_data[[#This Row],[Final Amount]]&lt;0,0,grocery_chain_data[[#This Row],[Final Amount]])</f>
        <v>22</v>
      </c>
    </row>
    <row r="762" spans="1:13" x14ac:dyDescent="0.3">
      <c r="A762">
        <v>3131</v>
      </c>
      <c r="B762" t="s">
        <v>10</v>
      </c>
      <c r="C762" s="1">
        <v>45577</v>
      </c>
      <c r="D762" s="1" t="str">
        <f t="shared" si="11"/>
        <v>Meat &amp; Seafood</v>
      </c>
      <c r="E762" t="s">
        <v>9</v>
      </c>
      <c r="F762" s="2">
        <v>2</v>
      </c>
      <c r="G762" s="3">
        <v>5</v>
      </c>
      <c r="H762" s="3">
        <f>grocery_chain_data[[#This Row],[Quantity]]*grocery_chain_data[[#This Row],[Unit Price]]</f>
        <v>10</v>
      </c>
      <c r="I762" s="3">
        <v>2</v>
      </c>
      <c r="J762" s="3">
        <f>grocery_chain_data[[#This Row],[Total Amount]]-grocery_chain_data[[#This Row],[Discount Amount]]</f>
        <v>8</v>
      </c>
      <c r="K762">
        <v>458</v>
      </c>
      <c r="L762" t="str">
        <f>IF(grocery_chain_data[[#This Row],[Final Amount]]&lt;0,"Return","Sale")</f>
        <v>Sale</v>
      </c>
      <c r="M762">
        <f>IF(grocery_chain_data[[#This Row],[Final Amount]]&lt;0,0,grocery_chain_data[[#This Row],[Final Amount]])</f>
        <v>8</v>
      </c>
    </row>
    <row r="763" spans="1:13" x14ac:dyDescent="0.3">
      <c r="A763">
        <v>1982</v>
      </c>
      <c r="B763" t="s">
        <v>8</v>
      </c>
      <c r="C763" s="1">
        <v>45600</v>
      </c>
      <c r="D763" s="1" t="str">
        <f t="shared" si="11"/>
        <v>Pantry</v>
      </c>
      <c r="E763" t="s">
        <v>6</v>
      </c>
      <c r="F763" s="2">
        <v>3</v>
      </c>
      <c r="G763" s="3">
        <v>14</v>
      </c>
      <c r="H763" s="3">
        <f>grocery_chain_data[[#This Row],[Quantity]]*grocery_chain_data[[#This Row],[Unit Price]]</f>
        <v>42</v>
      </c>
      <c r="I763" s="3">
        <v>4</v>
      </c>
      <c r="J763" s="3">
        <f>grocery_chain_data[[#This Row],[Total Amount]]-grocery_chain_data[[#This Row],[Discount Amount]]</f>
        <v>38</v>
      </c>
      <c r="K763">
        <v>15</v>
      </c>
      <c r="L763" t="str">
        <f>IF(grocery_chain_data[[#This Row],[Final Amount]]&lt;0,"Return","Sale")</f>
        <v>Sale</v>
      </c>
      <c r="M763">
        <f>IF(grocery_chain_data[[#This Row],[Final Amount]]&lt;0,0,grocery_chain_data[[#This Row],[Final Amount]])</f>
        <v>38</v>
      </c>
    </row>
    <row r="764" spans="1:13" x14ac:dyDescent="0.3">
      <c r="A764">
        <v>6400</v>
      </c>
      <c r="B764" t="s">
        <v>0</v>
      </c>
      <c r="C764" s="1">
        <v>45665</v>
      </c>
      <c r="D764" s="1" t="str">
        <f t="shared" si="11"/>
        <v>Produce</v>
      </c>
      <c r="E764" t="s">
        <v>25</v>
      </c>
      <c r="F764" s="2">
        <v>4</v>
      </c>
      <c r="G764" s="3">
        <v>26</v>
      </c>
      <c r="H764" s="3">
        <f>grocery_chain_data[[#This Row],[Quantity]]*grocery_chain_data[[#This Row],[Unit Price]]</f>
        <v>104</v>
      </c>
      <c r="I764" s="3">
        <v>3</v>
      </c>
      <c r="J764" s="3">
        <f>grocery_chain_data[[#This Row],[Total Amount]]-grocery_chain_data[[#This Row],[Discount Amount]]</f>
        <v>101</v>
      </c>
      <c r="K764">
        <v>144</v>
      </c>
      <c r="L764" t="str">
        <f>IF(grocery_chain_data[[#This Row],[Final Amount]]&lt;0,"Return","Sale")</f>
        <v>Sale</v>
      </c>
      <c r="M764">
        <f>IF(grocery_chain_data[[#This Row],[Final Amount]]&lt;0,0,grocery_chain_data[[#This Row],[Final Amount]])</f>
        <v>101</v>
      </c>
    </row>
    <row r="765" spans="1:13" x14ac:dyDescent="0.3">
      <c r="A765">
        <v>3002</v>
      </c>
      <c r="B765" t="s">
        <v>2</v>
      </c>
      <c r="C765" s="1">
        <v>45464</v>
      </c>
      <c r="D765" s="1" t="str">
        <f t="shared" si="11"/>
        <v>Produce</v>
      </c>
      <c r="E765" t="s">
        <v>14</v>
      </c>
      <c r="F765" s="2">
        <v>1</v>
      </c>
      <c r="G765" s="3">
        <v>10</v>
      </c>
      <c r="H765" s="3">
        <f>grocery_chain_data[[#This Row],[Quantity]]*grocery_chain_data[[#This Row],[Unit Price]]</f>
        <v>10</v>
      </c>
      <c r="I765" s="3">
        <v>2</v>
      </c>
      <c r="J765" s="3">
        <f>grocery_chain_data[[#This Row],[Total Amount]]-grocery_chain_data[[#This Row],[Discount Amount]]</f>
        <v>8</v>
      </c>
      <c r="K765">
        <v>332</v>
      </c>
      <c r="L765" t="str">
        <f>IF(grocery_chain_data[[#This Row],[Final Amount]]&lt;0,"Return","Sale")</f>
        <v>Sale</v>
      </c>
      <c r="M765">
        <f>IF(grocery_chain_data[[#This Row],[Final Amount]]&lt;0,0,grocery_chain_data[[#This Row],[Final Amount]])</f>
        <v>8</v>
      </c>
    </row>
    <row r="766" spans="1:13" x14ac:dyDescent="0.3">
      <c r="A766">
        <v>6793</v>
      </c>
      <c r="B766" t="s">
        <v>2</v>
      </c>
      <c r="C766" s="1">
        <v>45823</v>
      </c>
      <c r="D766" s="1" t="str">
        <f t="shared" si="11"/>
        <v>Produce</v>
      </c>
      <c r="E766" t="s">
        <v>14</v>
      </c>
      <c r="F766" s="2">
        <v>5</v>
      </c>
      <c r="G766" s="3">
        <v>13</v>
      </c>
      <c r="H766" s="3">
        <f>grocery_chain_data[[#This Row],[Quantity]]*grocery_chain_data[[#This Row],[Unit Price]]</f>
        <v>65</v>
      </c>
      <c r="I766" s="3">
        <v>2</v>
      </c>
      <c r="J766" s="3">
        <f>grocery_chain_data[[#This Row],[Total Amount]]-grocery_chain_data[[#This Row],[Discount Amount]]</f>
        <v>63</v>
      </c>
      <c r="K766">
        <v>317</v>
      </c>
      <c r="L766" t="str">
        <f>IF(grocery_chain_data[[#This Row],[Final Amount]]&lt;0,"Return","Sale")</f>
        <v>Sale</v>
      </c>
      <c r="M766">
        <f>IF(grocery_chain_data[[#This Row],[Final Amount]]&lt;0,0,grocery_chain_data[[#This Row],[Final Amount]])</f>
        <v>63</v>
      </c>
    </row>
    <row r="767" spans="1:13" x14ac:dyDescent="0.3">
      <c r="A767">
        <v>7929</v>
      </c>
      <c r="B767" t="s">
        <v>10</v>
      </c>
      <c r="C767" s="1">
        <v>45819</v>
      </c>
      <c r="D767" s="1" t="str">
        <f t="shared" si="11"/>
        <v>Bakery</v>
      </c>
      <c r="E767" t="s">
        <v>22</v>
      </c>
      <c r="F767" s="2">
        <v>3</v>
      </c>
      <c r="G767" s="3">
        <v>7</v>
      </c>
      <c r="H767" s="3">
        <f>grocery_chain_data[[#This Row],[Quantity]]*grocery_chain_data[[#This Row],[Unit Price]]</f>
        <v>21</v>
      </c>
      <c r="I767" s="3">
        <v>2</v>
      </c>
      <c r="J767" s="3">
        <f>grocery_chain_data[[#This Row],[Total Amount]]-grocery_chain_data[[#This Row],[Discount Amount]]</f>
        <v>19</v>
      </c>
      <c r="K767">
        <v>355</v>
      </c>
      <c r="L767" t="str">
        <f>IF(grocery_chain_data[[#This Row],[Final Amount]]&lt;0,"Return","Sale")</f>
        <v>Sale</v>
      </c>
      <c r="M767">
        <f>IF(grocery_chain_data[[#This Row],[Final Amount]]&lt;0,0,grocery_chain_data[[#This Row],[Final Amount]])</f>
        <v>19</v>
      </c>
    </row>
    <row r="768" spans="1:13" x14ac:dyDescent="0.3">
      <c r="A768">
        <v>1842</v>
      </c>
      <c r="B768" t="s">
        <v>16</v>
      </c>
      <c r="C768" s="1">
        <v>45368</v>
      </c>
      <c r="D768" s="1" t="str">
        <f t="shared" si="11"/>
        <v>Meat &amp; Seafood</v>
      </c>
      <c r="E768" t="s">
        <v>9</v>
      </c>
      <c r="F768" s="2">
        <v>2</v>
      </c>
      <c r="G768" s="3">
        <v>20</v>
      </c>
      <c r="H768" s="3">
        <f>grocery_chain_data[[#This Row],[Quantity]]*grocery_chain_data[[#This Row],[Unit Price]]</f>
        <v>40</v>
      </c>
      <c r="I768" s="3">
        <v>3</v>
      </c>
      <c r="J768" s="3">
        <f>grocery_chain_data[[#This Row],[Total Amount]]-grocery_chain_data[[#This Row],[Discount Amount]]</f>
        <v>37</v>
      </c>
      <c r="K768">
        <v>39</v>
      </c>
      <c r="L768" t="str">
        <f>IF(grocery_chain_data[[#This Row],[Final Amount]]&lt;0,"Return","Sale")</f>
        <v>Sale</v>
      </c>
      <c r="M768">
        <f>IF(grocery_chain_data[[#This Row],[Final Amount]]&lt;0,0,grocery_chain_data[[#This Row],[Final Amount]])</f>
        <v>37</v>
      </c>
    </row>
    <row r="769" spans="1:13" x14ac:dyDescent="0.3">
      <c r="A769">
        <v>6119</v>
      </c>
      <c r="B769" t="s">
        <v>10</v>
      </c>
      <c r="C769" s="1">
        <v>45418</v>
      </c>
      <c r="D769" s="1" t="str">
        <f t="shared" si="11"/>
        <v>Produce</v>
      </c>
      <c r="E769" t="s">
        <v>4</v>
      </c>
      <c r="F769" s="2">
        <v>1</v>
      </c>
      <c r="G769" s="3">
        <v>25</v>
      </c>
      <c r="H769" s="3">
        <f>grocery_chain_data[[#This Row],[Quantity]]*grocery_chain_data[[#This Row],[Unit Price]]</f>
        <v>25</v>
      </c>
      <c r="I769" s="3">
        <v>2</v>
      </c>
      <c r="J769" s="3">
        <f>grocery_chain_data[[#This Row],[Total Amount]]-grocery_chain_data[[#This Row],[Discount Amount]]</f>
        <v>23</v>
      </c>
      <c r="K769">
        <v>90</v>
      </c>
      <c r="L769" t="str">
        <f>IF(grocery_chain_data[[#This Row],[Final Amount]]&lt;0,"Return","Sale")</f>
        <v>Sale</v>
      </c>
      <c r="M769">
        <f>IF(grocery_chain_data[[#This Row],[Final Amount]]&lt;0,0,grocery_chain_data[[#This Row],[Final Amount]])</f>
        <v>23</v>
      </c>
    </row>
    <row r="770" spans="1:13" x14ac:dyDescent="0.3">
      <c r="A770">
        <v>2697</v>
      </c>
      <c r="B770" t="s">
        <v>0</v>
      </c>
      <c r="C770" s="1">
        <v>45593</v>
      </c>
      <c r="D770" s="1" t="str">
        <f t="shared" ref="D770:D833" si="12">IF(E770="Pasta","Pantry",
IF(E770="Cheese","Dairy",
IF(E770="Onions","Produce",
IF(E770="Cereal","Pantry",
IF(E770="Orange Juice","Beverages",
IF(E770="Ground Beef","Meat &amp; Seafood",
IF(E770="Apples","Produce",
IF(E770="Milk","Dairy",
IF(E770="Bananas","Produce",
IF(E770="Bread","Bakery",
IF(E770="Carrots","Produce",
IF(E770="Chicken Breast","Meat &amp; Seafood",
IF(E770="Eggs","Dairy",
IF(E770="Potatoes","Produce",
IF(E770="Rice","Produce",
IF(E770="Salmon","Meat &amp; Seafood",
IF(E770="Tomatoes","Produce",
IF(E770="Yogurt","Dairy",
"Others"))))))))))))))))))</f>
        <v>Meat &amp; Seafood</v>
      </c>
      <c r="E770" t="s">
        <v>26</v>
      </c>
      <c r="F770" s="2">
        <v>5</v>
      </c>
      <c r="G770" s="3">
        <v>23</v>
      </c>
      <c r="H770" s="3">
        <f>grocery_chain_data[[#This Row],[Quantity]]*grocery_chain_data[[#This Row],[Unit Price]]</f>
        <v>115</v>
      </c>
      <c r="I770" s="3">
        <v>12</v>
      </c>
      <c r="J770" s="3">
        <f>grocery_chain_data[[#This Row],[Total Amount]]-grocery_chain_data[[#This Row],[Discount Amount]]</f>
        <v>103</v>
      </c>
      <c r="K770">
        <v>194</v>
      </c>
      <c r="L770" t="str">
        <f>IF(grocery_chain_data[[#This Row],[Final Amount]]&lt;0,"Return","Sale")</f>
        <v>Sale</v>
      </c>
      <c r="M770">
        <f>IF(grocery_chain_data[[#This Row],[Final Amount]]&lt;0,0,grocery_chain_data[[#This Row],[Final Amount]])</f>
        <v>103</v>
      </c>
    </row>
    <row r="771" spans="1:13" x14ac:dyDescent="0.3">
      <c r="A771">
        <v>9313</v>
      </c>
      <c r="B771" t="s">
        <v>13</v>
      </c>
      <c r="C771" s="1">
        <v>45310</v>
      </c>
      <c r="D771" s="1" t="str">
        <f t="shared" si="12"/>
        <v>Dairy</v>
      </c>
      <c r="E771" t="s">
        <v>23</v>
      </c>
      <c r="F771" s="2">
        <v>2</v>
      </c>
      <c r="G771" s="3">
        <v>27</v>
      </c>
      <c r="H771" s="3">
        <f>grocery_chain_data[[#This Row],[Quantity]]*grocery_chain_data[[#This Row],[Unit Price]]</f>
        <v>54</v>
      </c>
      <c r="I771" s="3">
        <v>11</v>
      </c>
      <c r="J771" s="3">
        <f>grocery_chain_data[[#This Row],[Total Amount]]-grocery_chain_data[[#This Row],[Discount Amount]]</f>
        <v>43</v>
      </c>
      <c r="K771">
        <v>462</v>
      </c>
      <c r="L771" t="str">
        <f>IF(grocery_chain_data[[#This Row],[Final Amount]]&lt;0,"Return","Sale")</f>
        <v>Sale</v>
      </c>
      <c r="M771">
        <f>IF(grocery_chain_data[[#This Row],[Final Amount]]&lt;0,0,grocery_chain_data[[#This Row],[Final Amount]])</f>
        <v>43</v>
      </c>
    </row>
    <row r="772" spans="1:13" x14ac:dyDescent="0.3">
      <c r="A772">
        <v>3535</v>
      </c>
      <c r="B772" t="s">
        <v>5</v>
      </c>
      <c r="C772" s="1">
        <v>45655</v>
      </c>
      <c r="D772" s="1" t="str">
        <f t="shared" si="12"/>
        <v>Produce</v>
      </c>
      <c r="E772" t="s">
        <v>4</v>
      </c>
      <c r="F772" s="2">
        <v>3</v>
      </c>
      <c r="G772" s="3">
        <v>12</v>
      </c>
      <c r="H772" s="3">
        <f>grocery_chain_data[[#This Row],[Quantity]]*grocery_chain_data[[#This Row],[Unit Price]]</f>
        <v>36</v>
      </c>
      <c r="I772" s="3">
        <v>7</v>
      </c>
      <c r="J772" s="3">
        <f>grocery_chain_data[[#This Row],[Total Amount]]-grocery_chain_data[[#This Row],[Discount Amount]]</f>
        <v>29</v>
      </c>
      <c r="K772">
        <v>295</v>
      </c>
      <c r="L772" t="str">
        <f>IF(grocery_chain_data[[#This Row],[Final Amount]]&lt;0,"Return","Sale")</f>
        <v>Sale</v>
      </c>
      <c r="M772">
        <f>IF(grocery_chain_data[[#This Row],[Final Amount]]&lt;0,0,grocery_chain_data[[#This Row],[Final Amount]])</f>
        <v>29</v>
      </c>
    </row>
    <row r="773" spans="1:13" x14ac:dyDescent="0.3">
      <c r="A773">
        <v>8900</v>
      </c>
      <c r="B773" t="s">
        <v>21</v>
      </c>
      <c r="C773" s="1">
        <v>45319</v>
      </c>
      <c r="D773" s="1" t="str">
        <f t="shared" si="12"/>
        <v>Pantry</v>
      </c>
      <c r="E773" t="s">
        <v>6</v>
      </c>
      <c r="F773" s="2">
        <v>3</v>
      </c>
      <c r="G773" s="3">
        <v>18</v>
      </c>
      <c r="H773" s="3">
        <f>grocery_chain_data[[#This Row],[Quantity]]*grocery_chain_data[[#This Row],[Unit Price]]</f>
        <v>54</v>
      </c>
      <c r="I773" s="3">
        <v>5</v>
      </c>
      <c r="J773" s="3">
        <f>grocery_chain_data[[#This Row],[Total Amount]]-grocery_chain_data[[#This Row],[Discount Amount]]</f>
        <v>49</v>
      </c>
      <c r="K773">
        <v>467</v>
      </c>
      <c r="L773" t="str">
        <f>IF(grocery_chain_data[[#This Row],[Final Amount]]&lt;0,"Return","Sale")</f>
        <v>Sale</v>
      </c>
      <c r="M773">
        <f>IF(grocery_chain_data[[#This Row],[Final Amount]]&lt;0,0,grocery_chain_data[[#This Row],[Final Amount]])</f>
        <v>49</v>
      </c>
    </row>
    <row r="774" spans="1:13" x14ac:dyDescent="0.3">
      <c r="A774">
        <v>2773</v>
      </c>
      <c r="B774" t="s">
        <v>16</v>
      </c>
      <c r="C774" s="1">
        <v>45416</v>
      </c>
      <c r="D774" s="1" t="str">
        <f t="shared" si="12"/>
        <v>Produce</v>
      </c>
      <c r="E774" t="s">
        <v>18</v>
      </c>
      <c r="F774" s="2">
        <v>5</v>
      </c>
      <c r="G774" s="3">
        <v>30</v>
      </c>
      <c r="H774" s="3">
        <f>grocery_chain_data[[#This Row],[Quantity]]*grocery_chain_data[[#This Row],[Unit Price]]</f>
        <v>150</v>
      </c>
      <c r="I774" s="3">
        <v>22</v>
      </c>
      <c r="J774" s="3">
        <f>grocery_chain_data[[#This Row],[Total Amount]]-grocery_chain_data[[#This Row],[Discount Amount]]</f>
        <v>128</v>
      </c>
      <c r="K774">
        <v>206</v>
      </c>
      <c r="L774" t="str">
        <f>IF(grocery_chain_data[[#This Row],[Final Amount]]&lt;0,"Return","Sale")</f>
        <v>Sale</v>
      </c>
      <c r="M774">
        <f>IF(grocery_chain_data[[#This Row],[Final Amount]]&lt;0,0,grocery_chain_data[[#This Row],[Final Amount]])</f>
        <v>128</v>
      </c>
    </row>
    <row r="775" spans="1:13" x14ac:dyDescent="0.3">
      <c r="A775">
        <v>7022</v>
      </c>
      <c r="B775" t="s">
        <v>13</v>
      </c>
      <c r="C775" s="1">
        <v>45234</v>
      </c>
      <c r="D775" s="1" t="str">
        <f t="shared" si="12"/>
        <v>Produce</v>
      </c>
      <c r="E775" t="s">
        <v>4</v>
      </c>
      <c r="F775" s="2">
        <v>1</v>
      </c>
      <c r="G775" s="3">
        <v>1</v>
      </c>
      <c r="H775" s="3">
        <f>grocery_chain_data[[#This Row],[Quantity]]*grocery_chain_data[[#This Row],[Unit Price]]</f>
        <v>1</v>
      </c>
      <c r="I775" s="3">
        <v>4</v>
      </c>
      <c r="J775" s="3">
        <f>grocery_chain_data[[#This Row],[Total Amount]]-grocery_chain_data[[#This Row],[Discount Amount]]</f>
        <v>-3</v>
      </c>
      <c r="K775">
        <v>286</v>
      </c>
      <c r="L775" t="str">
        <f>IF(grocery_chain_data[[#This Row],[Final Amount]]&lt;0,"Return","Sale")</f>
        <v>Return</v>
      </c>
      <c r="M775">
        <f>IF(grocery_chain_data[[#This Row],[Final Amount]]&lt;0,0,grocery_chain_data[[#This Row],[Final Amount]])</f>
        <v>0</v>
      </c>
    </row>
    <row r="776" spans="1:13" x14ac:dyDescent="0.3">
      <c r="A776">
        <v>5564</v>
      </c>
      <c r="B776" t="s">
        <v>13</v>
      </c>
      <c r="C776" s="1">
        <v>45590</v>
      </c>
      <c r="D776" s="1" t="str">
        <f t="shared" si="12"/>
        <v>Dairy</v>
      </c>
      <c r="E776" t="s">
        <v>3</v>
      </c>
      <c r="F776" s="2">
        <v>5</v>
      </c>
      <c r="G776" s="3">
        <v>12</v>
      </c>
      <c r="H776" s="3">
        <f>grocery_chain_data[[#This Row],[Quantity]]*grocery_chain_data[[#This Row],[Unit Price]]</f>
        <v>60</v>
      </c>
      <c r="I776" s="3">
        <v>6</v>
      </c>
      <c r="J776" s="3">
        <f>grocery_chain_data[[#This Row],[Total Amount]]-grocery_chain_data[[#This Row],[Discount Amount]]</f>
        <v>54</v>
      </c>
      <c r="K776">
        <v>162</v>
      </c>
      <c r="L776" t="str">
        <f>IF(grocery_chain_data[[#This Row],[Final Amount]]&lt;0,"Return","Sale")</f>
        <v>Sale</v>
      </c>
      <c r="M776">
        <f>IF(grocery_chain_data[[#This Row],[Final Amount]]&lt;0,0,grocery_chain_data[[#This Row],[Final Amount]])</f>
        <v>54</v>
      </c>
    </row>
    <row r="777" spans="1:13" x14ac:dyDescent="0.3">
      <c r="A777">
        <v>4705</v>
      </c>
      <c r="B777" t="s">
        <v>8</v>
      </c>
      <c r="C777" s="1">
        <v>45771</v>
      </c>
      <c r="D777" s="1" t="str">
        <f t="shared" si="12"/>
        <v>Produce</v>
      </c>
      <c r="E777" t="s">
        <v>4</v>
      </c>
      <c r="F777" s="2">
        <v>2</v>
      </c>
      <c r="G777" s="3">
        <v>20</v>
      </c>
      <c r="H777" s="3">
        <f>grocery_chain_data[[#This Row],[Quantity]]*grocery_chain_data[[#This Row],[Unit Price]]</f>
        <v>40</v>
      </c>
      <c r="I777" s="3">
        <v>8</v>
      </c>
      <c r="J777" s="3">
        <f>grocery_chain_data[[#This Row],[Total Amount]]-grocery_chain_data[[#This Row],[Discount Amount]]</f>
        <v>32</v>
      </c>
      <c r="K777">
        <v>243</v>
      </c>
      <c r="L777" t="str">
        <f>IF(grocery_chain_data[[#This Row],[Final Amount]]&lt;0,"Return","Sale")</f>
        <v>Sale</v>
      </c>
      <c r="M777">
        <f>IF(grocery_chain_data[[#This Row],[Final Amount]]&lt;0,0,grocery_chain_data[[#This Row],[Final Amount]])</f>
        <v>32</v>
      </c>
    </row>
    <row r="778" spans="1:13" x14ac:dyDescent="0.3">
      <c r="A778">
        <v>8030</v>
      </c>
      <c r="B778" t="s">
        <v>2</v>
      </c>
      <c r="C778" s="1">
        <v>45801</v>
      </c>
      <c r="D778" s="1" t="str">
        <f t="shared" si="12"/>
        <v>Beverages</v>
      </c>
      <c r="E778" t="s">
        <v>7</v>
      </c>
      <c r="F778" s="2">
        <v>4</v>
      </c>
      <c r="G778" s="3">
        <v>5</v>
      </c>
      <c r="H778" s="3">
        <f>grocery_chain_data[[#This Row],[Quantity]]*grocery_chain_data[[#This Row],[Unit Price]]</f>
        <v>20</v>
      </c>
      <c r="I778" s="3">
        <v>4</v>
      </c>
      <c r="J778" s="3">
        <f>grocery_chain_data[[#This Row],[Total Amount]]-grocery_chain_data[[#This Row],[Discount Amount]]</f>
        <v>16</v>
      </c>
      <c r="K778">
        <v>446</v>
      </c>
      <c r="L778" t="str">
        <f>IF(grocery_chain_data[[#This Row],[Final Amount]]&lt;0,"Return","Sale")</f>
        <v>Sale</v>
      </c>
      <c r="M778">
        <f>IF(grocery_chain_data[[#This Row],[Final Amount]]&lt;0,0,grocery_chain_data[[#This Row],[Final Amount]])</f>
        <v>16</v>
      </c>
    </row>
    <row r="779" spans="1:13" x14ac:dyDescent="0.3">
      <c r="A779">
        <v>1430</v>
      </c>
      <c r="B779" t="s">
        <v>13</v>
      </c>
      <c r="C779" s="1">
        <v>45618</v>
      </c>
      <c r="D779" s="1" t="str">
        <f t="shared" si="12"/>
        <v>Produce</v>
      </c>
      <c r="E779" t="s">
        <v>18</v>
      </c>
      <c r="F779" s="2">
        <v>2</v>
      </c>
      <c r="G779" s="3">
        <v>22</v>
      </c>
      <c r="H779" s="3">
        <f>grocery_chain_data[[#This Row],[Quantity]]*grocery_chain_data[[#This Row],[Unit Price]]</f>
        <v>44</v>
      </c>
      <c r="I779" s="3">
        <v>9</v>
      </c>
      <c r="J779" s="3">
        <f>grocery_chain_data[[#This Row],[Total Amount]]-grocery_chain_data[[#This Row],[Discount Amount]]</f>
        <v>35</v>
      </c>
      <c r="K779">
        <v>249</v>
      </c>
      <c r="L779" t="str">
        <f>IF(grocery_chain_data[[#This Row],[Final Amount]]&lt;0,"Return","Sale")</f>
        <v>Sale</v>
      </c>
      <c r="M779">
        <f>IF(grocery_chain_data[[#This Row],[Final Amount]]&lt;0,0,grocery_chain_data[[#This Row],[Final Amount]])</f>
        <v>35</v>
      </c>
    </row>
    <row r="780" spans="1:13" x14ac:dyDescent="0.3">
      <c r="A780">
        <v>5381</v>
      </c>
      <c r="B780" t="s">
        <v>0</v>
      </c>
      <c r="C780" s="1">
        <v>45167</v>
      </c>
      <c r="D780" s="1" t="str">
        <f t="shared" si="12"/>
        <v>Dairy</v>
      </c>
      <c r="E780" t="s">
        <v>3</v>
      </c>
      <c r="F780" s="2">
        <v>4</v>
      </c>
      <c r="G780" s="3">
        <v>27</v>
      </c>
      <c r="H780" s="3">
        <f>grocery_chain_data[[#This Row],[Quantity]]*grocery_chain_data[[#This Row],[Unit Price]]</f>
        <v>108</v>
      </c>
      <c r="I780" s="3">
        <v>2</v>
      </c>
      <c r="J780" s="3">
        <f>grocery_chain_data[[#This Row],[Total Amount]]-grocery_chain_data[[#This Row],[Discount Amount]]</f>
        <v>106</v>
      </c>
      <c r="K780">
        <v>356</v>
      </c>
      <c r="L780" t="str">
        <f>IF(grocery_chain_data[[#This Row],[Final Amount]]&lt;0,"Return","Sale")</f>
        <v>Sale</v>
      </c>
      <c r="M780">
        <f>IF(grocery_chain_data[[#This Row],[Final Amount]]&lt;0,0,grocery_chain_data[[#This Row],[Final Amount]])</f>
        <v>106</v>
      </c>
    </row>
    <row r="781" spans="1:13" x14ac:dyDescent="0.3">
      <c r="A781">
        <v>3955</v>
      </c>
      <c r="B781" t="s">
        <v>2</v>
      </c>
      <c r="C781" s="1">
        <v>45357</v>
      </c>
      <c r="D781" s="1" t="str">
        <f t="shared" si="12"/>
        <v>Produce</v>
      </c>
      <c r="E781" t="s">
        <v>4</v>
      </c>
      <c r="F781" s="2">
        <v>4</v>
      </c>
      <c r="G781" s="3">
        <v>12</v>
      </c>
      <c r="H781" s="3">
        <f>grocery_chain_data[[#This Row],[Quantity]]*grocery_chain_data[[#This Row],[Unit Price]]</f>
        <v>48</v>
      </c>
      <c r="I781" s="3">
        <v>5</v>
      </c>
      <c r="J781" s="3">
        <f>grocery_chain_data[[#This Row],[Total Amount]]-grocery_chain_data[[#This Row],[Discount Amount]]</f>
        <v>43</v>
      </c>
      <c r="K781">
        <v>115</v>
      </c>
      <c r="L781" t="str">
        <f>IF(grocery_chain_data[[#This Row],[Final Amount]]&lt;0,"Return","Sale")</f>
        <v>Sale</v>
      </c>
      <c r="M781">
        <f>IF(grocery_chain_data[[#This Row],[Final Amount]]&lt;0,0,grocery_chain_data[[#This Row],[Final Amount]])</f>
        <v>43</v>
      </c>
    </row>
    <row r="782" spans="1:13" x14ac:dyDescent="0.3">
      <c r="A782">
        <v>6062</v>
      </c>
      <c r="B782" t="s">
        <v>13</v>
      </c>
      <c r="C782" s="1">
        <v>45860</v>
      </c>
      <c r="D782" s="1" t="str">
        <f t="shared" si="12"/>
        <v>Produce</v>
      </c>
      <c r="E782" t="s">
        <v>25</v>
      </c>
      <c r="F782" s="2">
        <v>2</v>
      </c>
      <c r="G782" s="3">
        <v>22</v>
      </c>
      <c r="H782" s="3">
        <f>grocery_chain_data[[#This Row],[Quantity]]*grocery_chain_data[[#This Row],[Unit Price]]</f>
        <v>44</v>
      </c>
      <c r="I782" s="3">
        <v>3</v>
      </c>
      <c r="J782" s="3">
        <f>grocery_chain_data[[#This Row],[Total Amount]]-grocery_chain_data[[#This Row],[Discount Amount]]</f>
        <v>41</v>
      </c>
      <c r="K782">
        <v>137</v>
      </c>
      <c r="L782" t="str">
        <f>IF(grocery_chain_data[[#This Row],[Final Amount]]&lt;0,"Return","Sale")</f>
        <v>Sale</v>
      </c>
      <c r="M782">
        <f>IF(grocery_chain_data[[#This Row],[Final Amount]]&lt;0,0,grocery_chain_data[[#This Row],[Final Amount]])</f>
        <v>41</v>
      </c>
    </row>
    <row r="783" spans="1:13" x14ac:dyDescent="0.3">
      <c r="A783">
        <v>6567</v>
      </c>
      <c r="B783" t="s">
        <v>13</v>
      </c>
      <c r="C783" s="1">
        <v>45417</v>
      </c>
      <c r="D783" s="1" t="str">
        <f t="shared" si="12"/>
        <v>Produce</v>
      </c>
      <c r="E783" t="s">
        <v>25</v>
      </c>
      <c r="F783" s="2">
        <v>3</v>
      </c>
      <c r="G783" s="3">
        <v>4</v>
      </c>
      <c r="H783" s="3">
        <f>grocery_chain_data[[#This Row],[Quantity]]*grocery_chain_data[[#This Row],[Unit Price]]</f>
        <v>12</v>
      </c>
      <c r="I783" s="3">
        <v>3</v>
      </c>
      <c r="J783" s="3">
        <f>grocery_chain_data[[#This Row],[Total Amount]]-grocery_chain_data[[#This Row],[Discount Amount]]</f>
        <v>9</v>
      </c>
      <c r="K783">
        <v>246</v>
      </c>
      <c r="L783" t="str">
        <f>IF(grocery_chain_data[[#This Row],[Final Amount]]&lt;0,"Return","Sale")</f>
        <v>Sale</v>
      </c>
      <c r="M783">
        <f>IF(grocery_chain_data[[#This Row],[Final Amount]]&lt;0,0,grocery_chain_data[[#This Row],[Final Amount]])</f>
        <v>9</v>
      </c>
    </row>
    <row r="784" spans="1:13" x14ac:dyDescent="0.3">
      <c r="A784">
        <v>1100</v>
      </c>
      <c r="B784" t="s">
        <v>2</v>
      </c>
      <c r="C784" s="1">
        <v>45285</v>
      </c>
      <c r="D784" s="1" t="str">
        <f t="shared" si="12"/>
        <v>Meat &amp; Seafood</v>
      </c>
      <c r="E784" t="s">
        <v>15</v>
      </c>
      <c r="F784" s="2">
        <v>5</v>
      </c>
      <c r="G784" s="3">
        <v>3</v>
      </c>
      <c r="H784" s="3">
        <f>grocery_chain_data[[#This Row],[Quantity]]*grocery_chain_data[[#This Row],[Unit Price]]</f>
        <v>15</v>
      </c>
      <c r="I784" s="3">
        <v>3</v>
      </c>
      <c r="J784" s="3">
        <f>grocery_chain_data[[#This Row],[Total Amount]]-grocery_chain_data[[#This Row],[Discount Amount]]</f>
        <v>12</v>
      </c>
      <c r="K784">
        <v>455</v>
      </c>
      <c r="L784" t="str">
        <f>IF(grocery_chain_data[[#This Row],[Final Amount]]&lt;0,"Return","Sale")</f>
        <v>Sale</v>
      </c>
      <c r="M784">
        <f>IF(grocery_chain_data[[#This Row],[Final Amount]]&lt;0,0,grocery_chain_data[[#This Row],[Final Amount]])</f>
        <v>12</v>
      </c>
    </row>
    <row r="785" spans="1:13" x14ac:dyDescent="0.3">
      <c r="A785">
        <v>3347</v>
      </c>
      <c r="B785" t="s">
        <v>10</v>
      </c>
      <c r="C785" s="1">
        <v>45584</v>
      </c>
      <c r="D785" s="1" t="str">
        <f t="shared" si="12"/>
        <v>Bakery</v>
      </c>
      <c r="E785" t="s">
        <v>22</v>
      </c>
      <c r="F785" s="2">
        <v>5</v>
      </c>
      <c r="G785" s="3">
        <v>24</v>
      </c>
      <c r="H785" s="3">
        <f>grocery_chain_data[[#This Row],[Quantity]]*grocery_chain_data[[#This Row],[Unit Price]]</f>
        <v>120</v>
      </c>
      <c r="I785" s="3">
        <v>18</v>
      </c>
      <c r="J785" s="3">
        <f>grocery_chain_data[[#This Row],[Total Amount]]-grocery_chain_data[[#This Row],[Discount Amount]]</f>
        <v>102</v>
      </c>
      <c r="K785">
        <v>159</v>
      </c>
      <c r="L785" t="str">
        <f>IF(grocery_chain_data[[#This Row],[Final Amount]]&lt;0,"Return","Sale")</f>
        <v>Sale</v>
      </c>
      <c r="M785">
        <f>IF(grocery_chain_data[[#This Row],[Final Amount]]&lt;0,0,grocery_chain_data[[#This Row],[Final Amount]])</f>
        <v>102</v>
      </c>
    </row>
    <row r="786" spans="1:13" x14ac:dyDescent="0.3">
      <c r="A786">
        <v>7566</v>
      </c>
      <c r="B786" t="s">
        <v>2</v>
      </c>
      <c r="C786" s="1">
        <v>45199</v>
      </c>
      <c r="D786" s="1" t="str">
        <f t="shared" si="12"/>
        <v>Produce</v>
      </c>
      <c r="E786" t="s">
        <v>25</v>
      </c>
      <c r="F786" s="2">
        <v>4</v>
      </c>
      <c r="G786" s="3">
        <v>16</v>
      </c>
      <c r="H786" s="3">
        <f>grocery_chain_data[[#This Row],[Quantity]]*grocery_chain_data[[#This Row],[Unit Price]]</f>
        <v>64</v>
      </c>
      <c r="I786" s="3">
        <v>6</v>
      </c>
      <c r="J786" s="3">
        <f>grocery_chain_data[[#This Row],[Total Amount]]-grocery_chain_data[[#This Row],[Discount Amount]]</f>
        <v>58</v>
      </c>
      <c r="K786">
        <v>240</v>
      </c>
      <c r="L786" t="str">
        <f>IF(grocery_chain_data[[#This Row],[Final Amount]]&lt;0,"Return","Sale")</f>
        <v>Sale</v>
      </c>
      <c r="M786">
        <f>IF(grocery_chain_data[[#This Row],[Final Amount]]&lt;0,0,grocery_chain_data[[#This Row],[Final Amount]])</f>
        <v>58</v>
      </c>
    </row>
    <row r="787" spans="1:13" x14ac:dyDescent="0.3">
      <c r="A787">
        <v>3324</v>
      </c>
      <c r="B787" t="s">
        <v>16</v>
      </c>
      <c r="C787" s="1">
        <v>45720</v>
      </c>
      <c r="D787" s="1" t="str">
        <f t="shared" si="12"/>
        <v>Produce</v>
      </c>
      <c r="E787" t="s">
        <v>17</v>
      </c>
      <c r="F787" s="2">
        <v>2</v>
      </c>
      <c r="G787" s="3">
        <v>2</v>
      </c>
      <c r="H787" s="3">
        <f>grocery_chain_data[[#This Row],[Quantity]]*grocery_chain_data[[#This Row],[Unit Price]]</f>
        <v>4</v>
      </c>
      <c r="I787" s="3">
        <v>0</v>
      </c>
      <c r="J787" s="3">
        <f>grocery_chain_data[[#This Row],[Total Amount]]-grocery_chain_data[[#This Row],[Discount Amount]]</f>
        <v>4</v>
      </c>
      <c r="K787">
        <v>472</v>
      </c>
      <c r="L787" t="str">
        <f>IF(grocery_chain_data[[#This Row],[Final Amount]]&lt;0,"Return","Sale")</f>
        <v>Sale</v>
      </c>
      <c r="M787">
        <f>IF(grocery_chain_data[[#This Row],[Final Amount]]&lt;0,0,grocery_chain_data[[#This Row],[Final Amount]])</f>
        <v>4</v>
      </c>
    </row>
    <row r="788" spans="1:13" x14ac:dyDescent="0.3">
      <c r="A788">
        <v>1502</v>
      </c>
      <c r="B788" t="s">
        <v>12</v>
      </c>
      <c r="C788" s="1">
        <v>45216</v>
      </c>
      <c r="D788" s="1" t="str">
        <f t="shared" si="12"/>
        <v>Produce</v>
      </c>
      <c r="E788" t="s">
        <v>25</v>
      </c>
      <c r="F788" s="2">
        <v>5</v>
      </c>
      <c r="G788" s="3">
        <v>6</v>
      </c>
      <c r="H788" s="3">
        <f>grocery_chain_data[[#This Row],[Quantity]]*grocery_chain_data[[#This Row],[Unit Price]]</f>
        <v>30</v>
      </c>
      <c r="I788" s="3">
        <v>0</v>
      </c>
      <c r="J788" s="3">
        <f>grocery_chain_data[[#This Row],[Total Amount]]-grocery_chain_data[[#This Row],[Discount Amount]]</f>
        <v>30</v>
      </c>
      <c r="K788">
        <v>26</v>
      </c>
      <c r="L788" t="str">
        <f>IF(grocery_chain_data[[#This Row],[Final Amount]]&lt;0,"Return","Sale")</f>
        <v>Sale</v>
      </c>
      <c r="M788">
        <f>IF(grocery_chain_data[[#This Row],[Final Amount]]&lt;0,0,grocery_chain_data[[#This Row],[Final Amount]])</f>
        <v>30</v>
      </c>
    </row>
    <row r="789" spans="1:13" x14ac:dyDescent="0.3">
      <c r="A789">
        <v>9691</v>
      </c>
      <c r="B789" t="s">
        <v>13</v>
      </c>
      <c r="C789" s="1">
        <v>45312</v>
      </c>
      <c r="D789" s="1" t="str">
        <f t="shared" si="12"/>
        <v>Produce</v>
      </c>
      <c r="E789" t="s">
        <v>25</v>
      </c>
      <c r="F789" s="2">
        <v>1</v>
      </c>
      <c r="G789" s="3">
        <v>5</v>
      </c>
      <c r="H789" s="3">
        <f>grocery_chain_data[[#This Row],[Quantity]]*grocery_chain_data[[#This Row],[Unit Price]]</f>
        <v>5</v>
      </c>
      <c r="I789" s="3">
        <v>1</v>
      </c>
      <c r="J789" s="3">
        <f>grocery_chain_data[[#This Row],[Total Amount]]-grocery_chain_data[[#This Row],[Discount Amount]]</f>
        <v>4</v>
      </c>
      <c r="K789">
        <v>39</v>
      </c>
      <c r="L789" t="str">
        <f>IF(grocery_chain_data[[#This Row],[Final Amount]]&lt;0,"Return","Sale")</f>
        <v>Sale</v>
      </c>
      <c r="M789">
        <f>IF(grocery_chain_data[[#This Row],[Final Amount]]&lt;0,0,grocery_chain_data[[#This Row],[Final Amount]])</f>
        <v>4</v>
      </c>
    </row>
    <row r="790" spans="1:13" x14ac:dyDescent="0.3">
      <c r="A790">
        <v>7163</v>
      </c>
      <c r="B790" t="s">
        <v>5</v>
      </c>
      <c r="C790" s="1">
        <v>45471</v>
      </c>
      <c r="D790" s="1" t="str">
        <f t="shared" si="12"/>
        <v>Pantry</v>
      </c>
      <c r="E790" t="s">
        <v>1</v>
      </c>
      <c r="F790" s="2">
        <v>3</v>
      </c>
      <c r="G790" s="3">
        <v>26</v>
      </c>
      <c r="H790" s="3">
        <f>grocery_chain_data[[#This Row],[Quantity]]*grocery_chain_data[[#This Row],[Unit Price]]</f>
        <v>78</v>
      </c>
      <c r="I790" s="3">
        <v>2</v>
      </c>
      <c r="J790" s="3">
        <f>grocery_chain_data[[#This Row],[Total Amount]]-grocery_chain_data[[#This Row],[Discount Amount]]</f>
        <v>76</v>
      </c>
      <c r="K790">
        <v>7</v>
      </c>
      <c r="L790" t="str">
        <f>IF(grocery_chain_data[[#This Row],[Final Amount]]&lt;0,"Return","Sale")</f>
        <v>Sale</v>
      </c>
      <c r="M790">
        <f>IF(grocery_chain_data[[#This Row],[Final Amount]]&lt;0,0,grocery_chain_data[[#This Row],[Final Amount]])</f>
        <v>76</v>
      </c>
    </row>
    <row r="791" spans="1:13" x14ac:dyDescent="0.3">
      <c r="A791">
        <v>8432</v>
      </c>
      <c r="B791" t="s">
        <v>5</v>
      </c>
      <c r="C791" s="1">
        <v>45409</v>
      </c>
      <c r="D791" s="1" t="str">
        <f t="shared" si="12"/>
        <v>Meat &amp; Seafood</v>
      </c>
      <c r="E791" t="s">
        <v>15</v>
      </c>
      <c r="F791" s="2">
        <v>3</v>
      </c>
      <c r="G791" s="3">
        <v>24</v>
      </c>
      <c r="H791" s="3">
        <f>grocery_chain_data[[#This Row],[Quantity]]*grocery_chain_data[[#This Row],[Unit Price]]</f>
        <v>72</v>
      </c>
      <c r="I791" s="3">
        <v>7</v>
      </c>
      <c r="J791" s="3">
        <f>grocery_chain_data[[#This Row],[Total Amount]]-grocery_chain_data[[#This Row],[Discount Amount]]</f>
        <v>65</v>
      </c>
      <c r="K791">
        <v>133</v>
      </c>
      <c r="L791" t="str">
        <f>IF(grocery_chain_data[[#This Row],[Final Amount]]&lt;0,"Return","Sale")</f>
        <v>Sale</v>
      </c>
      <c r="M791">
        <f>IF(grocery_chain_data[[#This Row],[Final Amount]]&lt;0,0,grocery_chain_data[[#This Row],[Final Amount]])</f>
        <v>65</v>
      </c>
    </row>
    <row r="792" spans="1:13" x14ac:dyDescent="0.3">
      <c r="A792">
        <v>3578</v>
      </c>
      <c r="B792" t="s">
        <v>5</v>
      </c>
      <c r="C792" s="1">
        <v>45432</v>
      </c>
      <c r="D792" s="1" t="str">
        <f t="shared" si="12"/>
        <v>Dairy</v>
      </c>
      <c r="E792" t="s">
        <v>19</v>
      </c>
      <c r="F792" s="2">
        <v>3</v>
      </c>
      <c r="G792" s="3">
        <v>30</v>
      </c>
      <c r="H792" s="3">
        <f>grocery_chain_data[[#This Row],[Quantity]]*grocery_chain_data[[#This Row],[Unit Price]]</f>
        <v>90</v>
      </c>
      <c r="I792" s="3">
        <v>5</v>
      </c>
      <c r="J792" s="3">
        <f>grocery_chain_data[[#This Row],[Total Amount]]-grocery_chain_data[[#This Row],[Discount Amount]]</f>
        <v>85</v>
      </c>
      <c r="K792">
        <v>495</v>
      </c>
      <c r="L792" t="str">
        <f>IF(grocery_chain_data[[#This Row],[Final Amount]]&lt;0,"Return","Sale")</f>
        <v>Sale</v>
      </c>
      <c r="M792">
        <f>IF(grocery_chain_data[[#This Row],[Final Amount]]&lt;0,0,grocery_chain_data[[#This Row],[Final Amount]])</f>
        <v>85</v>
      </c>
    </row>
    <row r="793" spans="1:13" x14ac:dyDescent="0.3">
      <c r="A793">
        <v>6105</v>
      </c>
      <c r="B793" t="s">
        <v>5</v>
      </c>
      <c r="C793" s="1">
        <v>45705</v>
      </c>
      <c r="D793" s="1" t="str">
        <f t="shared" si="12"/>
        <v>Dairy</v>
      </c>
      <c r="E793" t="s">
        <v>3</v>
      </c>
      <c r="F793" s="2">
        <v>4</v>
      </c>
      <c r="G793" s="3">
        <v>8</v>
      </c>
      <c r="H793" s="3">
        <f>grocery_chain_data[[#This Row],[Quantity]]*grocery_chain_data[[#This Row],[Unit Price]]</f>
        <v>32</v>
      </c>
      <c r="I793" s="3">
        <v>6</v>
      </c>
      <c r="J793" s="3">
        <f>grocery_chain_data[[#This Row],[Total Amount]]-grocery_chain_data[[#This Row],[Discount Amount]]</f>
        <v>26</v>
      </c>
      <c r="K793">
        <v>225</v>
      </c>
      <c r="L793" t="str">
        <f>IF(grocery_chain_data[[#This Row],[Final Amount]]&lt;0,"Return","Sale")</f>
        <v>Sale</v>
      </c>
      <c r="M793">
        <f>IF(grocery_chain_data[[#This Row],[Final Amount]]&lt;0,0,grocery_chain_data[[#This Row],[Final Amount]])</f>
        <v>26</v>
      </c>
    </row>
    <row r="794" spans="1:13" x14ac:dyDescent="0.3">
      <c r="A794">
        <v>6314</v>
      </c>
      <c r="B794" t="s">
        <v>16</v>
      </c>
      <c r="C794" s="1">
        <v>45748</v>
      </c>
      <c r="D794" s="1" t="str">
        <f t="shared" si="12"/>
        <v>Pantry</v>
      </c>
      <c r="E794" t="s">
        <v>1</v>
      </c>
      <c r="F794" s="2">
        <v>1</v>
      </c>
      <c r="G794" s="3">
        <v>3</v>
      </c>
      <c r="H794" s="3">
        <f>grocery_chain_data[[#This Row],[Quantity]]*grocery_chain_data[[#This Row],[Unit Price]]</f>
        <v>3</v>
      </c>
      <c r="I794" s="3">
        <v>0</v>
      </c>
      <c r="J794" s="3">
        <f>grocery_chain_data[[#This Row],[Total Amount]]-grocery_chain_data[[#This Row],[Discount Amount]]</f>
        <v>3</v>
      </c>
      <c r="K794">
        <v>237</v>
      </c>
      <c r="L794" t="str">
        <f>IF(grocery_chain_data[[#This Row],[Final Amount]]&lt;0,"Return","Sale")</f>
        <v>Sale</v>
      </c>
      <c r="M794">
        <f>IF(grocery_chain_data[[#This Row],[Final Amount]]&lt;0,0,grocery_chain_data[[#This Row],[Final Amount]])</f>
        <v>3</v>
      </c>
    </row>
    <row r="795" spans="1:13" x14ac:dyDescent="0.3">
      <c r="A795">
        <v>2391</v>
      </c>
      <c r="B795" t="s">
        <v>12</v>
      </c>
      <c r="C795" s="1">
        <v>45831</v>
      </c>
      <c r="D795" s="1" t="str">
        <f t="shared" si="12"/>
        <v>Produce</v>
      </c>
      <c r="E795" t="s">
        <v>4</v>
      </c>
      <c r="F795" s="2">
        <v>2</v>
      </c>
      <c r="G795" s="3">
        <v>12</v>
      </c>
      <c r="H795" s="3">
        <f>grocery_chain_data[[#This Row],[Quantity]]*grocery_chain_data[[#This Row],[Unit Price]]</f>
        <v>24</v>
      </c>
      <c r="I795" s="3">
        <v>2</v>
      </c>
      <c r="J795" s="3">
        <f>grocery_chain_data[[#This Row],[Total Amount]]-grocery_chain_data[[#This Row],[Discount Amount]]</f>
        <v>22</v>
      </c>
      <c r="K795">
        <v>361</v>
      </c>
      <c r="L795" t="str">
        <f>IF(grocery_chain_data[[#This Row],[Final Amount]]&lt;0,"Return","Sale")</f>
        <v>Sale</v>
      </c>
      <c r="M795">
        <f>IF(grocery_chain_data[[#This Row],[Final Amount]]&lt;0,0,grocery_chain_data[[#This Row],[Final Amount]])</f>
        <v>22</v>
      </c>
    </row>
    <row r="796" spans="1:13" x14ac:dyDescent="0.3">
      <c r="A796">
        <v>1861</v>
      </c>
      <c r="B796" t="s">
        <v>12</v>
      </c>
      <c r="C796" s="1">
        <v>45265</v>
      </c>
      <c r="D796" s="1" t="str">
        <f t="shared" si="12"/>
        <v>Produce</v>
      </c>
      <c r="E796" t="s">
        <v>24</v>
      </c>
      <c r="F796" s="2">
        <v>4</v>
      </c>
      <c r="G796" s="3">
        <v>1</v>
      </c>
      <c r="H796" s="3">
        <f>grocery_chain_data[[#This Row],[Quantity]]*grocery_chain_data[[#This Row],[Unit Price]]</f>
        <v>4</v>
      </c>
      <c r="I796" s="3">
        <v>1</v>
      </c>
      <c r="J796" s="3">
        <f>grocery_chain_data[[#This Row],[Total Amount]]-grocery_chain_data[[#This Row],[Discount Amount]]</f>
        <v>3</v>
      </c>
      <c r="K796">
        <v>474</v>
      </c>
      <c r="L796" t="str">
        <f>IF(grocery_chain_data[[#This Row],[Final Amount]]&lt;0,"Return","Sale")</f>
        <v>Sale</v>
      </c>
      <c r="M796">
        <f>IF(grocery_chain_data[[#This Row],[Final Amount]]&lt;0,0,grocery_chain_data[[#This Row],[Final Amount]])</f>
        <v>3</v>
      </c>
    </row>
    <row r="797" spans="1:13" x14ac:dyDescent="0.3">
      <c r="A797">
        <v>3579</v>
      </c>
      <c r="B797" t="s">
        <v>16</v>
      </c>
      <c r="C797" s="1">
        <v>45730</v>
      </c>
      <c r="D797" s="1" t="str">
        <f t="shared" si="12"/>
        <v>Dairy</v>
      </c>
      <c r="E797" t="s">
        <v>19</v>
      </c>
      <c r="F797" s="2">
        <v>1</v>
      </c>
      <c r="G797" s="3">
        <v>28</v>
      </c>
      <c r="H797" s="3">
        <f>grocery_chain_data[[#This Row],[Quantity]]*grocery_chain_data[[#This Row],[Unit Price]]</f>
        <v>28</v>
      </c>
      <c r="I797" s="3">
        <v>3</v>
      </c>
      <c r="J797" s="3">
        <f>grocery_chain_data[[#This Row],[Total Amount]]-grocery_chain_data[[#This Row],[Discount Amount]]</f>
        <v>25</v>
      </c>
      <c r="K797">
        <v>326</v>
      </c>
      <c r="L797" t="str">
        <f>IF(grocery_chain_data[[#This Row],[Final Amount]]&lt;0,"Return","Sale")</f>
        <v>Sale</v>
      </c>
      <c r="M797">
        <f>IF(grocery_chain_data[[#This Row],[Final Amount]]&lt;0,0,grocery_chain_data[[#This Row],[Final Amount]])</f>
        <v>25</v>
      </c>
    </row>
    <row r="798" spans="1:13" x14ac:dyDescent="0.3">
      <c r="A798">
        <v>1815</v>
      </c>
      <c r="B798" t="s">
        <v>12</v>
      </c>
      <c r="C798" s="1">
        <v>45668</v>
      </c>
      <c r="D798" s="1" t="str">
        <f t="shared" si="12"/>
        <v>Pantry</v>
      </c>
      <c r="E798" t="s">
        <v>1</v>
      </c>
      <c r="F798" s="2">
        <v>3</v>
      </c>
      <c r="G798" s="3">
        <v>24</v>
      </c>
      <c r="H798" s="3">
        <f>grocery_chain_data[[#This Row],[Quantity]]*grocery_chain_data[[#This Row],[Unit Price]]</f>
        <v>72</v>
      </c>
      <c r="I798" s="3">
        <v>7</v>
      </c>
      <c r="J798" s="3">
        <f>grocery_chain_data[[#This Row],[Total Amount]]-grocery_chain_data[[#This Row],[Discount Amount]]</f>
        <v>65</v>
      </c>
      <c r="K798">
        <v>130</v>
      </c>
      <c r="L798" t="str">
        <f>IF(grocery_chain_data[[#This Row],[Final Amount]]&lt;0,"Return","Sale")</f>
        <v>Sale</v>
      </c>
      <c r="M798">
        <f>IF(grocery_chain_data[[#This Row],[Final Amount]]&lt;0,0,grocery_chain_data[[#This Row],[Final Amount]])</f>
        <v>65</v>
      </c>
    </row>
    <row r="799" spans="1:13" x14ac:dyDescent="0.3">
      <c r="A799">
        <v>2336</v>
      </c>
      <c r="B799" t="s">
        <v>21</v>
      </c>
      <c r="C799" s="1">
        <v>45356</v>
      </c>
      <c r="D799" s="1" t="str">
        <f t="shared" si="12"/>
        <v>Dairy</v>
      </c>
      <c r="E799" t="s">
        <v>23</v>
      </c>
      <c r="F799" s="2">
        <v>5</v>
      </c>
      <c r="G799" s="3">
        <v>11</v>
      </c>
      <c r="H799" s="3">
        <f>grocery_chain_data[[#This Row],[Quantity]]*grocery_chain_data[[#This Row],[Unit Price]]</f>
        <v>55</v>
      </c>
      <c r="I799" s="3">
        <v>8</v>
      </c>
      <c r="J799" s="3">
        <f>grocery_chain_data[[#This Row],[Total Amount]]-grocery_chain_data[[#This Row],[Discount Amount]]</f>
        <v>47</v>
      </c>
      <c r="K799">
        <v>353</v>
      </c>
      <c r="L799" t="str">
        <f>IF(grocery_chain_data[[#This Row],[Final Amount]]&lt;0,"Return","Sale")</f>
        <v>Sale</v>
      </c>
      <c r="M799">
        <f>IF(grocery_chain_data[[#This Row],[Final Amount]]&lt;0,0,grocery_chain_data[[#This Row],[Final Amount]])</f>
        <v>47</v>
      </c>
    </row>
    <row r="800" spans="1:13" x14ac:dyDescent="0.3">
      <c r="A800">
        <v>8259</v>
      </c>
      <c r="B800" t="s">
        <v>2</v>
      </c>
      <c r="C800" s="1">
        <v>45659</v>
      </c>
      <c r="D800" s="1" t="str">
        <f t="shared" si="12"/>
        <v>Produce</v>
      </c>
      <c r="E800" t="s">
        <v>18</v>
      </c>
      <c r="F800" s="2">
        <v>1</v>
      </c>
      <c r="G800" s="3">
        <v>1</v>
      </c>
      <c r="H800" s="3">
        <f>grocery_chain_data[[#This Row],[Quantity]]*grocery_chain_data[[#This Row],[Unit Price]]</f>
        <v>1</v>
      </c>
      <c r="I800" s="3">
        <v>0</v>
      </c>
      <c r="J800" s="3">
        <f>grocery_chain_data[[#This Row],[Total Amount]]-grocery_chain_data[[#This Row],[Discount Amount]]</f>
        <v>1</v>
      </c>
      <c r="K800">
        <v>50</v>
      </c>
      <c r="L800" t="str">
        <f>IF(grocery_chain_data[[#This Row],[Final Amount]]&lt;0,"Return","Sale")</f>
        <v>Sale</v>
      </c>
      <c r="M800">
        <f>IF(grocery_chain_data[[#This Row],[Final Amount]]&lt;0,0,grocery_chain_data[[#This Row],[Final Amount]])</f>
        <v>1</v>
      </c>
    </row>
    <row r="801" spans="1:13" x14ac:dyDescent="0.3">
      <c r="A801">
        <v>7947</v>
      </c>
      <c r="B801" t="s">
        <v>10</v>
      </c>
      <c r="C801" s="1">
        <v>45522</v>
      </c>
      <c r="D801" s="1" t="str">
        <f t="shared" si="12"/>
        <v>Meat &amp; Seafood</v>
      </c>
      <c r="E801" t="s">
        <v>9</v>
      </c>
      <c r="F801" s="2">
        <v>3</v>
      </c>
      <c r="G801" s="3">
        <v>8</v>
      </c>
      <c r="H801" s="3">
        <f>grocery_chain_data[[#This Row],[Quantity]]*grocery_chain_data[[#This Row],[Unit Price]]</f>
        <v>24</v>
      </c>
      <c r="I801" s="3">
        <v>1</v>
      </c>
      <c r="J801" s="3">
        <f>grocery_chain_data[[#This Row],[Total Amount]]-grocery_chain_data[[#This Row],[Discount Amount]]</f>
        <v>23</v>
      </c>
      <c r="K801">
        <v>17</v>
      </c>
      <c r="L801" t="str">
        <f>IF(grocery_chain_data[[#This Row],[Final Amount]]&lt;0,"Return","Sale")</f>
        <v>Sale</v>
      </c>
      <c r="M801">
        <f>IF(grocery_chain_data[[#This Row],[Final Amount]]&lt;0,0,grocery_chain_data[[#This Row],[Final Amount]])</f>
        <v>23</v>
      </c>
    </row>
    <row r="802" spans="1:13" x14ac:dyDescent="0.3">
      <c r="A802">
        <v>8242</v>
      </c>
      <c r="B802" t="s">
        <v>21</v>
      </c>
      <c r="C802" s="1">
        <v>45466</v>
      </c>
      <c r="D802" s="1" t="str">
        <f t="shared" si="12"/>
        <v>Meat &amp; Seafood</v>
      </c>
      <c r="E802" t="s">
        <v>26</v>
      </c>
      <c r="F802" s="2">
        <v>1</v>
      </c>
      <c r="G802" s="3">
        <v>4</v>
      </c>
      <c r="H802" s="3">
        <f>grocery_chain_data[[#This Row],[Quantity]]*grocery_chain_data[[#This Row],[Unit Price]]</f>
        <v>4</v>
      </c>
      <c r="I802" s="3">
        <v>0</v>
      </c>
      <c r="J802" s="3">
        <f>grocery_chain_data[[#This Row],[Total Amount]]-grocery_chain_data[[#This Row],[Discount Amount]]</f>
        <v>4</v>
      </c>
      <c r="K802">
        <v>309</v>
      </c>
      <c r="L802" t="str">
        <f>IF(grocery_chain_data[[#This Row],[Final Amount]]&lt;0,"Return","Sale")</f>
        <v>Sale</v>
      </c>
      <c r="M802">
        <f>IF(grocery_chain_data[[#This Row],[Final Amount]]&lt;0,0,grocery_chain_data[[#This Row],[Final Amount]])</f>
        <v>4</v>
      </c>
    </row>
    <row r="803" spans="1:13" x14ac:dyDescent="0.3">
      <c r="A803">
        <v>5475</v>
      </c>
      <c r="B803" t="s">
        <v>5</v>
      </c>
      <c r="C803" s="1">
        <v>45312</v>
      </c>
      <c r="D803" s="1" t="str">
        <f t="shared" si="12"/>
        <v>Produce</v>
      </c>
      <c r="E803" t="s">
        <v>11</v>
      </c>
      <c r="F803" s="2">
        <v>3</v>
      </c>
      <c r="G803" s="3">
        <v>10</v>
      </c>
      <c r="H803" s="3">
        <f>grocery_chain_data[[#This Row],[Quantity]]*grocery_chain_data[[#This Row],[Unit Price]]</f>
        <v>30</v>
      </c>
      <c r="I803" s="3">
        <v>0</v>
      </c>
      <c r="J803" s="3">
        <f>grocery_chain_data[[#This Row],[Total Amount]]-grocery_chain_data[[#This Row],[Discount Amount]]</f>
        <v>30</v>
      </c>
      <c r="K803">
        <v>338</v>
      </c>
      <c r="L803" t="str">
        <f>IF(grocery_chain_data[[#This Row],[Final Amount]]&lt;0,"Return","Sale")</f>
        <v>Sale</v>
      </c>
      <c r="M803">
        <f>IF(grocery_chain_data[[#This Row],[Final Amount]]&lt;0,0,grocery_chain_data[[#This Row],[Final Amount]])</f>
        <v>30</v>
      </c>
    </row>
    <row r="804" spans="1:13" x14ac:dyDescent="0.3">
      <c r="A804">
        <v>9394</v>
      </c>
      <c r="B804" t="s">
        <v>10</v>
      </c>
      <c r="C804" s="1">
        <v>45233</v>
      </c>
      <c r="D804" s="1" t="str">
        <f t="shared" si="12"/>
        <v>Dairy</v>
      </c>
      <c r="E804" t="s">
        <v>3</v>
      </c>
      <c r="F804" s="2">
        <v>3</v>
      </c>
      <c r="G804" s="3">
        <v>8</v>
      </c>
      <c r="H804" s="3">
        <f>grocery_chain_data[[#This Row],[Quantity]]*grocery_chain_data[[#This Row],[Unit Price]]</f>
        <v>24</v>
      </c>
      <c r="I804" s="3">
        <v>4</v>
      </c>
      <c r="J804" s="3">
        <f>grocery_chain_data[[#This Row],[Total Amount]]-grocery_chain_data[[#This Row],[Discount Amount]]</f>
        <v>20</v>
      </c>
      <c r="K804">
        <v>399</v>
      </c>
      <c r="L804" t="str">
        <f>IF(grocery_chain_data[[#This Row],[Final Amount]]&lt;0,"Return","Sale")</f>
        <v>Sale</v>
      </c>
      <c r="M804">
        <f>IF(grocery_chain_data[[#This Row],[Final Amount]]&lt;0,0,grocery_chain_data[[#This Row],[Final Amount]])</f>
        <v>20</v>
      </c>
    </row>
    <row r="805" spans="1:13" x14ac:dyDescent="0.3">
      <c r="A805">
        <v>6655</v>
      </c>
      <c r="B805" t="s">
        <v>13</v>
      </c>
      <c r="C805" s="1">
        <v>45478</v>
      </c>
      <c r="D805" s="1" t="str">
        <f t="shared" si="12"/>
        <v>Produce</v>
      </c>
      <c r="E805" t="s">
        <v>14</v>
      </c>
      <c r="F805" s="2">
        <v>3</v>
      </c>
      <c r="G805" s="3">
        <v>30</v>
      </c>
      <c r="H805" s="3">
        <f>grocery_chain_data[[#This Row],[Quantity]]*grocery_chain_data[[#This Row],[Unit Price]]</f>
        <v>90</v>
      </c>
      <c r="I805" s="3">
        <v>18</v>
      </c>
      <c r="J805" s="3">
        <f>grocery_chain_data[[#This Row],[Total Amount]]-grocery_chain_data[[#This Row],[Discount Amount]]</f>
        <v>72</v>
      </c>
      <c r="K805">
        <v>132</v>
      </c>
      <c r="L805" t="str">
        <f>IF(grocery_chain_data[[#This Row],[Final Amount]]&lt;0,"Return","Sale")</f>
        <v>Sale</v>
      </c>
      <c r="M805">
        <f>IF(grocery_chain_data[[#This Row],[Final Amount]]&lt;0,0,grocery_chain_data[[#This Row],[Final Amount]])</f>
        <v>72</v>
      </c>
    </row>
    <row r="806" spans="1:13" x14ac:dyDescent="0.3">
      <c r="A806">
        <v>2816</v>
      </c>
      <c r="B806" t="s">
        <v>10</v>
      </c>
      <c r="C806" s="1">
        <v>45365</v>
      </c>
      <c r="D806" s="1" t="str">
        <f t="shared" si="12"/>
        <v>Produce</v>
      </c>
      <c r="E806" t="s">
        <v>25</v>
      </c>
      <c r="F806" s="2">
        <v>2</v>
      </c>
      <c r="G806" s="3">
        <v>19</v>
      </c>
      <c r="H806" s="3">
        <f>grocery_chain_data[[#This Row],[Quantity]]*grocery_chain_data[[#This Row],[Unit Price]]</f>
        <v>38</v>
      </c>
      <c r="I806" s="3">
        <v>2</v>
      </c>
      <c r="J806" s="3">
        <f>grocery_chain_data[[#This Row],[Total Amount]]-grocery_chain_data[[#This Row],[Discount Amount]]</f>
        <v>36</v>
      </c>
      <c r="K806">
        <v>91</v>
      </c>
      <c r="L806" t="str">
        <f>IF(grocery_chain_data[[#This Row],[Final Amount]]&lt;0,"Return","Sale")</f>
        <v>Sale</v>
      </c>
      <c r="M806">
        <f>IF(grocery_chain_data[[#This Row],[Final Amount]]&lt;0,0,grocery_chain_data[[#This Row],[Final Amount]])</f>
        <v>36</v>
      </c>
    </row>
    <row r="807" spans="1:13" x14ac:dyDescent="0.3">
      <c r="A807">
        <v>8972</v>
      </c>
      <c r="B807" t="s">
        <v>8</v>
      </c>
      <c r="C807" s="1">
        <v>45554</v>
      </c>
      <c r="D807" s="1" t="str">
        <f t="shared" si="12"/>
        <v>Meat &amp; Seafood</v>
      </c>
      <c r="E807" t="s">
        <v>26</v>
      </c>
      <c r="F807" s="2">
        <v>4</v>
      </c>
      <c r="G807" s="3">
        <v>22</v>
      </c>
      <c r="H807" s="3">
        <f>grocery_chain_data[[#This Row],[Quantity]]*grocery_chain_data[[#This Row],[Unit Price]]</f>
        <v>88</v>
      </c>
      <c r="I807" s="3">
        <v>1</v>
      </c>
      <c r="J807" s="3">
        <f>grocery_chain_data[[#This Row],[Total Amount]]-grocery_chain_data[[#This Row],[Discount Amount]]</f>
        <v>87</v>
      </c>
      <c r="K807">
        <v>52</v>
      </c>
      <c r="L807" t="str">
        <f>IF(grocery_chain_data[[#This Row],[Final Amount]]&lt;0,"Return","Sale")</f>
        <v>Sale</v>
      </c>
      <c r="M807">
        <f>IF(grocery_chain_data[[#This Row],[Final Amount]]&lt;0,0,grocery_chain_data[[#This Row],[Final Amount]])</f>
        <v>87</v>
      </c>
    </row>
    <row r="808" spans="1:13" x14ac:dyDescent="0.3">
      <c r="A808">
        <v>6053</v>
      </c>
      <c r="B808" t="s">
        <v>12</v>
      </c>
      <c r="C808" s="1">
        <v>45180</v>
      </c>
      <c r="D808" s="1" t="str">
        <f t="shared" si="12"/>
        <v>Produce</v>
      </c>
      <c r="E808" t="s">
        <v>18</v>
      </c>
      <c r="F808" s="2">
        <v>4</v>
      </c>
      <c r="G808" s="3">
        <v>5</v>
      </c>
      <c r="H808" s="3">
        <f>grocery_chain_data[[#This Row],[Quantity]]*grocery_chain_data[[#This Row],[Unit Price]]</f>
        <v>20</v>
      </c>
      <c r="I808" s="3">
        <v>4</v>
      </c>
      <c r="J808" s="3">
        <f>grocery_chain_data[[#This Row],[Total Amount]]-grocery_chain_data[[#This Row],[Discount Amount]]</f>
        <v>16</v>
      </c>
      <c r="K808">
        <v>327</v>
      </c>
      <c r="L808" t="str">
        <f>IF(grocery_chain_data[[#This Row],[Final Amount]]&lt;0,"Return","Sale")</f>
        <v>Sale</v>
      </c>
      <c r="M808">
        <f>IF(grocery_chain_data[[#This Row],[Final Amount]]&lt;0,0,grocery_chain_data[[#This Row],[Final Amount]])</f>
        <v>16</v>
      </c>
    </row>
    <row r="809" spans="1:13" x14ac:dyDescent="0.3">
      <c r="A809">
        <v>4612</v>
      </c>
      <c r="B809" t="s">
        <v>12</v>
      </c>
      <c r="C809" s="1">
        <v>45452</v>
      </c>
      <c r="D809" s="1" t="str">
        <f t="shared" si="12"/>
        <v>Pantry</v>
      </c>
      <c r="E809" t="s">
        <v>6</v>
      </c>
      <c r="F809" s="2">
        <v>4</v>
      </c>
      <c r="G809" s="3">
        <v>18</v>
      </c>
      <c r="H809" s="3">
        <f>grocery_chain_data[[#This Row],[Quantity]]*grocery_chain_data[[#This Row],[Unit Price]]</f>
        <v>72</v>
      </c>
      <c r="I809" s="3">
        <v>7</v>
      </c>
      <c r="J809" s="3">
        <f>grocery_chain_data[[#This Row],[Total Amount]]-grocery_chain_data[[#This Row],[Discount Amount]]</f>
        <v>65</v>
      </c>
      <c r="K809">
        <v>263</v>
      </c>
      <c r="L809" t="str">
        <f>IF(grocery_chain_data[[#This Row],[Final Amount]]&lt;0,"Return","Sale")</f>
        <v>Sale</v>
      </c>
      <c r="M809">
        <f>IF(grocery_chain_data[[#This Row],[Final Amount]]&lt;0,0,grocery_chain_data[[#This Row],[Final Amount]])</f>
        <v>65</v>
      </c>
    </row>
    <row r="810" spans="1:13" x14ac:dyDescent="0.3">
      <c r="A810">
        <v>1897</v>
      </c>
      <c r="B810" t="s">
        <v>8</v>
      </c>
      <c r="C810" s="1">
        <v>45150</v>
      </c>
      <c r="D810" s="1" t="str">
        <f t="shared" si="12"/>
        <v>Bakery</v>
      </c>
      <c r="E810" t="s">
        <v>22</v>
      </c>
      <c r="F810" s="2">
        <v>5</v>
      </c>
      <c r="G810" s="3">
        <v>8</v>
      </c>
      <c r="H810" s="3">
        <f>grocery_chain_data[[#This Row],[Quantity]]*grocery_chain_data[[#This Row],[Unit Price]]</f>
        <v>40</v>
      </c>
      <c r="I810" s="3">
        <v>3</v>
      </c>
      <c r="J810" s="3">
        <f>grocery_chain_data[[#This Row],[Total Amount]]-grocery_chain_data[[#This Row],[Discount Amount]]</f>
        <v>37</v>
      </c>
      <c r="K810">
        <v>196</v>
      </c>
      <c r="L810" t="str">
        <f>IF(grocery_chain_data[[#This Row],[Final Amount]]&lt;0,"Return","Sale")</f>
        <v>Sale</v>
      </c>
      <c r="M810">
        <f>IF(grocery_chain_data[[#This Row],[Final Amount]]&lt;0,0,grocery_chain_data[[#This Row],[Final Amount]])</f>
        <v>37</v>
      </c>
    </row>
    <row r="811" spans="1:13" x14ac:dyDescent="0.3">
      <c r="A811">
        <v>4349</v>
      </c>
      <c r="B811" t="s">
        <v>16</v>
      </c>
      <c r="C811" s="1">
        <v>45379</v>
      </c>
      <c r="D811" s="1" t="str">
        <f t="shared" si="12"/>
        <v>Produce</v>
      </c>
      <c r="E811" t="s">
        <v>17</v>
      </c>
      <c r="F811" s="2">
        <v>4</v>
      </c>
      <c r="G811" s="3">
        <v>3</v>
      </c>
      <c r="H811" s="3">
        <f>grocery_chain_data[[#This Row],[Quantity]]*grocery_chain_data[[#This Row],[Unit Price]]</f>
        <v>12</v>
      </c>
      <c r="I811" s="3">
        <v>2</v>
      </c>
      <c r="J811" s="3">
        <f>grocery_chain_data[[#This Row],[Total Amount]]-grocery_chain_data[[#This Row],[Discount Amount]]</f>
        <v>10</v>
      </c>
      <c r="K811">
        <v>490</v>
      </c>
      <c r="L811" t="str">
        <f>IF(grocery_chain_data[[#This Row],[Final Amount]]&lt;0,"Return","Sale")</f>
        <v>Sale</v>
      </c>
      <c r="M811">
        <f>IF(grocery_chain_data[[#This Row],[Final Amount]]&lt;0,0,grocery_chain_data[[#This Row],[Final Amount]])</f>
        <v>10</v>
      </c>
    </row>
    <row r="812" spans="1:13" x14ac:dyDescent="0.3">
      <c r="A812">
        <v>4460</v>
      </c>
      <c r="B812" t="s">
        <v>2</v>
      </c>
      <c r="C812" s="1">
        <v>45741</v>
      </c>
      <c r="D812" s="1" t="str">
        <f t="shared" si="12"/>
        <v>Bakery</v>
      </c>
      <c r="E812" t="s">
        <v>22</v>
      </c>
      <c r="F812" s="2">
        <v>4</v>
      </c>
      <c r="G812" s="3">
        <v>23</v>
      </c>
      <c r="H812" s="3">
        <f>grocery_chain_data[[#This Row],[Quantity]]*grocery_chain_data[[#This Row],[Unit Price]]</f>
        <v>92</v>
      </c>
      <c r="I812" s="3">
        <v>18</v>
      </c>
      <c r="J812" s="3">
        <f>grocery_chain_data[[#This Row],[Total Amount]]-grocery_chain_data[[#This Row],[Discount Amount]]</f>
        <v>74</v>
      </c>
      <c r="K812">
        <v>148</v>
      </c>
      <c r="L812" t="str">
        <f>IF(grocery_chain_data[[#This Row],[Final Amount]]&lt;0,"Return","Sale")</f>
        <v>Sale</v>
      </c>
      <c r="M812">
        <f>IF(grocery_chain_data[[#This Row],[Final Amount]]&lt;0,0,grocery_chain_data[[#This Row],[Final Amount]])</f>
        <v>74</v>
      </c>
    </row>
    <row r="813" spans="1:13" x14ac:dyDescent="0.3">
      <c r="A813">
        <v>3248</v>
      </c>
      <c r="B813" t="s">
        <v>2</v>
      </c>
      <c r="C813" s="1">
        <v>45738</v>
      </c>
      <c r="D813" s="1" t="str">
        <f t="shared" si="12"/>
        <v>Produce</v>
      </c>
      <c r="E813" t="s">
        <v>14</v>
      </c>
      <c r="F813" s="2">
        <v>2</v>
      </c>
      <c r="G813" s="3">
        <v>10</v>
      </c>
      <c r="H813" s="3">
        <f>grocery_chain_data[[#This Row],[Quantity]]*grocery_chain_data[[#This Row],[Unit Price]]</f>
        <v>20</v>
      </c>
      <c r="I813" s="3">
        <v>0</v>
      </c>
      <c r="J813" s="3">
        <f>grocery_chain_data[[#This Row],[Total Amount]]-grocery_chain_data[[#This Row],[Discount Amount]]</f>
        <v>20</v>
      </c>
      <c r="K813">
        <v>199</v>
      </c>
      <c r="L813" t="str">
        <f>IF(grocery_chain_data[[#This Row],[Final Amount]]&lt;0,"Return","Sale")</f>
        <v>Sale</v>
      </c>
      <c r="M813">
        <f>IF(grocery_chain_data[[#This Row],[Final Amount]]&lt;0,0,grocery_chain_data[[#This Row],[Final Amount]])</f>
        <v>20</v>
      </c>
    </row>
    <row r="814" spans="1:13" x14ac:dyDescent="0.3">
      <c r="A814">
        <v>5186</v>
      </c>
      <c r="B814" t="s">
        <v>16</v>
      </c>
      <c r="C814" s="1">
        <v>45369</v>
      </c>
      <c r="D814" s="1" t="str">
        <f t="shared" si="12"/>
        <v>Bakery</v>
      </c>
      <c r="E814" t="s">
        <v>22</v>
      </c>
      <c r="F814" s="2">
        <v>4</v>
      </c>
      <c r="G814" s="3">
        <v>22</v>
      </c>
      <c r="H814" s="3">
        <f>grocery_chain_data[[#This Row],[Quantity]]*grocery_chain_data[[#This Row],[Unit Price]]</f>
        <v>88</v>
      </c>
      <c r="I814" s="3">
        <v>18</v>
      </c>
      <c r="J814" s="3">
        <f>grocery_chain_data[[#This Row],[Total Amount]]-grocery_chain_data[[#This Row],[Discount Amount]]</f>
        <v>70</v>
      </c>
      <c r="K814">
        <v>71</v>
      </c>
      <c r="L814" t="str">
        <f>IF(grocery_chain_data[[#This Row],[Final Amount]]&lt;0,"Return","Sale")</f>
        <v>Sale</v>
      </c>
      <c r="M814">
        <f>IF(grocery_chain_data[[#This Row],[Final Amount]]&lt;0,0,grocery_chain_data[[#This Row],[Final Amount]])</f>
        <v>70</v>
      </c>
    </row>
    <row r="815" spans="1:13" x14ac:dyDescent="0.3">
      <c r="A815">
        <v>6375</v>
      </c>
      <c r="B815" t="s">
        <v>13</v>
      </c>
      <c r="C815" s="1">
        <v>45238</v>
      </c>
      <c r="D815" s="1" t="str">
        <f t="shared" si="12"/>
        <v>Meat &amp; Seafood</v>
      </c>
      <c r="E815" t="s">
        <v>9</v>
      </c>
      <c r="F815" s="2">
        <v>4</v>
      </c>
      <c r="G815" s="3">
        <v>12</v>
      </c>
      <c r="H815" s="3">
        <f>grocery_chain_data[[#This Row],[Quantity]]*grocery_chain_data[[#This Row],[Unit Price]]</f>
        <v>48</v>
      </c>
      <c r="I815" s="3">
        <v>5</v>
      </c>
      <c r="J815" s="3">
        <f>grocery_chain_data[[#This Row],[Total Amount]]-grocery_chain_data[[#This Row],[Discount Amount]]</f>
        <v>43</v>
      </c>
      <c r="K815">
        <v>405</v>
      </c>
      <c r="L815" t="str">
        <f>IF(grocery_chain_data[[#This Row],[Final Amount]]&lt;0,"Return","Sale")</f>
        <v>Sale</v>
      </c>
      <c r="M815">
        <f>IF(grocery_chain_data[[#This Row],[Final Amount]]&lt;0,0,grocery_chain_data[[#This Row],[Final Amount]])</f>
        <v>43</v>
      </c>
    </row>
    <row r="816" spans="1:13" x14ac:dyDescent="0.3">
      <c r="A816">
        <v>1126</v>
      </c>
      <c r="B816" t="s">
        <v>2</v>
      </c>
      <c r="C816" s="1">
        <v>45531</v>
      </c>
      <c r="D816" s="1" t="str">
        <f t="shared" si="12"/>
        <v>Produce</v>
      </c>
      <c r="E816" t="s">
        <v>18</v>
      </c>
      <c r="F816" s="2">
        <v>1</v>
      </c>
      <c r="G816" s="3">
        <v>11</v>
      </c>
      <c r="H816" s="3">
        <f>grocery_chain_data[[#This Row],[Quantity]]*grocery_chain_data[[#This Row],[Unit Price]]</f>
        <v>11</v>
      </c>
      <c r="I816" s="3">
        <v>1</v>
      </c>
      <c r="J816" s="3">
        <f>grocery_chain_data[[#This Row],[Total Amount]]-grocery_chain_data[[#This Row],[Discount Amount]]</f>
        <v>10</v>
      </c>
      <c r="K816">
        <v>172</v>
      </c>
      <c r="L816" t="str">
        <f>IF(grocery_chain_data[[#This Row],[Final Amount]]&lt;0,"Return","Sale")</f>
        <v>Sale</v>
      </c>
      <c r="M816">
        <f>IF(grocery_chain_data[[#This Row],[Final Amount]]&lt;0,0,grocery_chain_data[[#This Row],[Final Amount]])</f>
        <v>10</v>
      </c>
    </row>
    <row r="817" spans="1:13" x14ac:dyDescent="0.3">
      <c r="A817">
        <v>8055</v>
      </c>
      <c r="B817" t="s">
        <v>0</v>
      </c>
      <c r="C817" s="1">
        <v>45281</v>
      </c>
      <c r="D817" s="1" t="str">
        <f t="shared" si="12"/>
        <v>Produce</v>
      </c>
      <c r="E817" t="s">
        <v>24</v>
      </c>
      <c r="F817" s="2">
        <v>4</v>
      </c>
      <c r="G817" s="3">
        <v>28</v>
      </c>
      <c r="H817" s="3">
        <f>grocery_chain_data[[#This Row],[Quantity]]*grocery_chain_data[[#This Row],[Unit Price]]</f>
        <v>112</v>
      </c>
      <c r="I817" s="3">
        <v>0</v>
      </c>
      <c r="J817" s="3">
        <f>grocery_chain_data[[#This Row],[Total Amount]]-grocery_chain_data[[#This Row],[Discount Amount]]</f>
        <v>112</v>
      </c>
      <c r="K817">
        <v>445</v>
      </c>
      <c r="L817" t="str">
        <f>IF(grocery_chain_data[[#This Row],[Final Amount]]&lt;0,"Return","Sale")</f>
        <v>Sale</v>
      </c>
      <c r="M817">
        <f>IF(grocery_chain_data[[#This Row],[Final Amount]]&lt;0,0,grocery_chain_data[[#This Row],[Final Amount]])</f>
        <v>112</v>
      </c>
    </row>
    <row r="818" spans="1:13" x14ac:dyDescent="0.3">
      <c r="A818">
        <v>3116</v>
      </c>
      <c r="B818" t="s">
        <v>21</v>
      </c>
      <c r="C818" s="1">
        <v>45440</v>
      </c>
      <c r="D818" s="1" t="str">
        <f t="shared" si="12"/>
        <v>Dairy</v>
      </c>
      <c r="E818" t="s">
        <v>19</v>
      </c>
      <c r="F818" s="2">
        <v>2</v>
      </c>
      <c r="G818" s="3">
        <v>15</v>
      </c>
      <c r="H818" s="3">
        <f>grocery_chain_data[[#This Row],[Quantity]]*grocery_chain_data[[#This Row],[Unit Price]]</f>
        <v>30</v>
      </c>
      <c r="I818" s="3">
        <v>1</v>
      </c>
      <c r="J818" s="3">
        <f>grocery_chain_data[[#This Row],[Total Amount]]-grocery_chain_data[[#This Row],[Discount Amount]]</f>
        <v>29</v>
      </c>
      <c r="K818">
        <v>9</v>
      </c>
      <c r="L818" t="str">
        <f>IF(grocery_chain_data[[#This Row],[Final Amount]]&lt;0,"Return","Sale")</f>
        <v>Sale</v>
      </c>
      <c r="M818">
        <f>IF(grocery_chain_data[[#This Row],[Final Amount]]&lt;0,0,grocery_chain_data[[#This Row],[Final Amount]])</f>
        <v>29</v>
      </c>
    </row>
    <row r="819" spans="1:13" x14ac:dyDescent="0.3">
      <c r="A819">
        <v>9725</v>
      </c>
      <c r="B819" t="s">
        <v>5</v>
      </c>
      <c r="C819" s="1">
        <v>45691</v>
      </c>
      <c r="D819" s="1" t="str">
        <f t="shared" si="12"/>
        <v>Produce</v>
      </c>
      <c r="E819" t="s">
        <v>11</v>
      </c>
      <c r="F819" s="2">
        <v>1</v>
      </c>
      <c r="G819" s="3">
        <v>27</v>
      </c>
      <c r="H819" s="3">
        <f>grocery_chain_data[[#This Row],[Quantity]]*grocery_chain_data[[#This Row],[Unit Price]]</f>
        <v>27</v>
      </c>
      <c r="I819" s="3">
        <v>3</v>
      </c>
      <c r="J819" s="3">
        <f>grocery_chain_data[[#This Row],[Total Amount]]-grocery_chain_data[[#This Row],[Discount Amount]]</f>
        <v>24</v>
      </c>
      <c r="K819">
        <v>420</v>
      </c>
      <c r="L819" t="str">
        <f>IF(grocery_chain_data[[#This Row],[Final Amount]]&lt;0,"Return","Sale")</f>
        <v>Sale</v>
      </c>
      <c r="M819">
        <f>IF(grocery_chain_data[[#This Row],[Final Amount]]&lt;0,0,grocery_chain_data[[#This Row],[Final Amount]])</f>
        <v>24</v>
      </c>
    </row>
    <row r="820" spans="1:13" x14ac:dyDescent="0.3">
      <c r="A820">
        <v>4770</v>
      </c>
      <c r="B820" t="s">
        <v>5</v>
      </c>
      <c r="C820" s="1">
        <v>45533</v>
      </c>
      <c r="D820" s="1" t="str">
        <f t="shared" si="12"/>
        <v>Bakery</v>
      </c>
      <c r="E820" t="s">
        <v>22</v>
      </c>
      <c r="F820" s="2">
        <v>1</v>
      </c>
      <c r="G820" s="3">
        <v>4</v>
      </c>
      <c r="H820" s="3">
        <f>grocery_chain_data[[#This Row],[Quantity]]*grocery_chain_data[[#This Row],[Unit Price]]</f>
        <v>4</v>
      </c>
      <c r="I820" s="3">
        <v>4</v>
      </c>
      <c r="J820" s="3">
        <f>grocery_chain_data[[#This Row],[Total Amount]]-grocery_chain_data[[#This Row],[Discount Amount]]</f>
        <v>0</v>
      </c>
      <c r="K820">
        <v>304</v>
      </c>
      <c r="L820" t="str">
        <f>IF(grocery_chain_data[[#This Row],[Final Amount]]&lt;0,"Return","Sale")</f>
        <v>Sale</v>
      </c>
      <c r="M820">
        <f>IF(grocery_chain_data[[#This Row],[Final Amount]]&lt;0,0,grocery_chain_data[[#This Row],[Final Amount]])</f>
        <v>0</v>
      </c>
    </row>
    <row r="821" spans="1:13" x14ac:dyDescent="0.3">
      <c r="A821">
        <v>6802</v>
      </c>
      <c r="B821" t="s">
        <v>8</v>
      </c>
      <c r="C821" s="1">
        <v>45200</v>
      </c>
      <c r="D821" s="1" t="str">
        <f t="shared" si="12"/>
        <v>Produce</v>
      </c>
      <c r="E821" t="s">
        <v>14</v>
      </c>
      <c r="F821" s="2">
        <v>3</v>
      </c>
      <c r="G821" s="3">
        <v>4</v>
      </c>
      <c r="H821" s="3">
        <f>grocery_chain_data[[#This Row],[Quantity]]*grocery_chain_data[[#This Row],[Unit Price]]</f>
        <v>12</v>
      </c>
      <c r="I821" s="3">
        <v>2</v>
      </c>
      <c r="J821" s="3">
        <f>grocery_chain_data[[#This Row],[Total Amount]]-grocery_chain_data[[#This Row],[Discount Amount]]</f>
        <v>10</v>
      </c>
      <c r="K821">
        <v>350</v>
      </c>
      <c r="L821" t="str">
        <f>IF(grocery_chain_data[[#This Row],[Final Amount]]&lt;0,"Return","Sale")</f>
        <v>Sale</v>
      </c>
      <c r="M821">
        <f>IF(grocery_chain_data[[#This Row],[Final Amount]]&lt;0,0,grocery_chain_data[[#This Row],[Final Amount]])</f>
        <v>10</v>
      </c>
    </row>
    <row r="822" spans="1:13" x14ac:dyDescent="0.3">
      <c r="A822">
        <v>7505</v>
      </c>
      <c r="B822" t="s">
        <v>21</v>
      </c>
      <c r="C822" s="1">
        <v>45814</v>
      </c>
      <c r="D822" s="1" t="str">
        <f t="shared" si="12"/>
        <v>Produce</v>
      </c>
      <c r="E822" t="s">
        <v>11</v>
      </c>
      <c r="F822" s="2">
        <v>3</v>
      </c>
      <c r="G822" s="3">
        <v>3</v>
      </c>
      <c r="H822" s="3">
        <f>grocery_chain_data[[#This Row],[Quantity]]*grocery_chain_data[[#This Row],[Unit Price]]</f>
        <v>9</v>
      </c>
      <c r="I822" s="3">
        <v>1</v>
      </c>
      <c r="J822" s="3">
        <f>grocery_chain_data[[#This Row],[Total Amount]]-grocery_chain_data[[#This Row],[Discount Amount]]</f>
        <v>8</v>
      </c>
      <c r="K822">
        <v>140</v>
      </c>
      <c r="L822" t="str">
        <f>IF(grocery_chain_data[[#This Row],[Final Amount]]&lt;0,"Return","Sale")</f>
        <v>Sale</v>
      </c>
      <c r="M822">
        <f>IF(grocery_chain_data[[#This Row],[Final Amount]]&lt;0,0,grocery_chain_data[[#This Row],[Final Amount]])</f>
        <v>8</v>
      </c>
    </row>
    <row r="823" spans="1:13" x14ac:dyDescent="0.3">
      <c r="A823">
        <v>1693</v>
      </c>
      <c r="B823" t="s">
        <v>5</v>
      </c>
      <c r="C823" s="1">
        <v>45483</v>
      </c>
      <c r="D823" s="1" t="str">
        <f t="shared" si="12"/>
        <v>Produce</v>
      </c>
      <c r="E823" t="s">
        <v>4</v>
      </c>
      <c r="F823" s="2">
        <v>2</v>
      </c>
      <c r="G823" s="3">
        <v>14</v>
      </c>
      <c r="H823" s="3">
        <f>grocery_chain_data[[#This Row],[Quantity]]*grocery_chain_data[[#This Row],[Unit Price]]</f>
        <v>28</v>
      </c>
      <c r="I823" s="3">
        <v>5</v>
      </c>
      <c r="J823" s="3">
        <f>grocery_chain_data[[#This Row],[Total Amount]]-grocery_chain_data[[#This Row],[Discount Amount]]</f>
        <v>23</v>
      </c>
      <c r="K823">
        <v>473</v>
      </c>
      <c r="L823" t="str">
        <f>IF(grocery_chain_data[[#This Row],[Final Amount]]&lt;0,"Return","Sale")</f>
        <v>Sale</v>
      </c>
      <c r="M823">
        <f>IF(grocery_chain_data[[#This Row],[Final Amount]]&lt;0,0,grocery_chain_data[[#This Row],[Final Amount]])</f>
        <v>23</v>
      </c>
    </row>
    <row r="824" spans="1:13" x14ac:dyDescent="0.3">
      <c r="A824">
        <v>1307</v>
      </c>
      <c r="B824" t="s">
        <v>0</v>
      </c>
      <c r="C824" s="1">
        <v>45502</v>
      </c>
      <c r="D824" s="1" t="str">
        <f t="shared" si="12"/>
        <v>Produce</v>
      </c>
      <c r="E824" t="s">
        <v>14</v>
      </c>
      <c r="F824" s="2">
        <v>2</v>
      </c>
      <c r="G824" s="3">
        <v>1</v>
      </c>
      <c r="H824" s="3">
        <f>grocery_chain_data[[#This Row],[Quantity]]*grocery_chain_data[[#This Row],[Unit Price]]</f>
        <v>2</v>
      </c>
      <c r="I824" s="3">
        <v>1</v>
      </c>
      <c r="J824" s="3">
        <f>grocery_chain_data[[#This Row],[Total Amount]]-grocery_chain_data[[#This Row],[Discount Amount]]</f>
        <v>1</v>
      </c>
      <c r="K824">
        <v>249</v>
      </c>
      <c r="L824" t="str">
        <f>IF(grocery_chain_data[[#This Row],[Final Amount]]&lt;0,"Return","Sale")</f>
        <v>Sale</v>
      </c>
      <c r="M824">
        <f>IF(grocery_chain_data[[#This Row],[Final Amount]]&lt;0,0,grocery_chain_data[[#This Row],[Final Amount]])</f>
        <v>1</v>
      </c>
    </row>
    <row r="825" spans="1:13" x14ac:dyDescent="0.3">
      <c r="A825">
        <v>2275</v>
      </c>
      <c r="B825" t="s">
        <v>0</v>
      </c>
      <c r="C825" s="1">
        <v>45814</v>
      </c>
      <c r="D825" s="1" t="str">
        <f t="shared" si="12"/>
        <v>Produce</v>
      </c>
      <c r="E825" t="s">
        <v>17</v>
      </c>
      <c r="F825" s="2">
        <v>4</v>
      </c>
      <c r="G825" s="3">
        <v>21</v>
      </c>
      <c r="H825" s="3">
        <f>grocery_chain_data[[#This Row],[Quantity]]*grocery_chain_data[[#This Row],[Unit Price]]</f>
        <v>84</v>
      </c>
      <c r="I825" s="3">
        <v>0</v>
      </c>
      <c r="J825" s="3">
        <f>grocery_chain_data[[#This Row],[Total Amount]]-grocery_chain_data[[#This Row],[Discount Amount]]</f>
        <v>84</v>
      </c>
      <c r="K825">
        <v>405</v>
      </c>
      <c r="L825" t="str">
        <f>IF(grocery_chain_data[[#This Row],[Final Amount]]&lt;0,"Return","Sale")</f>
        <v>Sale</v>
      </c>
      <c r="M825">
        <f>IF(grocery_chain_data[[#This Row],[Final Amount]]&lt;0,0,grocery_chain_data[[#This Row],[Final Amount]])</f>
        <v>84</v>
      </c>
    </row>
    <row r="826" spans="1:13" x14ac:dyDescent="0.3">
      <c r="A826">
        <v>6129</v>
      </c>
      <c r="B826" t="s">
        <v>5</v>
      </c>
      <c r="C826" s="1">
        <v>45592</v>
      </c>
      <c r="D826" s="1" t="str">
        <f t="shared" si="12"/>
        <v>Dairy</v>
      </c>
      <c r="E826" t="s">
        <v>20</v>
      </c>
      <c r="F826" s="2">
        <v>3</v>
      </c>
      <c r="G826" s="3">
        <v>16</v>
      </c>
      <c r="H826" s="3">
        <f>grocery_chain_data[[#This Row],[Quantity]]*grocery_chain_data[[#This Row],[Unit Price]]</f>
        <v>48</v>
      </c>
      <c r="I826" s="3">
        <v>10</v>
      </c>
      <c r="J826" s="3">
        <f>grocery_chain_data[[#This Row],[Total Amount]]-grocery_chain_data[[#This Row],[Discount Amount]]</f>
        <v>38</v>
      </c>
      <c r="K826">
        <v>210</v>
      </c>
      <c r="L826" t="str">
        <f>IF(grocery_chain_data[[#This Row],[Final Amount]]&lt;0,"Return","Sale")</f>
        <v>Sale</v>
      </c>
      <c r="M826">
        <f>IF(grocery_chain_data[[#This Row],[Final Amount]]&lt;0,0,grocery_chain_data[[#This Row],[Final Amount]])</f>
        <v>38</v>
      </c>
    </row>
    <row r="827" spans="1:13" x14ac:dyDescent="0.3">
      <c r="A827">
        <v>8033</v>
      </c>
      <c r="B827" t="s">
        <v>13</v>
      </c>
      <c r="C827" s="1">
        <v>45590</v>
      </c>
      <c r="D827" s="1" t="str">
        <f t="shared" si="12"/>
        <v>Produce</v>
      </c>
      <c r="E827" t="s">
        <v>11</v>
      </c>
      <c r="F827" s="2">
        <v>4</v>
      </c>
      <c r="G827" s="3">
        <v>19</v>
      </c>
      <c r="H827" s="3">
        <f>grocery_chain_data[[#This Row],[Quantity]]*grocery_chain_data[[#This Row],[Unit Price]]</f>
        <v>76</v>
      </c>
      <c r="I827" s="3">
        <v>11</v>
      </c>
      <c r="J827" s="3">
        <f>grocery_chain_data[[#This Row],[Total Amount]]-grocery_chain_data[[#This Row],[Discount Amount]]</f>
        <v>65</v>
      </c>
      <c r="K827">
        <v>45</v>
      </c>
      <c r="L827" t="str">
        <f>IF(grocery_chain_data[[#This Row],[Final Amount]]&lt;0,"Return","Sale")</f>
        <v>Sale</v>
      </c>
      <c r="M827">
        <f>IF(grocery_chain_data[[#This Row],[Final Amount]]&lt;0,0,grocery_chain_data[[#This Row],[Final Amount]])</f>
        <v>65</v>
      </c>
    </row>
    <row r="828" spans="1:13" x14ac:dyDescent="0.3">
      <c r="A828">
        <v>7626</v>
      </c>
      <c r="B828" t="s">
        <v>8</v>
      </c>
      <c r="C828" s="1">
        <v>45696</v>
      </c>
      <c r="D828" s="1" t="str">
        <f t="shared" si="12"/>
        <v>Produce</v>
      </c>
      <c r="E828" t="s">
        <v>4</v>
      </c>
      <c r="F828" s="2">
        <v>2</v>
      </c>
      <c r="G828" s="3">
        <v>7</v>
      </c>
      <c r="H828" s="3">
        <f>grocery_chain_data[[#This Row],[Quantity]]*grocery_chain_data[[#This Row],[Unit Price]]</f>
        <v>14</v>
      </c>
      <c r="I828" s="3">
        <v>2</v>
      </c>
      <c r="J828" s="3">
        <f>grocery_chain_data[[#This Row],[Total Amount]]-grocery_chain_data[[#This Row],[Discount Amount]]</f>
        <v>12</v>
      </c>
      <c r="K828">
        <v>271</v>
      </c>
      <c r="L828" t="str">
        <f>IF(grocery_chain_data[[#This Row],[Final Amount]]&lt;0,"Return","Sale")</f>
        <v>Sale</v>
      </c>
      <c r="M828">
        <f>IF(grocery_chain_data[[#This Row],[Final Amount]]&lt;0,0,grocery_chain_data[[#This Row],[Final Amount]])</f>
        <v>12</v>
      </c>
    </row>
    <row r="829" spans="1:13" x14ac:dyDescent="0.3">
      <c r="A829">
        <v>7843</v>
      </c>
      <c r="B829" t="s">
        <v>2</v>
      </c>
      <c r="C829" s="1">
        <v>45369</v>
      </c>
      <c r="D829" s="1" t="str">
        <f t="shared" si="12"/>
        <v>Meat &amp; Seafood</v>
      </c>
      <c r="E829" t="s">
        <v>9</v>
      </c>
      <c r="F829" s="2">
        <v>4</v>
      </c>
      <c r="G829" s="3">
        <v>23</v>
      </c>
      <c r="H829" s="3">
        <f>grocery_chain_data[[#This Row],[Quantity]]*grocery_chain_data[[#This Row],[Unit Price]]</f>
        <v>92</v>
      </c>
      <c r="I829" s="3">
        <v>14</v>
      </c>
      <c r="J829" s="3">
        <f>grocery_chain_data[[#This Row],[Total Amount]]-grocery_chain_data[[#This Row],[Discount Amount]]</f>
        <v>78</v>
      </c>
      <c r="K829">
        <v>337</v>
      </c>
      <c r="L829" t="str">
        <f>IF(grocery_chain_data[[#This Row],[Final Amount]]&lt;0,"Return","Sale")</f>
        <v>Sale</v>
      </c>
      <c r="M829">
        <f>IF(grocery_chain_data[[#This Row],[Final Amount]]&lt;0,0,grocery_chain_data[[#This Row],[Final Amount]])</f>
        <v>78</v>
      </c>
    </row>
    <row r="830" spans="1:13" x14ac:dyDescent="0.3">
      <c r="A830">
        <v>2887</v>
      </c>
      <c r="B830" t="s">
        <v>13</v>
      </c>
      <c r="C830" s="1">
        <v>45459</v>
      </c>
      <c r="D830" s="1" t="str">
        <f t="shared" si="12"/>
        <v>Meat &amp; Seafood</v>
      </c>
      <c r="E830" t="s">
        <v>26</v>
      </c>
      <c r="F830" s="2">
        <v>2</v>
      </c>
      <c r="G830" s="3">
        <v>21</v>
      </c>
      <c r="H830" s="3">
        <f>grocery_chain_data[[#This Row],[Quantity]]*grocery_chain_data[[#This Row],[Unit Price]]</f>
        <v>42</v>
      </c>
      <c r="I830" s="3">
        <v>4</v>
      </c>
      <c r="J830" s="3">
        <f>grocery_chain_data[[#This Row],[Total Amount]]-grocery_chain_data[[#This Row],[Discount Amount]]</f>
        <v>38</v>
      </c>
      <c r="K830">
        <v>495</v>
      </c>
      <c r="L830" t="str">
        <f>IF(grocery_chain_data[[#This Row],[Final Amount]]&lt;0,"Return","Sale")</f>
        <v>Sale</v>
      </c>
      <c r="M830">
        <f>IF(grocery_chain_data[[#This Row],[Final Amount]]&lt;0,0,grocery_chain_data[[#This Row],[Final Amount]])</f>
        <v>38</v>
      </c>
    </row>
    <row r="831" spans="1:13" x14ac:dyDescent="0.3">
      <c r="A831">
        <v>1341</v>
      </c>
      <c r="B831" t="s">
        <v>5</v>
      </c>
      <c r="C831" s="1">
        <v>45397</v>
      </c>
      <c r="D831" s="1" t="str">
        <f t="shared" si="12"/>
        <v>Dairy</v>
      </c>
      <c r="E831" t="s">
        <v>19</v>
      </c>
      <c r="F831" s="2">
        <v>1</v>
      </c>
      <c r="G831" s="3">
        <v>20</v>
      </c>
      <c r="H831" s="3">
        <f>grocery_chain_data[[#This Row],[Quantity]]*grocery_chain_data[[#This Row],[Unit Price]]</f>
        <v>20</v>
      </c>
      <c r="I831" s="3">
        <v>2</v>
      </c>
      <c r="J831" s="3">
        <f>grocery_chain_data[[#This Row],[Total Amount]]-grocery_chain_data[[#This Row],[Discount Amount]]</f>
        <v>18</v>
      </c>
      <c r="K831">
        <v>145</v>
      </c>
      <c r="L831" t="str">
        <f>IF(grocery_chain_data[[#This Row],[Final Amount]]&lt;0,"Return","Sale")</f>
        <v>Sale</v>
      </c>
      <c r="M831">
        <f>IF(grocery_chain_data[[#This Row],[Final Amount]]&lt;0,0,grocery_chain_data[[#This Row],[Final Amount]])</f>
        <v>18</v>
      </c>
    </row>
    <row r="832" spans="1:13" x14ac:dyDescent="0.3">
      <c r="A832">
        <v>3815</v>
      </c>
      <c r="B832" t="s">
        <v>12</v>
      </c>
      <c r="C832" s="1">
        <v>45767</v>
      </c>
      <c r="D832" s="1" t="str">
        <f t="shared" si="12"/>
        <v>Meat &amp; Seafood</v>
      </c>
      <c r="E832" t="s">
        <v>15</v>
      </c>
      <c r="F832" s="2">
        <v>1</v>
      </c>
      <c r="G832" s="3">
        <v>4</v>
      </c>
      <c r="H832" s="3">
        <f>grocery_chain_data[[#This Row],[Quantity]]*grocery_chain_data[[#This Row],[Unit Price]]</f>
        <v>4</v>
      </c>
      <c r="I832" s="3">
        <v>1</v>
      </c>
      <c r="J832" s="3">
        <f>grocery_chain_data[[#This Row],[Total Amount]]-grocery_chain_data[[#This Row],[Discount Amount]]</f>
        <v>3</v>
      </c>
      <c r="K832">
        <v>26</v>
      </c>
      <c r="L832" t="str">
        <f>IF(grocery_chain_data[[#This Row],[Final Amount]]&lt;0,"Return","Sale")</f>
        <v>Sale</v>
      </c>
      <c r="M832">
        <f>IF(grocery_chain_data[[#This Row],[Final Amount]]&lt;0,0,grocery_chain_data[[#This Row],[Final Amount]])</f>
        <v>3</v>
      </c>
    </row>
    <row r="833" spans="1:13" x14ac:dyDescent="0.3">
      <c r="A833">
        <v>8538</v>
      </c>
      <c r="B833" t="s">
        <v>13</v>
      </c>
      <c r="C833" s="1">
        <v>45791</v>
      </c>
      <c r="D833" s="1" t="str">
        <f t="shared" si="12"/>
        <v>Produce</v>
      </c>
      <c r="E833" t="s">
        <v>24</v>
      </c>
      <c r="F833" s="2">
        <v>1</v>
      </c>
      <c r="G833" s="3">
        <v>3</v>
      </c>
      <c r="H833" s="3">
        <f>grocery_chain_data[[#This Row],[Quantity]]*grocery_chain_data[[#This Row],[Unit Price]]</f>
        <v>3</v>
      </c>
      <c r="I833" s="3">
        <v>3</v>
      </c>
      <c r="J833" s="3">
        <f>grocery_chain_data[[#This Row],[Total Amount]]-grocery_chain_data[[#This Row],[Discount Amount]]</f>
        <v>0</v>
      </c>
      <c r="K833">
        <v>120</v>
      </c>
      <c r="L833" t="str">
        <f>IF(grocery_chain_data[[#This Row],[Final Amount]]&lt;0,"Return","Sale")</f>
        <v>Sale</v>
      </c>
      <c r="M833">
        <f>IF(grocery_chain_data[[#This Row],[Final Amount]]&lt;0,0,grocery_chain_data[[#This Row],[Final Amount]])</f>
        <v>0</v>
      </c>
    </row>
    <row r="834" spans="1:13" x14ac:dyDescent="0.3">
      <c r="A834">
        <v>6928</v>
      </c>
      <c r="B834" t="s">
        <v>8</v>
      </c>
      <c r="C834" s="1">
        <v>45213</v>
      </c>
      <c r="D834" s="1" t="str">
        <f t="shared" ref="D834:D897" si="13">IF(E834="Pasta","Pantry",
IF(E834="Cheese","Dairy",
IF(E834="Onions","Produce",
IF(E834="Cereal","Pantry",
IF(E834="Orange Juice","Beverages",
IF(E834="Ground Beef","Meat &amp; Seafood",
IF(E834="Apples","Produce",
IF(E834="Milk","Dairy",
IF(E834="Bananas","Produce",
IF(E834="Bread","Bakery",
IF(E834="Carrots","Produce",
IF(E834="Chicken Breast","Meat &amp; Seafood",
IF(E834="Eggs","Dairy",
IF(E834="Potatoes","Produce",
IF(E834="Rice","Produce",
IF(E834="Salmon","Meat &amp; Seafood",
IF(E834="Tomatoes","Produce",
IF(E834="Yogurt","Dairy",
"Others"))))))))))))))))))</f>
        <v>Pantry</v>
      </c>
      <c r="E834" t="s">
        <v>6</v>
      </c>
      <c r="F834" s="2">
        <v>2</v>
      </c>
      <c r="G834" s="3">
        <v>24</v>
      </c>
      <c r="H834" s="3">
        <f>grocery_chain_data[[#This Row],[Quantity]]*grocery_chain_data[[#This Row],[Unit Price]]</f>
        <v>48</v>
      </c>
      <c r="I834" s="3">
        <v>2</v>
      </c>
      <c r="J834" s="3">
        <f>grocery_chain_data[[#This Row],[Total Amount]]-grocery_chain_data[[#This Row],[Discount Amount]]</f>
        <v>46</v>
      </c>
      <c r="K834">
        <v>166</v>
      </c>
      <c r="L834" t="str">
        <f>IF(grocery_chain_data[[#This Row],[Final Amount]]&lt;0,"Return","Sale")</f>
        <v>Sale</v>
      </c>
      <c r="M834">
        <f>IF(grocery_chain_data[[#This Row],[Final Amount]]&lt;0,0,grocery_chain_data[[#This Row],[Final Amount]])</f>
        <v>46</v>
      </c>
    </row>
    <row r="835" spans="1:13" x14ac:dyDescent="0.3">
      <c r="A835">
        <v>8155</v>
      </c>
      <c r="B835" t="s">
        <v>8</v>
      </c>
      <c r="C835" s="1">
        <v>45800</v>
      </c>
      <c r="D835" s="1" t="str">
        <f t="shared" si="13"/>
        <v>Produce</v>
      </c>
      <c r="E835" t="s">
        <v>14</v>
      </c>
      <c r="F835" s="2">
        <v>2</v>
      </c>
      <c r="G835" s="3">
        <v>3</v>
      </c>
      <c r="H835" s="3">
        <f>grocery_chain_data[[#This Row],[Quantity]]*grocery_chain_data[[#This Row],[Unit Price]]</f>
        <v>6</v>
      </c>
      <c r="I835" s="3">
        <v>5</v>
      </c>
      <c r="J835" s="3">
        <f>grocery_chain_data[[#This Row],[Total Amount]]-grocery_chain_data[[#This Row],[Discount Amount]]</f>
        <v>1</v>
      </c>
      <c r="K835">
        <v>299</v>
      </c>
      <c r="L835" t="str">
        <f>IF(grocery_chain_data[[#This Row],[Final Amount]]&lt;0,"Return","Sale")</f>
        <v>Sale</v>
      </c>
      <c r="M835">
        <f>IF(grocery_chain_data[[#This Row],[Final Amount]]&lt;0,0,grocery_chain_data[[#This Row],[Final Amount]])</f>
        <v>1</v>
      </c>
    </row>
    <row r="836" spans="1:13" x14ac:dyDescent="0.3">
      <c r="A836">
        <v>2734</v>
      </c>
      <c r="B836" t="s">
        <v>5</v>
      </c>
      <c r="C836" s="1">
        <v>45333</v>
      </c>
      <c r="D836" s="1" t="str">
        <f t="shared" si="13"/>
        <v>Meat &amp; Seafood</v>
      </c>
      <c r="E836" t="s">
        <v>15</v>
      </c>
      <c r="F836" s="2">
        <v>2</v>
      </c>
      <c r="G836" s="3">
        <v>12</v>
      </c>
      <c r="H836" s="3">
        <f>grocery_chain_data[[#This Row],[Quantity]]*grocery_chain_data[[#This Row],[Unit Price]]</f>
        <v>24</v>
      </c>
      <c r="I836" s="3">
        <v>0</v>
      </c>
      <c r="J836" s="3">
        <f>grocery_chain_data[[#This Row],[Total Amount]]-grocery_chain_data[[#This Row],[Discount Amount]]</f>
        <v>24</v>
      </c>
      <c r="K836">
        <v>69</v>
      </c>
      <c r="L836" t="str">
        <f>IF(grocery_chain_data[[#This Row],[Final Amount]]&lt;0,"Return","Sale")</f>
        <v>Sale</v>
      </c>
      <c r="M836">
        <f>IF(grocery_chain_data[[#This Row],[Final Amount]]&lt;0,0,grocery_chain_data[[#This Row],[Final Amount]])</f>
        <v>24</v>
      </c>
    </row>
    <row r="837" spans="1:13" x14ac:dyDescent="0.3">
      <c r="A837">
        <v>8138</v>
      </c>
      <c r="B837" t="s">
        <v>21</v>
      </c>
      <c r="C837" s="1">
        <v>45602</v>
      </c>
      <c r="D837" s="1" t="str">
        <f t="shared" si="13"/>
        <v>Beverages</v>
      </c>
      <c r="E837" t="s">
        <v>7</v>
      </c>
      <c r="F837" s="2">
        <v>3</v>
      </c>
      <c r="G837" s="3">
        <v>7</v>
      </c>
      <c r="H837" s="3">
        <f>grocery_chain_data[[#This Row],[Quantity]]*grocery_chain_data[[#This Row],[Unit Price]]</f>
        <v>21</v>
      </c>
      <c r="I837" s="3">
        <v>0</v>
      </c>
      <c r="J837" s="3">
        <f>grocery_chain_data[[#This Row],[Total Amount]]-grocery_chain_data[[#This Row],[Discount Amount]]</f>
        <v>21</v>
      </c>
      <c r="K837">
        <v>65</v>
      </c>
      <c r="L837" t="str">
        <f>IF(grocery_chain_data[[#This Row],[Final Amount]]&lt;0,"Return","Sale")</f>
        <v>Sale</v>
      </c>
      <c r="M837">
        <f>IF(grocery_chain_data[[#This Row],[Final Amount]]&lt;0,0,grocery_chain_data[[#This Row],[Final Amount]])</f>
        <v>21</v>
      </c>
    </row>
    <row r="838" spans="1:13" x14ac:dyDescent="0.3">
      <c r="A838">
        <v>7560</v>
      </c>
      <c r="B838" t="s">
        <v>13</v>
      </c>
      <c r="C838" s="1">
        <v>45551</v>
      </c>
      <c r="D838" s="1" t="str">
        <f t="shared" si="13"/>
        <v>Dairy</v>
      </c>
      <c r="E838" t="s">
        <v>20</v>
      </c>
      <c r="F838" s="2">
        <v>1</v>
      </c>
      <c r="G838" s="3">
        <v>26</v>
      </c>
      <c r="H838" s="3">
        <f>grocery_chain_data[[#This Row],[Quantity]]*grocery_chain_data[[#This Row],[Unit Price]]</f>
        <v>26</v>
      </c>
      <c r="I838" s="3">
        <v>5</v>
      </c>
      <c r="J838" s="3">
        <f>grocery_chain_data[[#This Row],[Total Amount]]-grocery_chain_data[[#This Row],[Discount Amount]]</f>
        <v>21</v>
      </c>
      <c r="K838">
        <v>234</v>
      </c>
      <c r="L838" t="str">
        <f>IF(grocery_chain_data[[#This Row],[Final Amount]]&lt;0,"Return","Sale")</f>
        <v>Sale</v>
      </c>
      <c r="M838">
        <f>IF(grocery_chain_data[[#This Row],[Final Amount]]&lt;0,0,grocery_chain_data[[#This Row],[Final Amount]])</f>
        <v>21</v>
      </c>
    </row>
    <row r="839" spans="1:13" x14ac:dyDescent="0.3">
      <c r="A839">
        <v>2288</v>
      </c>
      <c r="B839" t="s">
        <v>16</v>
      </c>
      <c r="C839" s="1">
        <v>45452</v>
      </c>
      <c r="D839" s="1" t="str">
        <f t="shared" si="13"/>
        <v>Produce</v>
      </c>
      <c r="E839" t="s">
        <v>17</v>
      </c>
      <c r="F839" s="2">
        <v>5</v>
      </c>
      <c r="G839" s="3">
        <v>6</v>
      </c>
      <c r="H839" s="3">
        <f>grocery_chain_data[[#This Row],[Quantity]]*grocery_chain_data[[#This Row],[Unit Price]]</f>
        <v>30</v>
      </c>
      <c r="I839" s="3">
        <v>5</v>
      </c>
      <c r="J839" s="3">
        <f>grocery_chain_data[[#This Row],[Total Amount]]-grocery_chain_data[[#This Row],[Discount Amount]]</f>
        <v>25</v>
      </c>
      <c r="K839">
        <v>406</v>
      </c>
      <c r="L839" t="str">
        <f>IF(grocery_chain_data[[#This Row],[Final Amount]]&lt;0,"Return","Sale")</f>
        <v>Sale</v>
      </c>
      <c r="M839">
        <f>IF(grocery_chain_data[[#This Row],[Final Amount]]&lt;0,0,grocery_chain_data[[#This Row],[Final Amount]])</f>
        <v>25</v>
      </c>
    </row>
    <row r="840" spans="1:13" x14ac:dyDescent="0.3">
      <c r="A840">
        <v>6083</v>
      </c>
      <c r="B840" t="s">
        <v>21</v>
      </c>
      <c r="C840" s="1">
        <v>45724</v>
      </c>
      <c r="D840" s="1" t="str">
        <f t="shared" si="13"/>
        <v>Dairy</v>
      </c>
      <c r="E840" t="s">
        <v>3</v>
      </c>
      <c r="F840" s="2">
        <v>5</v>
      </c>
      <c r="G840" s="3">
        <v>15</v>
      </c>
      <c r="H840" s="3">
        <f>grocery_chain_data[[#This Row],[Quantity]]*grocery_chain_data[[#This Row],[Unit Price]]</f>
        <v>75</v>
      </c>
      <c r="I840" s="3">
        <v>8</v>
      </c>
      <c r="J840" s="3">
        <f>grocery_chain_data[[#This Row],[Total Amount]]-grocery_chain_data[[#This Row],[Discount Amount]]</f>
        <v>67</v>
      </c>
      <c r="K840">
        <v>110</v>
      </c>
      <c r="L840" t="str">
        <f>IF(grocery_chain_data[[#This Row],[Final Amount]]&lt;0,"Return","Sale")</f>
        <v>Sale</v>
      </c>
      <c r="M840">
        <f>IF(grocery_chain_data[[#This Row],[Final Amount]]&lt;0,0,grocery_chain_data[[#This Row],[Final Amount]])</f>
        <v>67</v>
      </c>
    </row>
    <row r="841" spans="1:13" x14ac:dyDescent="0.3">
      <c r="A841">
        <v>6562</v>
      </c>
      <c r="B841" t="s">
        <v>12</v>
      </c>
      <c r="C841" s="1">
        <v>45317</v>
      </c>
      <c r="D841" s="1" t="str">
        <f t="shared" si="13"/>
        <v>Dairy</v>
      </c>
      <c r="E841" t="s">
        <v>3</v>
      </c>
      <c r="F841" s="2">
        <v>2</v>
      </c>
      <c r="G841" s="3">
        <v>8</v>
      </c>
      <c r="H841" s="3">
        <f>grocery_chain_data[[#This Row],[Quantity]]*grocery_chain_data[[#This Row],[Unit Price]]</f>
        <v>16</v>
      </c>
      <c r="I841" s="3">
        <v>5</v>
      </c>
      <c r="J841" s="3">
        <f>grocery_chain_data[[#This Row],[Total Amount]]-grocery_chain_data[[#This Row],[Discount Amount]]</f>
        <v>11</v>
      </c>
      <c r="K841">
        <v>222</v>
      </c>
      <c r="L841" t="str">
        <f>IF(grocery_chain_data[[#This Row],[Final Amount]]&lt;0,"Return","Sale")</f>
        <v>Sale</v>
      </c>
      <c r="M841">
        <f>IF(grocery_chain_data[[#This Row],[Final Amount]]&lt;0,0,grocery_chain_data[[#This Row],[Final Amount]])</f>
        <v>11</v>
      </c>
    </row>
    <row r="842" spans="1:13" x14ac:dyDescent="0.3">
      <c r="A842">
        <v>6456</v>
      </c>
      <c r="B842" t="s">
        <v>13</v>
      </c>
      <c r="C842" s="1">
        <v>45750</v>
      </c>
      <c r="D842" s="1" t="str">
        <f t="shared" si="13"/>
        <v>Dairy</v>
      </c>
      <c r="E842" t="s">
        <v>19</v>
      </c>
      <c r="F842" s="2">
        <v>1</v>
      </c>
      <c r="G842" s="3">
        <v>30</v>
      </c>
      <c r="H842" s="3">
        <f>grocery_chain_data[[#This Row],[Quantity]]*grocery_chain_data[[#This Row],[Unit Price]]</f>
        <v>30</v>
      </c>
      <c r="I842" s="3">
        <v>3</v>
      </c>
      <c r="J842" s="3">
        <f>grocery_chain_data[[#This Row],[Total Amount]]-grocery_chain_data[[#This Row],[Discount Amount]]</f>
        <v>27</v>
      </c>
      <c r="K842">
        <v>375</v>
      </c>
      <c r="L842" t="str">
        <f>IF(grocery_chain_data[[#This Row],[Final Amount]]&lt;0,"Return","Sale")</f>
        <v>Sale</v>
      </c>
      <c r="M842">
        <f>IF(grocery_chain_data[[#This Row],[Final Amount]]&lt;0,0,grocery_chain_data[[#This Row],[Final Amount]])</f>
        <v>27</v>
      </c>
    </row>
    <row r="843" spans="1:13" x14ac:dyDescent="0.3">
      <c r="A843">
        <v>3754</v>
      </c>
      <c r="B843" t="s">
        <v>2</v>
      </c>
      <c r="C843" s="1">
        <v>45204</v>
      </c>
      <c r="D843" s="1" t="str">
        <f t="shared" si="13"/>
        <v>Produce</v>
      </c>
      <c r="E843" t="s">
        <v>25</v>
      </c>
      <c r="F843" s="2">
        <v>1</v>
      </c>
      <c r="G843" s="3">
        <v>14</v>
      </c>
      <c r="H843" s="3">
        <f>grocery_chain_data[[#This Row],[Quantity]]*grocery_chain_data[[#This Row],[Unit Price]]</f>
        <v>14</v>
      </c>
      <c r="I843" s="3">
        <v>4</v>
      </c>
      <c r="J843" s="3">
        <f>grocery_chain_data[[#This Row],[Total Amount]]-grocery_chain_data[[#This Row],[Discount Amount]]</f>
        <v>10</v>
      </c>
      <c r="K843">
        <v>123</v>
      </c>
      <c r="L843" t="str">
        <f>IF(grocery_chain_data[[#This Row],[Final Amount]]&lt;0,"Return","Sale")</f>
        <v>Sale</v>
      </c>
      <c r="M843">
        <f>IF(grocery_chain_data[[#This Row],[Final Amount]]&lt;0,0,grocery_chain_data[[#This Row],[Final Amount]])</f>
        <v>10</v>
      </c>
    </row>
    <row r="844" spans="1:13" x14ac:dyDescent="0.3">
      <c r="A844">
        <v>9363</v>
      </c>
      <c r="B844" t="s">
        <v>8</v>
      </c>
      <c r="C844" s="1">
        <v>45636</v>
      </c>
      <c r="D844" s="1" t="str">
        <f t="shared" si="13"/>
        <v>Dairy</v>
      </c>
      <c r="E844" t="s">
        <v>20</v>
      </c>
      <c r="F844" s="2">
        <v>3</v>
      </c>
      <c r="G844" s="3">
        <v>10</v>
      </c>
      <c r="H844" s="3">
        <f>grocery_chain_data[[#This Row],[Quantity]]*grocery_chain_data[[#This Row],[Unit Price]]</f>
        <v>30</v>
      </c>
      <c r="I844" s="3">
        <v>3</v>
      </c>
      <c r="J844" s="3">
        <f>grocery_chain_data[[#This Row],[Total Amount]]-grocery_chain_data[[#This Row],[Discount Amount]]</f>
        <v>27</v>
      </c>
      <c r="K844">
        <v>331</v>
      </c>
      <c r="L844" t="str">
        <f>IF(grocery_chain_data[[#This Row],[Final Amount]]&lt;0,"Return","Sale")</f>
        <v>Sale</v>
      </c>
      <c r="M844">
        <f>IF(grocery_chain_data[[#This Row],[Final Amount]]&lt;0,0,grocery_chain_data[[#This Row],[Final Amount]])</f>
        <v>27</v>
      </c>
    </row>
    <row r="845" spans="1:13" x14ac:dyDescent="0.3">
      <c r="A845">
        <v>2868</v>
      </c>
      <c r="B845" t="s">
        <v>12</v>
      </c>
      <c r="C845" s="1">
        <v>45557</v>
      </c>
      <c r="D845" s="1" t="str">
        <f t="shared" si="13"/>
        <v>Meat &amp; Seafood</v>
      </c>
      <c r="E845" t="s">
        <v>15</v>
      </c>
      <c r="F845" s="2">
        <v>5</v>
      </c>
      <c r="G845" s="3">
        <v>23</v>
      </c>
      <c r="H845" s="3">
        <f>grocery_chain_data[[#This Row],[Quantity]]*grocery_chain_data[[#This Row],[Unit Price]]</f>
        <v>115</v>
      </c>
      <c r="I845" s="3">
        <v>11</v>
      </c>
      <c r="J845" s="3">
        <f>grocery_chain_data[[#This Row],[Total Amount]]-grocery_chain_data[[#This Row],[Discount Amount]]</f>
        <v>104</v>
      </c>
      <c r="K845">
        <v>12</v>
      </c>
      <c r="L845" t="str">
        <f>IF(grocery_chain_data[[#This Row],[Final Amount]]&lt;0,"Return","Sale")</f>
        <v>Sale</v>
      </c>
      <c r="M845">
        <f>IF(grocery_chain_data[[#This Row],[Final Amount]]&lt;0,0,grocery_chain_data[[#This Row],[Final Amount]])</f>
        <v>104</v>
      </c>
    </row>
    <row r="846" spans="1:13" x14ac:dyDescent="0.3">
      <c r="A846">
        <v>9355</v>
      </c>
      <c r="B846" t="s">
        <v>5</v>
      </c>
      <c r="C846" s="1">
        <v>45295</v>
      </c>
      <c r="D846" s="1" t="str">
        <f t="shared" si="13"/>
        <v>Produce</v>
      </c>
      <c r="E846" t="s">
        <v>11</v>
      </c>
      <c r="F846" s="2">
        <v>3</v>
      </c>
      <c r="G846" s="3">
        <v>19</v>
      </c>
      <c r="H846" s="3">
        <f>grocery_chain_data[[#This Row],[Quantity]]*grocery_chain_data[[#This Row],[Unit Price]]</f>
        <v>57</v>
      </c>
      <c r="I846" s="3">
        <v>0</v>
      </c>
      <c r="J846" s="3">
        <f>grocery_chain_data[[#This Row],[Total Amount]]-grocery_chain_data[[#This Row],[Discount Amount]]</f>
        <v>57</v>
      </c>
      <c r="K846">
        <v>360</v>
      </c>
      <c r="L846" t="str">
        <f>IF(grocery_chain_data[[#This Row],[Final Amount]]&lt;0,"Return","Sale")</f>
        <v>Sale</v>
      </c>
      <c r="M846">
        <f>IF(grocery_chain_data[[#This Row],[Final Amount]]&lt;0,0,grocery_chain_data[[#This Row],[Final Amount]])</f>
        <v>57</v>
      </c>
    </row>
    <row r="847" spans="1:13" x14ac:dyDescent="0.3">
      <c r="A847">
        <v>6724</v>
      </c>
      <c r="B847" t="s">
        <v>0</v>
      </c>
      <c r="C847" s="1">
        <v>45417</v>
      </c>
      <c r="D847" s="1" t="str">
        <f t="shared" si="13"/>
        <v>Pantry</v>
      </c>
      <c r="E847" t="s">
        <v>6</v>
      </c>
      <c r="F847" s="2">
        <v>5</v>
      </c>
      <c r="G847" s="3">
        <v>2</v>
      </c>
      <c r="H847" s="3">
        <f>grocery_chain_data[[#This Row],[Quantity]]*grocery_chain_data[[#This Row],[Unit Price]]</f>
        <v>10</v>
      </c>
      <c r="I847" s="3">
        <v>0</v>
      </c>
      <c r="J847" s="3">
        <f>grocery_chain_data[[#This Row],[Total Amount]]-grocery_chain_data[[#This Row],[Discount Amount]]</f>
        <v>10</v>
      </c>
      <c r="K847">
        <v>218</v>
      </c>
      <c r="L847" t="str">
        <f>IF(grocery_chain_data[[#This Row],[Final Amount]]&lt;0,"Return","Sale")</f>
        <v>Sale</v>
      </c>
      <c r="M847">
        <f>IF(grocery_chain_data[[#This Row],[Final Amount]]&lt;0,0,grocery_chain_data[[#This Row],[Final Amount]])</f>
        <v>10</v>
      </c>
    </row>
    <row r="848" spans="1:13" x14ac:dyDescent="0.3">
      <c r="A848">
        <v>3419</v>
      </c>
      <c r="B848" t="s">
        <v>2</v>
      </c>
      <c r="C848" s="1">
        <v>45328</v>
      </c>
      <c r="D848" s="1" t="str">
        <f t="shared" si="13"/>
        <v>Dairy</v>
      </c>
      <c r="E848" t="s">
        <v>23</v>
      </c>
      <c r="F848" s="2">
        <v>1</v>
      </c>
      <c r="G848" s="3">
        <v>19</v>
      </c>
      <c r="H848" s="3">
        <f>grocery_chain_data[[#This Row],[Quantity]]*grocery_chain_data[[#This Row],[Unit Price]]</f>
        <v>19</v>
      </c>
      <c r="I848" s="3">
        <v>5</v>
      </c>
      <c r="J848" s="3">
        <f>grocery_chain_data[[#This Row],[Total Amount]]-grocery_chain_data[[#This Row],[Discount Amount]]</f>
        <v>14</v>
      </c>
      <c r="K848">
        <v>171</v>
      </c>
      <c r="L848" t="str">
        <f>IF(grocery_chain_data[[#This Row],[Final Amount]]&lt;0,"Return","Sale")</f>
        <v>Sale</v>
      </c>
      <c r="M848">
        <f>IF(grocery_chain_data[[#This Row],[Final Amount]]&lt;0,0,grocery_chain_data[[#This Row],[Final Amount]])</f>
        <v>14</v>
      </c>
    </row>
    <row r="849" spans="1:13" x14ac:dyDescent="0.3">
      <c r="A849">
        <v>2684</v>
      </c>
      <c r="B849" t="s">
        <v>16</v>
      </c>
      <c r="C849" s="1">
        <v>45258</v>
      </c>
      <c r="D849" s="1" t="str">
        <f t="shared" si="13"/>
        <v>Meat &amp; Seafood</v>
      </c>
      <c r="E849" t="s">
        <v>26</v>
      </c>
      <c r="F849" s="2">
        <v>4</v>
      </c>
      <c r="G849" s="3">
        <v>12</v>
      </c>
      <c r="H849" s="3">
        <f>grocery_chain_data[[#This Row],[Quantity]]*grocery_chain_data[[#This Row],[Unit Price]]</f>
        <v>48</v>
      </c>
      <c r="I849" s="3">
        <v>7</v>
      </c>
      <c r="J849" s="3">
        <f>grocery_chain_data[[#This Row],[Total Amount]]-grocery_chain_data[[#This Row],[Discount Amount]]</f>
        <v>41</v>
      </c>
      <c r="K849">
        <v>316</v>
      </c>
      <c r="L849" t="str">
        <f>IF(grocery_chain_data[[#This Row],[Final Amount]]&lt;0,"Return","Sale")</f>
        <v>Sale</v>
      </c>
      <c r="M849">
        <f>IF(grocery_chain_data[[#This Row],[Final Amount]]&lt;0,0,grocery_chain_data[[#This Row],[Final Amount]])</f>
        <v>41</v>
      </c>
    </row>
    <row r="850" spans="1:13" x14ac:dyDescent="0.3">
      <c r="A850">
        <v>5193</v>
      </c>
      <c r="B850" t="s">
        <v>16</v>
      </c>
      <c r="C850" s="1">
        <v>45298</v>
      </c>
      <c r="D850" s="1" t="str">
        <f t="shared" si="13"/>
        <v>Produce</v>
      </c>
      <c r="E850" t="s">
        <v>4</v>
      </c>
      <c r="F850" s="2">
        <v>1</v>
      </c>
      <c r="G850" s="3">
        <v>17</v>
      </c>
      <c r="H850" s="3">
        <f>grocery_chain_data[[#This Row],[Quantity]]*grocery_chain_data[[#This Row],[Unit Price]]</f>
        <v>17</v>
      </c>
      <c r="I850" s="3">
        <v>3</v>
      </c>
      <c r="J850" s="3">
        <f>grocery_chain_data[[#This Row],[Total Amount]]-grocery_chain_data[[#This Row],[Discount Amount]]</f>
        <v>14</v>
      </c>
      <c r="K850">
        <v>396</v>
      </c>
      <c r="L850" t="str">
        <f>IF(grocery_chain_data[[#This Row],[Final Amount]]&lt;0,"Return","Sale")</f>
        <v>Sale</v>
      </c>
      <c r="M850">
        <f>IF(grocery_chain_data[[#This Row],[Final Amount]]&lt;0,0,grocery_chain_data[[#This Row],[Final Amount]])</f>
        <v>14</v>
      </c>
    </row>
    <row r="851" spans="1:13" x14ac:dyDescent="0.3">
      <c r="A851">
        <v>3842</v>
      </c>
      <c r="B851" t="s">
        <v>16</v>
      </c>
      <c r="C851" s="1">
        <v>45612</v>
      </c>
      <c r="D851" s="1" t="str">
        <f t="shared" si="13"/>
        <v>Produce</v>
      </c>
      <c r="E851" t="s">
        <v>4</v>
      </c>
      <c r="F851" s="2">
        <v>1</v>
      </c>
      <c r="G851" s="3">
        <v>20</v>
      </c>
      <c r="H851" s="3">
        <f>grocery_chain_data[[#This Row],[Quantity]]*grocery_chain_data[[#This Row],[Unit Price]]</f>
        <v>20</v>
      </c>
      <c r="I851" s="3">
        <v>0</v>
      </c>
      <c r="J851" s="3">
        <f>grocery_chain_data[[#This Row],[Total Amount]]-grocery_chain_data[[#This Row],[Discount Amount]]</f>
        <v>20</v>
      </c>
      <c r="K851">
        <v>377</v>
      </c>
      <c r="L851" t="str">
        <f>IF(grocery_chain_data[[#This Row],[Final Amount]]&lt;0,"Return","Sale")</f>
        <v>Sale</v>
      </c>
      <c r="M851">
        <f>IF(grocery_chain_data[[#This Row],[Final Amount]]&lt;0,0,grocery_chain_data[[#This Row],[Final Amount]])</f>
        <v>20</v>
      </c>
    </row>
    <row r="852" spans="1:13" x14ac:dyDescent="0.3">
      <c r="A852">
        <v>3504</v>
      </c>
      <c r="B852" t="s">
        <v>21</v>
      </c>
      <c r="C852" s="1">
        <v>45735</v>
      </c>
      <c r="D852" s="1" t="str">
        <f t="shared" si="13"/>
        <v>Beverages</v>
      </c>
      <c r="E852" t="s">
        <v>7</v>
      </c>
      <c r="F852" s="2">
        <v>3</v>
      </c>
      <c r="G852" s="3">
        <v>16</v>
      </c>
      <c r="H852" s="3">
        <f>grocery_chain_data[[#This Row],[Quantity]]*grocery_chain_data[[#This Row],[Unit Price]]</f>
        <v>48</v>
      </c>
      <c r="I852" s="3">
        <v>1</v>
      </c>
      <c r="J852" s="3">
        <f>grocery_chain_data[[#This Row],[Total Amount]]-grocery_chain_data[[#This Row],[Discount Amount]]</f>
        <v>47</v>
      </c>
      <c r="K852">
        <v>216</v>
      </c>
      <c r="L852" t="str">
        <f>IF(grocery_chain_data[[#This Row],[Final Amount]]&lt;0,"Return","Sale")</f>
        <v>Sale</v>
      </c>
      <c r="M852">
        <f>IF(grocery_chain_data[[#This Row],[Final Amount]]&lt;0,0,grocery_chain_data[[#This Row],[Final Amount]])</f>
        <v>47</v>
      </c>
    </row>
    <row r="853" spans="1:13" x14ac:dyDescent="0.3">
      <c r="A853">
        <v>2234</v>
      </c>
      <c r="B853" t="s">
        <v>16</v>
      </c>
      <c r="C853" s="1">
        <v>45282</v>
      </c>
      <c r="D853" s="1" t="str">
        <f t="shared" si="13"/>
        <v>Produce</v>
      </c>
      <c r="E853" t="s">
        <v>25</v>
      </c>
      <c r="F853" s="2">
        <v>5</v>
      </c>
      <c r="G853" s="3">
        <v>16</v>
      </c>
      <c r="H853" s="3">
        <f>grocery_chain_data[[#This Row],[Quantity]]*grocery_chain_data[[#This Row],[Unit Price]]</f>
        <v>80</v>
      </c>
      <c r="I853" s="3">
        <v>0</v>
      </c>
      <c r="J853" s="3">
        <f>grocery_chain_data[[#This Row],[Total Amount]]-grocery_chain_data[[#This Row],[Discount Amount]]</f>
        <v>80</v>
      </c>
      <c r="K853">
        <v>62</v>
      </c>
      <c r="L853" t="str">
        <f>IF(grocery_chain_data[[#This Row],[Final Amount]]&lt;0,"Return","Sale")</f>
        <v>Sale</v>
      </c>
      <c r="M853">
        <f>IF(grocery_chain_data[[#This Row],[Final Amount]]&lt;0,0,grocery_chain_data[[#This Row],[Final Amount]])</f>
        <v>80</v>
      </c>
    </row>
    <row r="854" spans="1:13" x14ac:dyDescent="0.3">
      <c r="A854">
        <v>9095</v>
      </c>
      <c r="B854" t="s">
        <v>2</v>
      </c>
      <c r="C854" s="1">
        <v>45505</v>
      </c>
      <c r="D854" s="1" t="str">
        <f t="shared" si="13"/>
        <v>Produce</v>
      </c>
      <c r="E854" t="s">
        <v>4</v>
      </c>
      <c r="F854" s="2">
        <v>3</v>
      </c>
      <c r="G854" s="3">
        <v>14</v>
      </c>
      <c r="H854" s="3">
        <f>grocery_chain_data[[#This Row],[Quantity]]*grocery_chain_data[[#This Row],[Unit Price]]</f>
        <v>42</v>
      </c>
      <c r="I854" s="3">
        <v>8</v>
      </c>
      <c r="J854" s="3">
        <f>grocery_chain_data[[#This Row],[Total Amount]]-grocery_chain_data[[#This Row],[Discount Amount]]</f>
        <v>34</v>
      </c>
      <c r="K854">
        <v>188</v>
      </c>
      <c r="L854" t="str">
        <f>IF(grocery_chain_data[[#This Row],[Final Amount]]&lt;0,"Return","Sale")</f>
        <v>Sale</v>
      </c>
      <c r="M854">
        <f>IF(grocery_chain_data[[#This Row],[Final Amount]]&lt;0,0,grocery_chain_data[[#This Row],[Final Amount]])</f>
        <v>34</v>
      </c>
    </row>
    <row r="855" spans="1:13" x14ac:dyDescent="0.3">
      <c r="A855">
        <v>8354</v>
      </c>
      <c r="B855" t="s">
        <v>10</v>
      </c>
      <c r="C855" s="1">
        <v>45674</v>
      </c>
      <c r="D855" s="1" t="str">
        <f t="shared" si="13"/>
        <v>Bakery</v>
      </c>
      <c r="E855" t="s">
        <v>22</v>
      </c>
      <c r="F855" s="2">
        <v>4</v>
      </c>
      <c r="G855" s="3">
        <v>27</v>
      </c>
      <c r="H855" s="3">
        <f>grocery_chain_data[[#This Row],[Quantity]]*grocery_chain_data[[#This Row],[Unit Price]]</f>
        <v>108</v>
      </c>
      <c r="I855" s="3">
        <v>2</v>
      </c>
      <c r="J855" s="3">
        <f>grocery_chain_data[[#This Row],[Total Amount]]-grocery_chain_data[[#This Row],[Discount Amount]]</f>
        <v>106</v>
      </c>
      <c r="K855">
        <v>147</v>
      </c>
      <c r="L855" t="str">
        <f>IF(grocery_chain_data[[#This Row],[Final Amount]]&lt;0,"Return","Sale")</f>
        <v>Sale</v>
      </c>
      <c r="M855">
        <f>IF(grocery_chain_data[[#This Row],[Final Amount]]&lt;0,0,grocery_chain_data[[#This Row],[Final Amount]])</f>
        <v>106</v>
      </c>
    </row>
    <row r="856" spans="1:13" x14ac:dyDescent="0.3">
      <c r="A856">
        <v>6295</v>
      </c>
      <c r="B856" t="s">
        <v>0</v>
      </c>
      <c r="C856" s="1">
        <v>45816</v>
      </c>
      <c r="D856" s="1" t="str">
        <f t="shared" si="13"/>
        <v>Produce</v>
      </c>
      <c r="E856" t="s">
        <v>25</v>
      </c>
      <c r="F856" s="2">
        <v>2</v>
      </c>
      <c r="G856" s="3">
        <v>26</v>
      </c>
      <c r="H856" s="3">
        <f>grocery_chain_data[[#This Row],[Quantity]]*grocery_chain_data[[#This Row],[Unit Price]]</f>
        <v>52</v>
      </c>
      <c r="I856" s="3">
        <v>8</v>
      </c>
      <c r="J856" s="3">
        <f>grocery_chain_data[[#This Row],[Total Amount]]-grocery_chain_data[[#This Row],[Discount Amount]]</f>
        <v>44</v>
      </c>
      <c r="K856">
        <v>266</v>
      </c>
      <c r="L856" t="str">
        <f>IF(grocery_chain_data[[#This Row],[Final Amount]]&lt;0,"Return","Sale")</f>
        <v>Sale</v>
      </c>
      <c r="M856">
        <f>IF(grocery_chain_data[[#This Row],[Final Amount]]&lt;0,0,grocery_chain_data[[#This Row],[Final Amount]])</f>
        <v>44</v>
      </c>
    </row>
    <row r="857" spans="1:13" x14ac:dyDescent="0.3">
      <c r="A857">
        <v>6179</v>
      </c>
      <c r="B857" t="s">
        <v>8</v>
      </c>
      <c r="C857" s="1">
        <v>45262</v>
      </c>
      <c r="D857" s="1" t="str">
        <f t="shared" si="13"/>
        <v>Produce</v>
      </c>
      <c r="E857" t="s">
        <v>4</v>
      </c>
      <c r="F857" s="2">
        <v>2</v>
      </c>
      <c r="G857" s="3">
        <v>15</v>
      </c>
      <c r="H857" s="3">
        <f>grocery_chain_data[[#This Row],[Quantity]]*grocery_chain_data[[#This Row],[Unit Price]]</f>
        <v>30</v>
      </c>
      <c r="I857" s="3">
        <v>0</v>
      </c>
      <c r="J857" s="3">
        <f>grocery_chain_data[[#This Row],[Total Amount]]-grocery_chain_data[[#This Row],[Discount Amount]]</f>
        <v>30</v>
      </c>
      <c r="K857">
        <v>215</v>
      </c>
      <c r="L857" t="str">
        <f>IF(grocery_chain_data[[#This Row],[Final Amount]]&lt;0,"Return","Sale")</f>
        <v>Sale</v>
      </c>
      <c r="M857">
        <f>IF(grocery_chain_data[[#This Row],[Final Amount]]&lt;0,0,grocery_chain_data[[#This Row],[Final Amount]])</f>
        <v>30</v>
      </c>
    </row>
    <row r="858" spans="1:13" x14ac:dyDescent="0.3">
      <c r="A858">
        <v>8205</v>
      </c>
      <c r="B858" t="s">
        <v>13</v>
      </c>
      <c r="C858" s="1">
        <v>45198</v>
      </c>
      <c r="D858" s="1" t="str">
        <f t="shared" si="13"/>
        <v>Dairy</v>
      </c>
      <c r="E858" t="s">
        <v>23</v>
      </c>
      <c r="F858" s="2">
        <v>1</v>
      </c>
      <c r="G858" s="3">
        <v>2</v>
      </c>
      <c r="H858" s="3">
        <f>grocery_chain_data[[#This Row],[Quantity]]*grocery_chain_data[[#This Row],[Unit Price]]</f>
        <v>2</v>
      </c>
      <c r="I858" s="3">
        <v>4</v>
      </c>
      <c r="J858" s="3">
        <f>grocery_chain_data[[#This Row],[Total Amount]]-grocery_chain_data[[#This Row],[Discount Amount]]</f>
        <v>-2</v>
      </c>
      <c r="K858">
        <v>410</v>
      </c>
      <c r="L858" t="str">
        <f>IF(grocery_chain_data[[#This Row],[Final Amount]]&lt;0,"Return","Sale")</f>
        <v>Return</v>
      </c>
      <c r="M858">
        <f>IF(grocery_chain_data[[#This Row],[Final Amount]]&lt;0,0,grocery_chain_data[[#This Row],[Final Amount]])</f>
        <v>0</v>
      </c>
    </row>
    <row r="859" spans="1:13" x14ac:dyDescent="0.3">
      <c r="A859">
        <v>8682</v>
      </c>
      <c r="B859" t="s">
        <v>8</v>
      </c>
      <c r="C859" s="1">
        <v>45488</v>
      </c>
      <c r="D859" s="1" t="str">
        <f t="shared" si="13"/>
        <v>Pantry</v>
      </c>
      <c r="E859" t="s">
        <v>6</v>
      </c>
      <c r="F859" s="2">
        <v>3</v>
      </c>
      <c r="G859" s="3">
        <v>15</v>
      </c>
      <c r="H859" s="3">
        <f>grocery_chain_data[[#This Row],[Quantity]]*grocery_chain_data[[#This Row],[Unit Price]]</f>
        <v>45</v>
      </c>
      <c r="I859" s="3">
        <v>5</v>
      </c>
      <c r="J859" s="3">
        <f>grocery_chain_data[[#This Row],[Total Amount]]-grocery_chain_data[[#This Row],[Discount Amount]]</f>
        <v>40</v>
      </c>
      <c r="K859">
        <v>340</v>
      </c>
      <c r="L859" t="str">
        <f>IF(grocery_chain_data[[#This Row],[Final Amount]]&lt;0,"Return","Sale")</f>
        <v>Sale</v>
      </c>
      <c r="M859">
        <f>IF(grocery_chain_data[[#This Row],[Final Amount]]&lt;0,0,grocery_chain_data[[#This Row],[Final Amount]])</f>
        <v>40</v>
      </c>
    </row>
    <row r="860" spans="1:13" x14ac:dyDescent="0.3">
      <c r="A860">
        <v>5961</v>
      </c>
      <c r="B860" t="s">
        <v>12</v>
      </c>
      <c r="C860" s="1">
        <v>45763</v>
      </c>
      <c r="D860" s="1" t="str">
        <f t="shared" si="13"/>
        <v>Dairy</v>
      </c>
      <c r="E860" t="s">
        <v>20</v>
      </c>
      <c r="F860" s="2">
        <v>3</v>
      </c>
      <c r="G860" s="3">
        <v>6</v>
      </c>
      <c r="H860" s="3">
        <f>grocery_chain_data[[#This Row],[Quantity]]*grocery_chain_data[[#This Row],[Unit Price]]</f>
        <v>18</v>
      </c>
      <c r="I860" s="3">
        <v>2</v>
      </c>
      <c r="J860" s="3">
        <f>grocery_chain_data[[#This Row],[Total Amount]]-grocery_chain_data[[#This Row],[Discount Amount]]</f>
        <v>16</v>
      </c>
      <c r="K860">
        <v>133</v>
      </c>
      <c r="L860" t="str">
        <f>IF(grocery_chain_data[[#This Row],[Final Amount]]&lt;0,"Return","Sale")</f>
        <v>Sale</v>
      </c>
      <c r="M860">
        <f>IF(grocery_chain_data[[#This Row],[Final Amount]]&lt;0,0,grocery_chain_data[[#This Row],[Final Amount]])</f>
        <v>16</v>
      </c>
    </row>
    <row r="861" spans="1:13" x14ac:dyDescent="0.3">
      <c r="A861">
        <v>5500</v>
      </c>
      <c r="B861" t="s">
        <v>16</v>
      </c>
      <c r="C861" s="1">
        <v>45604</v>
      </c>
      <c r="D861" s="1" t="str">
        <f t="shared" si="13"/>
        <v>Dairy</v>
      </c>
      <c r="E861" t="s">
        <v>19</v>
      </c>
      <c r="F861" s="2">
        <v>2</v>
      </c>
      <c r="G861" s="3">
        <v>11</v>
      </c>
      <c r="H861" s="3">
        <f>grocery_chain_data[[#This Row],[Quantity]]*grocery_chain_data[[#This Row],[Unit Price]]</f>
        <v>22</v>
      </c>
      <c r="I861" s="3">
        <v>5</v>
      </c>
      <c r="J861" s="3">
        <f>grocery_chain_data[[#This Row],[Total Amount]]-grocery_chain_data[[#This Row],[Discount Amount]]</f>
        <v>17</v>
      </c>
      <c r="K861">
        <v>233</v>
      </c>
      <c r="L861" t="str">
        <f>IF(grocery_chain_data[[#This Row],[Final Amount]]&lt;0,"Return","Sale")</f>
        <v>Sale</v>
      </c>
      <c r="M861">
        <f>IF(grocery_chain_data[[#This Row],[Final Amount]]&lt;0,0,grocery_chain_data[[#This Row],[Final Amount]])</f>
        <v>17</v>
      </c>
    </row>
    <row r="862" spans="1:13" x14ac:dyDescent="0.3">
      <c r="A862">
        <v>1920</v>
      </c>
      <c r="B862" t="s">
        <v>2</v>
      </c>
      <c r="C862" s="1">
        <v>45418</v>
      </c>
      <c r="D862" s="1" t="str">
        <f t="shared" si="13"/>
        <v>Produce</v>
      </c>
      <c r="E862" t="s">
        <v>11</v>
      </c>
      <c r="F862" s="2">
        <v>2</v>
      </c>
      <c r="G862" s="3">
        <v>25</v>
      </c>
      <c r="H862" s="3">
        <f>grocery_chain_data[[#This Row],[Quantity]]*grocery_chain_data[[#This Row],[Unit Price]]</f>
        <v>50</v>
      </c>
      <c r="I862" s="3">
        <v>10</v>
      </c>
      <c r="J862" s="3">
        <f>grocery_chain_data[[#This Row],[Total Amount]]-grocery_chain_data[[#This Row],[Discount Amount]]</f>
        <v>40</v>
      </c>
      <c r="K862">
        <v>354</v>
      </c>
      <c r="L862" t="str">
        <f>IF(grocery_chain_data[[#This Row],[Final Amount]]&lt;0,"Return","Sale")</f>
        <v>Sale</v>
      </c>
      <c r="M862">
        <f>IF(grocery_chain_data[[#This Row],[Final Amount]]&lt;0,0,grocery_chain_data[[#This Row],[Final Amount]])</f>
        <v>40</v>
      </c>
    </row>
    <row r="863" spans="1:13" x14ac:dyDescent="0.3">
      <c r="A863">
        <v>9312</v>
      </c>
      <c r="B863" t="s">
        <v>21</v>
      </c>
      <c r="C863" s="1">
        <v>45202</v>
      </c>
      <c r="D863" s="1" t="str">
        <f t="shared" si="13"/>
        <v>Dairy</v>
      </c>
      <c r="E863" t="s">
        <v>19</v>
      </c>
      <c r="F863" s="2">
        <v>3</v>
      </c>
      <c r="G863" s="3">
        <v>18</v>
      </c>
      <c r="H863" s="3">
        <f>grocery_chain_data[[#This Row],[Quantity]]*grocery_chain_data[[#This Row],[Unit Price]]</f>
        <v>54</v>
      </c>
      <c r="I863" s="3">
        <v>8</v>
      </c>
      <c r="J863" s="3">
        <f>grocery_chain_data[[#This Row],[Total Amount]]-grocery_chain_data[[#This Row],[Discount Amount]]</f>
        <v>46</v>
      </c>
      <c r="K863">
        <v>225</v>
      </c>
      <c r="L863" t="str">
        <f>IF(grocery_chain_data[[#This Row],[Final Amount]]&lt;0,"Return","Sale")</f>
        <v>Sale</v>
      </c>
      <c r="M863">
        <f>IF(grocery_chain_data[[#This Row],[Final Amount]]&lt;0,0,grocery_chain_data[[#This Row],[Final Amount]])</f>
        <v>46</v>
      </c>
    </row>
    <row r="864" spans="1:13" x14ac:dyDescent="0.3">
      <c r="A864">
        <v>6085</v>
      </c>
      <c r="B864" t="s">
        <v>5</v>
      </c>
      <c r="C864" s="1">
        <v>45503</v>
      </c>
      <c r="D864" s="1" t="str">
        <f t="shared" si="13"/>
        <v>Produce</v>
      </c>
      <c r="E864" t="s">
        <v>4</v>
      </c>
      <c r="F864" s="2">
        <v>1</v>
      </c>
      <c r="G864" s="3">
        <v>20</v>
      </c>
      <c r="H864" s="3">
        <f>grocery_chain_data[[#This Row],[Quantity]]*grocery_chain_data[[#This Row],[Unit Price]]</f>
        <v>20</v>
      </c>
      <c r="I864" s="3">
        <v>4</v>
      </c>
      <c r="J864" s="3">
        <f>grocery_chain_data[[#This Row],[Total Amount]]-grocery_chain_data[[#This Row],[Discount Amount]]</f>
        <v>16</v>
      </c>
      <c r="K864">
        <v>500</v>
      </c>
      <c r="L864" t="str">
        <f>IF(grocery_chain_data[[#This Row],[Final Amount]]&lt;0,"Return","Sale")</f>
        <v>Sale</v>
      </c>
      <c r="M864">
        <f>IF(grocery_chain_data[[#This Row],[Final Amount]]&lt;0,0,grocery_chain_data[[#This Row],[Final Amount]])</f>
        <v>16</v>
      </c>
    </row>
    <row r="865" spans="1:13" x14ac:dyDescent="0.3">
      <c r="A865">
        <v>8404</v>
      </c>
      <c r="B865" t="s">
        <v>16</v>
      </c>
      <c r="C865" s="1">
        <v>45174</v>
      </c>
      <c r="D865" s="1" t="str">
        <f t="shared" si="13"/>
        <v>Produce</v>
      </c>
      <c r="E865" t="s">
        <v>4</v>
      </c>
      <c r="F865" s="2">
        <v>2</v>
      </c>
      <c r="G865" s="3">
        <v>16</v>
      </c>
      <c r="H865" s="3">
        <f>grocery_chain_data[[#This Row],[Quantity]]*grocery_chain_data[[#This Row],[Unit Price]]</f>
        <v>32</v>
      </c>
      <c r="I865" s="3">
        <v>3</v>
      </c>
      <c r="J865" s="3">
        <f>grocery_chain_data[[#This Row],[Total Amount]]-grocery_chain_data[[#This Row],[Discount Amount]]</f>
        <v>29</v>
      </c>
      <c r="K865">
        <v>62</v>
      </c>
      <c r="L865" t="str">
        <f>IF(grocery_chain_data[[#This Row],[Final Amount]]&lt;0,"Return","Sale")</f>
        <v>Sale</v>
      </c>
      <c r="M865">
        <f>IF(grocery_chain_data[[#This Row],[Final Amount]]&lt;0,0,grocery_chain_data[[#This Row],[Final Amount]])</f>
        <v>29</v>
      </c>
    </row>
    <row r="866" spans="1:13" x14ac:dyDescent="0.3">
      <c r="A866">
        <v>1932</v>
      </c>
      <c r="B866" t="s">
        <v>10</v>
      </c>
      <c r="C866" s="1">
        <v>45431</v>
      </c>
      <c r="D866" s="1" t="str">
        <f t="shared" si="13"/>
        <v>Meat &amp; Seafood</v>
      </c>
      <c r="E866" t="s">
        <v>15</v>
      </c>
      <c r="F866" s="2">
        <v>3</v>
      </c>
      <c r="G866" s="3">
        <v>6</v>
      </c>
      <c r="H866" s="3">
        <f>grocery_chain_data[[#This Row],[Quantity]]*grocery_chain_data[[#This Row],[Unit Price]]</f>
        <v>18</v>
      </c>
      <c r="I866" s="3">
        <v>0</v>
      </c>
      <c r="J866" s="3">
        <f>grocery_chain_data[[#This Row],[Total Amount]]-grocery_chain_data[[#This Row],[Discount Amount]]</f>
        <v>18</v>
      </c>
      <c r="K866">
        <v>496</v>
      </c>
      <c r="L866" t="str">
        <f>IF(grocery_chain_data[[#This Row],[Final Amount]]&lt;0,"Return","Sale")</f>
        <v>Sale</v>
      </c>
      <c r="M866">
        <f>IF(grocery_chain_data[[#This Row],[Final Amount]]&lt;0,0,grocery_chain_data[[#This Row],[Final Amount]])</f>
        <v>18</v>
      </c>
    </row>
    <row r="867" spans="1:13" x14ac:dyDescent="0.3">
      <c r="A867">
        <v>5703</v>
      </c>
      <c r="B867" t="s">
        <v>12</v>
      </c>
      <c r="C867" s="1">
        <v>45204</v>
      </c>
      <c r="D867" s="1" t="str">
        <f t="shared" si="13"/>
        <v>Produce</v>
      </c>
      <c r="E867" t="s">
        <v>17</v>
      </c>
      <c r="F867" s="2">
        <v>5</v>
      </c>
      <c r="G867" s="3">
        <v>20</v>
      </c>
      <c r="H867" s="3">
        <f>grocery_chain_data[[#This Row],[Quantity]]*grocery_chain_data[[#This Row],[Unit Price]]</f>
        <v>100</v>
      </c>
      <c r="I867" s="3">
        <v>15</v>
      </c>
      <c r="J867" s="3">
        <f>grocery_chain_data[[#This Row],[Total Amount]]-grocery_chain_data[[#This Row],[Discount Amount]]</f>
        <v>85</v>
      </c>
      <c r="K867">
        <v>409</v>
      </c>
      <c r="L867" t="str">
        <f>IF(grocery_chain_data[[#This Row],[Final Amount]]&lt;0,"Return","Sale")</f>
        <v>Sale</v>
      </c>
      <c r="M867">
        <f>IF(grocery_chain_data[[#This Row],[Final Amount]]&lt;0,0,grocery_chain_data[[#This Row],[Final Amount]])</f>
        <v>85</v>
      </c>
    </row>
    <row r="868" spans="1:13" x14ac:dyDescent="0.3">
      <c r="A868">
        <v>2479</v>
      </c>
      <c r="B868" t="s">
        <v>0</v>
      </c>
      <c r="C868" s="1">
        <v>45622</v>
      </c>
      <c r="D868" s="1" t="str">
        <f t="shared" si="13"/>
        <v>Dairy</v>
      </c>
      <c r="E868" t="s">
        <v>19</v>
      </c>
      <c r="F868" s="2">
        <v>2</v>
      </c>
      <c r="G868" s="3">
        <v>21</v>
      </c>
      <c r="H868" s="3">
        <f>grocery_chain_data[[#This Row],[Quantity]]*grocery_chain_data[[#This Row],[Unit Price]]</f>
        <v>42</v>
      </c>
      <c r="I868" s="3">
        <v>3</v>
      </c>
      <c r="J868" s="3">
        <f>grocery_chain_data[[#This Row],[Total Amount]]-grocery_chain_data[[#This Row],[Discount Amount]]</f>
        <v>39</v>
      </c>
      <c r="K868">
        <v>59</v>
      </c>
      <c r="L868" t="str">
        <f>IF(grocery_chain_data[[#This Row],[Final Amount]]&lt;0,"Return","Sale")</f>
        <v>Sale</v>
      </c>
      <c r="M868">
        <f>IF(grocery_chain_data[[#This Row],[Final Amount]]&lt;0,0,grocery_chain_data[[#This Row],[Final Amount]])</f>
        <v>39</v>
      </c>
    </row>
    <row r="869" spans="1:13" x14ac:dyDescent="0.3">
      <c r="A869">
        <v>9307</v>
      </c>
      <c r="B869" t="s">
        <v>21</v>
      </c>
      <c r="C869" s="1">
        <v>45443</v>
      </c>
      <c r="D869" s="1" t="str">
        <f t="shared" si="13"/>
        <v>Beverages</v>
      </c>
      <c r="E869" t="s">
        <v>7</v>
      </c>
      <c r="F869" s="2">
        <v>1</v>
      </c>
      <c r="G869" s="3">
        <v>10</v>
      </c>
      <c r="H869" s="3">
        <f>grocery_chain_data[[#This Row],[Quantity]]*grocery_chain_data[[#This Row],[Unit Price]]</f>
        <v>10</v>
      </c>
      <c r="I869" s="3">
        <v>3</v>
      </c>
      <c r="J869" s="3">
        <f>grocery_chain_data[[#This Row],[Total Amount]]-grocery_chain_data[[#This Row],[Discount Amount]]</f>
        <v>7</v>
      </c>
      <c r="K869">
        <v>311</v>
      </c>
      <c r="L869" t="str">
        <f>IF(grocery_chain_data[[#This Row],[Final Amount]]&lt;0,"Return","Sale")</f>
        <v>Sale</v>
      </c>
      <c r="M869">
        <f>IF(grocery_chain_data[[#This Row],[Final Amount]]&lt;0,0,grocery_chain_data[[#This Row],[Final Amount]])</f>
        <v>7</v>
      </c>
    </row>
    <row r="870" spans="1:13" x14ac:dyDescent="0.3">
      <c r="A870">
        <v>8581</v>
      </c>
      <c r="B870" t="s">
        <v>27</v>
      </c>
      <c r="C870" s="1">
        <v>45595</v>
      </c>
      <c r="D870" s="1" t="str">
        <f t="shared" si="13"/>
        <v>Produce</v>
      </c>
      <c r="E870" t="s">
        <v>18</v>
      </c>
      <c r="F870" s="2">
        <v>1</v>
      </c>
      <c r="G870" s="3">
        <v>17</v>
      </c>
      <c r="H870" s="3">
        <f>grocery_chain_data[[#This Row],[Quantity]]*grocery_chain_data[[#This Row],[Unit Price]]</f>
        <v>17</v>
      </c>
      <c r="I870" s="3">
        <v>3</v>
      </c>
      <c r="J870" s="3">
        <f>grocery_chain_data[[#This Row],[Total Amount]]-grocery_chain_data[[#This Row],[Discount Amount]]</f>
        <v>14</v>
      </c>
      <c r="K870">
        <v>228</v>
      </c>
      <c r="L870" t="str">
        <f>IF(grocery_chain_data[[#This Row],[Final Amount]]&lt;0,"Return","Sale")</f>
        <v>Sale</v>
      </c>
      <c r="M870">
        <f>IF(grocery_chain_data[[#This Row],[Final Amount]]&lt;0,0,grocery_chain_data[[#This Row],[Final Amount]])</f>
        <v>14</v>
      </c>
    </row>
    <row r="871" spans="1:13" x14ac:dyDescent="0.3">
      <c r="A871">
        <v>1672</v>
      </c>
      <c r="B871" t="s">
        <v>10</v>
      </c>
      <c r="C871" s="1">
        <v>45494</v>
      </c>
      <c r="D871" s="1" t="str">
        <f t="shared" si="13"/>
        <v>Produce</v>
      </c>
      <c r="E871" t="s">
        <v>24</v>
      </c>
      <c r="F871" s="2">
        <v>1</v>
      </c>
      <c r="G871" s="3">
        <v>27</v>
      </c>
      <c r="H871" s="3">
        <f>grocery_chain_data[[#This Row],[Quantity]]*grocery_chain_data[[#This Row],[Unit Price]]</f>
        <v>27</v>
      </c>
      <c r="I871" s="3">
        <v>5</v>
      </c>
      <c r="J871" s="3">
        <f>grocery_chain_data[[#This Row],[Total Amount]]-grocery_chain_data[[#This Row],[Discount Amount]]</f>
        <v>22</v>
      </c>
      <c r="K871">
        <v>184</v>
      </c>
      <c r="L871" t="str">
        <f>IF(grocery_chain_data[[#This Row],[Final Amount]]&lt;0,"Return","Sale")</f>
        <v>Sale</v>
      </c>
      <c r="M871">
        <f>IF(grocery_chain_data[[#This Row],[Final Amount]]&lt;0,0,grocery_chain_data[[#This Row],[Final Amount]])</f>
        <v>22</v>
      </c>
    </row>
    <row r="872" spans="1:13" x14ac:dyDescent="0.3">
      <c r="A872">
        <v>4084</v>
      </c>
      <c r="B872" t="s">
        <v>8</v>
      </c>
      <c r="C872" s="1">
        <v>45394</v>
      </c>
      <c r="D872" s="1" t="str">
        <f t="shared" si="13"/>
        <v>Produce</v>
      </c>
      <c r="E872" t="s">
        <v>14</v>
      </c>
      <c r="F872" s="2">
        <v>3</v>
      </c>
      <c r="G872" s="3">
        <v>1</v>
      </c>
      <c r="H872" s="3">
        <f>grocery_chain_data[[#This Row],[Quantity]]*grocery_chain_data[[#This Row],[Unit Price]]</f>
        <v>3</v>
      </c>
      <c r="I872" s="3">
        <v>1</v>
      </c>
      <c r="J872" s="3">
        <f>grocery_chain_data[[#This Row],[Total Amount]]-grocery_chain_data[[#This Row],[Discount Amount]]</f>
        <v>2</v>
      </c>
      <c r="K872">
        <v>176</v>
      </c>
      <c r="L872" t="str">
        <f>IF(grocery_chain_data[[#This Row],[Final Amount]]&lt;0,"Return","Sale")</f>
        <v>Sale</v>
      </c>
      <c r="M872">
        <f>IF(grocery_chain_data[[#This Row],[Final Amount]]&lt;0,0,grocery_chain_data[[#This Row],[Final Amount]])</f>
        <v>2</v>
      </c>
    </row>
    <row r="873" spans="1:13" x14ac:dyDescent="0.3">
      <c r="A873">
        <v>8792</v>
      </c>
      <c r="B873" t="s">
        <v>10</v>
      </c>
      <c r="C873" s="1">
        <v>45534</v>
      </c>
      <c r="D873" s="1" t="str">
        <f t="shared" si="13"/>
        <v>Bakery</v>
      </c>
      <c r="E873" t="s">
        <v>22</v>
      </c>
      <c r="F873" s="2">
        <v>2</v>
      </c>
      <c r="G873" s="3">
        <v>22</v>
      </c>
      <c r="H873" s="3">
        <f>grocery_chain_data[[#This Row],[Quantity]]*grocery_chain_data[[#This Row],[Unit Price]]</f>
        <v>44</v>
      </c>
      <c r="I873" s="3">
        <v>4</v>
      </c>
      <c r="J873" s="3">
        <f>grocery_chain_data[[#This Row],[Total Amount]]-grocery_chain_data[[#This Row],[Discount Amount]]</f>
        <v>40</v>
      </c>
      <c r="K873">
        <v>227</v>
      </c>
      <c r="L873" t="str">
        <f>IF(grocery_chain_data[[#This Row],[Final Amount]]&lt;0,"Return","Sale")</f>
        <v>Sale</v>
      </c>
      <c r="M873">
        <f>IF(grocery_chain_data[[#This Row],[Final Amount]]&lt;0,0,grocery_chain_data[[#This Row],[Final Amount]])</f>
        <v>40</v>
      </c>
    </row>
    <row r="874" spans="1:13" x14ac:dyDescent="0.3">
      <c r="A874">
        <v>3471</v>
      </c>
      <c r="B874" t="s">
        <v>12</v>
      </c>
      <c r="C874" s="1">
        <v>45193</v>
      </c>
      <c r="D874" s="1" t="str">
        <f t="shared" si="13"/>
        <v>Dairy</v>
      </c>
      <c r="E874" t="s">
        <v>3</v>
      </c>
      <c r="F874" s="2">
        <v>4</v>
      </c>
      <c r="G874" s="3">
        <v>5</v>
      </c>
      <c r="H874" s="3">
        <f>grocery_chain_data[[#This Row],[Quantity]]*grocery_chain_data[[#This Row],[Unit Price]]</f>
        <v>20</v>
      </c>
      <c r="I874" s="3">
        <v>4</v>
      </c>
      <c r="J874" s="3">
        <f>grocery_chain_data[[#This Row],[Total Amount]]-grocery_chain_data[[#This Row],[Discount Amount]]</f>
        <v>16</v>
      </c>
      <c r="K874">
        <v>300</v>
      </c>
      <c r="L874" t="str">
        <f>IF(grocery_chain_data[[#This Row],[Final Amount]]&lt;0,"Return","Sale")</f>
        <v>Sale</v>
      </c>
      <c r="M874">
        <f>IF(grocery_chain_data[[#This Row],[Final Amount]]&lt;0,0,grocery_chain_data[[#This Row],[Final Amount]])</f>
        <v>16</v>
      </c>
    </row>
    <row r="875" spans="1:13" x14ac:dyDescent="0.3">
      <c r="A875">
        <v>8381</v>
      </c>
      <c r="B875" t="s">
        <v>21</v>
      </c>
      <c r="C875" s="1">
        <v>45225</v>
      </c>
      <c r="D875" s="1" t="str">
        <f t="shared" si="13"/>
        <v>Produce</v>
      </c>
      <c r="E875" t="s">
        <v>25</v>
      </c>
      <c r="F875" s="2">
        <v>5</v>
      </c>
      <c r="G875" s="3">
        <v>30</v>
      </c>
      <c r="H875" s="3">
        <f>grocery_chain_data[[#This Row],[Quantity]]*grocery_chain_data[[#This Row],[Unit Price]]</f>
        <v>150</v>
      </c>
      <c r="I875" s="3">
        <v>1</v>
      </c>
      <c r="J875" s="3">
        <f>grocery_chain_data[[#This Row],[Total Amount]]-grocery_chain_data[[#This Row],[Discount Amount]]</f>
        <v>149</v>
      </c>
      <c r="K875">
        <v>33</v>
      </c>
      <c r="L875" t="str">
        <f>IF(grocery_chain_data[[#This Row],[Final Amount]]&lt;0,"Return","Sale")</f>
        <v>Sale</v>
      </c>
      <c r="M875">
        <f>IF(grocery_chain_data[[#This Row],[Final Amount]]&lt;0,0,grocery_chain_data[[#This Row],[Final Amount]])</f>
        <v>149</v>
      </c>
    </row>
    <row r="876" spans="1:13" x14ac:dyDescent="0.3">
      <c r="A876">
        <v>6626</v>
      </c>
      <c r="B876" t="s">
        <v>12</v>
      </c>
      <c r="C876" s="1">
        <v>45699</v>
      </c>
      <c r="D876" s="1" t="str">
        <f t="shared" si="13"/>
        <v>Produce</v>
      </c>
      <c r="E876" t="s">
        <v>11</v>
      </c>
      <c r="F876" s="2">
        <v>5</v>
      </c>
      <c r="G876" s="3">
        <v>14</v>
      </c>
      <c r="H876" s="3">
        <f>grocery_chain_data[[#This Row],[Quantity]]*grocery_chain_data[[#This Row],[Unit Price]]</f>
        <v>70</v>
      </c>
      <c r="I876" s="3">
        <v>14</v>
      </c>
      <c r="J876" s="3">
        <f>grocery_chain_data[[#This Row],[Total Amount]]-grocery_chain_data[[#This Row],[Discount Amount]]</f>
        <v>56</v>
      </c>
      <c r="K876">
        <v>290</v>
      </c>
      <c r="L876" t="str">
        <f>IF(grocery_chain_data[[#This Row],[Final Amount]]&lt;0,"Return","Sale")</f>
        <v>Sale</v>
      </c>
      <c r="M876">
        <f>IF(grocery_chain_data[[#This Row],[Final Amount]]&lt;0,0,grocery_chain_data[[#This Row],[Final Amount]])</f>
        <v>56</v>
      </c>
    </row>
    <row r="877" spans="1:13" x14ac:dyDescent="0.3">
      <c r="A877">
        <v>2381</v>
      </c>
      <c r="B877" t="s">
        <v>5</v>
      </c>
      <c r="C877" s="1">
        <v>45536</v>
      </c>
      <c r="D877" s="1" t="str">
        <f t="shared" si="13"/>
        <v>Produce</v>
      </c>
      <c r="E877" t="s">
        <v>17</v>
      </c>
      <c r="F877" s="2">
        <v>5</v>
      </c>
      <c r="G877" s="3">
        <v>15</v>
      </c>
      <c r="H877" s="3">
        <f>grocery_chain_data[[#This Row],[Quantity]]*grocery_chain_data[[#This Row],[Unit Price]]</f>
        <v>75</v>
      </c>
      <c r="I877" s="3">
        <v>2</v>
      </c>
      <c r="J877" s="3">
        <f>grocery_chain_data[[#This Row],[Total Amount]]-grocery_chain_data[[#This Row],[Discount Amount]]</f>
        <v>73</v>
      </c>
      <c r="K877">
        <v>421</v>
      </c>
      <c r="L877" t="str">
        <f>IF(grocery_chain_data[[#This Row],[Final Amount]]&lt;0,"Return","Sale")</f>
        <v>Sale</v>
      </c>
      <c r="M877">
        <f>IF(grocery_chain_data[[#This Row],[Final Amount]]&lt;0,0,grocery_chain_data[[#This Row],[Final Amount]])</f>
        <v>73</v>
      </c>
    </row>
    <row r="878" spans="1:13" x14ac:dyDescent="0.3">
      <c r="A878">
        <v>3827</v>
      </c>
      <c r="B878" t="s">
        <v>2</v>
      </c>
      <c r="C878" s="1">
        <v>45175</v>
      </c>
      <c r="D878" s="1" t="str">
        <f t="shared" si="13"/>
        <v>Meat &amp; Seafood</v>
      </c>
      <c r="E878" t="s">
        <v>9</v>
      </c>
      <c r="F878" s="2">
        <v>1</v>
      </c>
      <c r="G878" s="3">
        <v>24</v>
      </c>
      <c r="H878" s="3">
        <f>grocery_chain_data[[#This Row],[Quantity]]*grocery_chain_data[[#This Row],[Unit Price]]</f>
        <v>24</v>
      </c>
      <c r="I878" s="3">
        <v>4</v>
      </c>
      <c r="J878" s="3">
        <f>grocery_chain_data[[#This Row],[Total Amount]]-grocery_chain_data[[#This Row],[Discount Amount]]</f>
        <v>20</v>
      </c>
      <c r="K878">
        <v>78</v>
      </c>
      <c r="L878" t="str">
        <f>IF(grocery_chain_data[[#This Row],[Final Amount]]&lt;0,"Return","Sale")</f>
        <v>Sale</v>
      </c>
      <c r="M878">
        <f>IF(grocery_chain_data[[#This Row],[Final Amount]]&lt;0,0,grocery_chain_data[[#This Row],[Final Amount]])</f>
        <v>20</v>
      </c>
    </row>
    <row r="879" spans="1:13" x14ac:dyDescent="0.3">
      <c r="A879">
        <v>5059</v>
      </c>
      <c r="B879" t="s">
        <v>10</v>
      </c>
      <c r="C879" s="1">
        <v>45694</v>
      </c>
      <c r="D879" s="1" t="str">
        <f t="shared" si="13"/>
        <v>Produce</v>
      </c>
      <c r="E879" t="s">
        <v>17</v>
      </c>
      <c r="F879" s="2">
        <v>4</v>
      </c>
      <c r="G879" s="3">
        <v>6</v>
      </c>
      <c r="H879" s="3">
        <f>grocery_chain_data[[#This Row],[Quantity]]*grocery_chain_data[[#This Row],[Unit Price]]</f>
        <v>24</v>
      </c>
      <c r="I879" s="3">
        <v>1</v>
      </c>
      <c r="J879" s="3">
        <f>grocery_chain_data[[#This Row],[Total Amount]]-grocery_chain_data[[#This Row],[Discount Amount]]</f>
        <v>23</v>
      </c>
      <c r="K879">
        <v>464</v>
      </c>
      <c r="L879" t="str">
        <f>IF(grocery_chain_data[[#This Row],[Final Amount]]&lt;0,"Return","Sale")</f>
        <v>Sale</v>
      </c>
      <c r="M879">
        <f>IF(grocery_chain_data[[#This Row],[Final Amount]]&lt;0,0,grocery_chain_data[[#This Row],[Final Amount]])</f>
        <v>23</v>
      </c>
    </row>
    <row r="880" spans="1:13" x14ac:dyDescent="0.3">
      <c r="A880">
        <v>8172</v>
      </c>
      <c r="B880" t="s">
        <v>12</v>
      </c>
      <c r="C880" s="1">
        <v>45486</v>
      </c>
      <c r="D880" s="1" t="str">
        <f t="shared" si="13"/>
        <v>Bakery</v>
      </c>
      <c r="E880" t="s">
        <v>22</v>
      </c>
      <c r="F880" s="2">
        <v>5</v>
      </c>
      <c r="G880" s="3">
        <v>23</v>
      </c>
      <c r="H880" s="3">
        <f>grocery_chain_data[[#This Row],[Quantity]]*grocery_chain_data[[#This Row],[Unit Price]]</f>
        <v>115</v>
      </c>
      <c r="I880" s="3">
        <v>3</v>
      </c>
      <c r="J880" s="3">
        <f>grocery_chain_data[[#This Row],[Total Amount]]-grocery_chain_data[[#This Row],[Discount Amount]]</f>
        <v>112</v>
      </c>
      <c r="K880">
        <v>297</v>
      </c>
      <c r="L880" t="str">
        <f>IF(grocery_chain_data[[#This Row],[Final Amount]]&lt;0,"Return","Sale")</f>
        <v>Sale</v>
      </c>
      <c r="M880">
        <f>IF(grocery_chain_data[[#This Row],[Final Amount]]&lt;0,0,grocery_chain_data[[#This Row],[Final Amount]])</f>
        <v>112</v>
      </c>
    </row>
    <row r="881" spans="1:13" x14ac:dyDescent="0.3">
      <c r="A881">
        <v>9586</v>
      </c>
      <c r="B881" t="s">
        <v>12</v>
      </c>
      <c r="C881" s="1">
        <v>45551</v>
      </c>
      <c r="D881" s="1" t="str">
        <f t="shared" si="13"/>
        <v>Produce</v>
      </c>
      <c r="E881" t="s">
        <v>25</v>
      </c>
      <c r="F881" s="2">
        <v>1</v>
      </c>
      <c r="G881" s="3">
        <v>12</v>
      </c>
      <c r="H881" s="3">
        <f>grocery_chain_data[[#This Row],[Quantity]]*grocery_chain_data[[#This Row],[Unit Price]]</f>
        <v>12</v>
      </c>
      <c r="I881" s="3">
        <v>2</v>
      </c>
      <c r="J881" s="3">
        <f>grocery_chain_data[[#This Row],[Total Amount]]-grocery_chain_data[[#This Row],[Discount Amount]]</f>
        <v>10</v>
      </c>
      <c r="K881">
        <v>375</v>
      </c>
      <c r="L881" t="str">
        <f>IF(grocery_chain_data[[#This Row],[Final Amount]]&lt;0,"Return","Sale")</f>
        <v>Sale</v>
      </c>
      <c r="M881">
        <f>IF(grocery_chain_data[[#This Row],[Final Amount]]&lt;0,0,grocery_chain_data[[#This Row],[Final Amount]])</f>
        <v>10</v>
      </c>
    </row>
    <row r="882" spans="1:13" x14ac:dyDescent="0.3">
      <c r="A882">
        <v>3600</v>
      </c>
      <c r="B882" t="s">
        <v>5</v>
      </c>
      <c r="C882" s="1">
        <v>45427</v>
      </c>
      <c r="D882" s="1" t="str">
        <f t="shared" si="13"/>
        <v>Dairy</v>
      </c>
      <c r="E882" t="s">
        <v>19</v>
      </c>
      <c r="F882" s="2">
        <v>2</v>
      </c>
      <c r="G882" s="3">
        <v>10</v>
      </c>
      <c r="H882" s="3">
        <f>grocery_chain_data[[#This Row],[Quantity]]*grocery_chain_data[[#This Row],[Unit Price]]</f>
        <v>20</v>
      </c>
      <c r="I882" s="3">
        <v>3</v>
      </c>
      <c r="J882" s="3">
        <f>grocery_chain_data[[#This Row],[Total Amount]]-grocery_chain_data[[#This Row],[Discount Amount]]</f>
        <v>17</v>
      </c>
      <c r="K882">
        <v>449</v>
      </c>
      <c r="L882" t="str">
        <f>IF(grocery_chain_data[[#This Row],[Final Amount]]&lt;0,"Return","Sale")</f>
        <v>Sale</v>
      </c>
      <c r="M882">
        <f>IF(grocery_chain_data[[#This Row],[Final Amount]]&lt;0,0,grocery_chain_data[[#This Row],[Final Amount]])</f>
        <v>17</v>
      </c>
    </row>
    <row r="883" spans="1:13" x14ac:dyDescent="0.3">
      <c r="A883">
        <v>7108</v>
      </c>
      <c r="B883" t="s">
        <v>5</v>
      </c>
      <c r="C883" s="1">
        <v>45857</v>
      </c>
      <c r="D883" s="1" t="str">
        <f t="shared" si="13"/>
        <v>Pantry</v>
      </c>
      <c r="E883" t="s">
        <v>1</v>
      </c>
      <c r="F883" s="2">
        <v>3</v>
      </c>
      <c r="G883" s="3">
        <v>13</v>
      </c>
      <c r="H883" s="3">
        <f>grocery_chain_data[[#This Row],[Quantity]]*grocery_chain_data[[#This Row],[Unit Price]]</f>
        <v>39</v>
      </c>
      <c r="I883" s="3">
        <v>2</v>
      </c>
      <c r="J883" s="3">
        <f>grocery_chain_data[[#This Row],[Total Amount]]-grocery_chain_data[[#This Row],[Discount Amount]]</f>
        <v>37</v>
      </c>
      <c r="K883">
        <v>466</v>
      </c>
      <c r="L883" t="str">
        <f>IF(grocery_chain_data[[#This Row],[Final Amount]]&lt;0,"Return","Sale")</f>
        <v>Sale</v>
      </c>
      <c r="M883">
        <f>IF(grocery_chain_data[[#This Row],[Final Amount]]&lt;0,0,grocery_chain_data[[#This Row],[Final Amount]])</f>
        <v>37</v>
      </c>
    </row>
    <row r="884" spans="1:13" x14ac:dyDescent="0.3">
      <c r="A884">
        <v>5634</v>
      </c>
      <c r="B884" t="s">
        <v>2</v>
      </c>
      <c r="C884" s="1">
        <v>45445</v>
      </c>
      <c r="D884" s="1" t="str">
        <f t="shared" si="13"/>
        <v>Bakery</v>
      </c>
      <c r="E884" t="s">
        <v>22</v>
      </c>
      <c r="F884" s="2">
        <v>5</v>
      </c>
      <c r="G884" s="3">
        <v>7</v>
      </c>
      <c r="H884" s="3">
        <f>grocery_chain_data[[#This Row],[Quantity]]*grocery_chain_data[[#This Row],[Unit Price]]</f>
        <v>35</v>
      </c>
      <c r="I884" s="3">
        <v>3</v>
      </c>
      <c r="J884" s="3">
        <f>grocery_chain_data[[#This Row],[Total Amount]]-grocery_chain_data[[#This Row],[Discount Amount]]</f>
        <v>32</v>
      </c>
      <c r="K884">
        <v>321</v>
      </c>
      <c r="L884" t="str">
        <f>IF(grocery_chain_data[[#This Row],[Final Amount]]&lt;0,"Return","Sale")</f>
        <v>Sale</v>
      </c>
      <c r="M884">
        <f>IF(grocery_chain_data[[#This Row],[Final Amount]]&lt;0,0,grocery_chain_data[[#This Row],[Final Amount]])</f>
        <v>32</v>
      </c>
    </row>
    <row r="885" spans="1:13" x14ac:dyDescent="0.3">
      <c r="A885">
        <v>7697</v>
      </c>
      <c r="B885" t="s">
        <v>5</v>
      </c>
      <c r="C885" s="1">
        <v>45746</v>
      </c>
      <c r="D885" s="1" t="str">
        <f t="shared" si="13"/>
        <v>Pantry</v>
      </c>
      <c r="E885" t="s">
        <v>6</v>
      </c>
      <c r="F885" s="2">
        <v>3</v>
      </c>
      <c r="G885" s="3">
        <v>25</v>
      </c>
      <c r="H885" s="3">
        <f>grocery_chain_data[[#This Row],[Quantity]]*grocery_chain_data[[#This Row],[Unit Price]]</f>
        <v>75</v>
      </c>
      <c r="I885" s="3">
        <v>11</v>
      </c>
      <c r="J885" s="3">
        <f>grocery_chain_data[[#This Row],[Total Amount]]-grocery_chain_data[[#This Row],[Discount Amount]]</f>
        <v>64</v>
      </c>
      <c r="K885">
        <v>350</v>
      </c>
      <c r="L885" t="str">
        <f>IF(grocery_chain_data[[#This Row],[Final Amount]]&lt;0,"Return","Sale")</f>
        <v>Sale</v>
      </c>
      <c r="M885">
        <f>IF(grocery_chain_data[[#This Row],[Final Amount]]&lt;0,0,grocery_chain_data[[#This Row],[Final Amount]])</f>
        <v>64</v>
      </c>
    </row>
    <row r="886" spans="1:13" x14ac:dyDescent="0.3">
      <c r="A886">
        <v>6543</v>
      </c>
      <c r="B886" t="s">
        <v>16</v>
      </c>
      <c r="C886" s="1">
        <v>45672</v>
      </c>
      <c r="D886" s="1" t="str">
        <f t="shared" si="13"/>
        <v>Produce</v>
      </c>
      <c r="E886" t="s">
        <v>4</v>
      </c>
      <c r="F886" s="2">
        <v>5</v>
      </c>
      <c r="G886" s="3">
        <v>11</v>
      </c>
      <c r="H886" s="3">
        <f>grocery_chain_data[[#This Row],[Quantity]]*grocery_chain_data[[#This Row],[Unit Price]]</f>
        <v>55</v>
      </c>
      <c r="I886" s="3">
        <v>11</v>
      </c>
      <c r="J886" s="3">
        <f>grocery_chain_data[[#This Row],[Total Amount]]-grocery_chain_data[[#This Row],[Discount Amount]]</f>
        <v>44</v>
      </c>
      <c r="K886">
        <v>73</v>
      </c>
      <c r="L886" t="str">
        <f>IF(grocery_chain_data[[#This Row],[Final Amount]]&lt;0,"Return","Sale")</f>
        <v>Sale</v>
      </c>
      <c r="M886">
        <f>IF(grocery_chain_data[[#This Row],[Final Amount]]&lt;0,0,grocery_chain_data[[#This Row],[Final Amount]])</f>
        <v>44</v>
      </c>
    </row>
    <row r="887" spans="1:13" x14ac:dyDescent="0.3">
      <c r="A887">
        <v>1857</v>
      </c>
      <c r="B887" t="s">
        <v>2</v>
      </c>
      <c r="C887" s="1">
        <v>45758</v>
      </c>
      <c r="D887" s="1" t="str">
        <f t="shared" si="13"/>
        <v>Beverages</v>
      </c>
      <c r="E887" t="s">
        <v>7</v>
      </c>
      <c r="F887" s="2">
        <v>4</v>
      </c>
      <c r="G887" s="3">
        <v>13</v>
      </c>
      <c r="H887" s="3">
        <f>grocery_chain_data[[#This Row],[Quantity]]*grocery_chain_data[[#This Row],[Unit Price]]</f>
        <v>52</v>
      </c>
      <c r="I887" s="3">
        <v>2</v>
      </c>
      <c r="J887" s="3">
        <f>grocery_chain_data[[#This Row],[Total Amount]]-grocery_chain_data[[#This Row],[Discount Amount]]</f>
        <v>50</v>
      </c>
      <c r="K887">
        <v>471</v>
      </c>
      <c r="L887" t="str">
        <f>IF(grocery_chain_data[[#This Row],[Final Amount]]&lt;0,"Return","Sale")</f>
        <v>Sale</v>
      </c>
      <c r="M887">
        <f>IF(grocery_chain_data[[#This Row],[Final Amount]]&lt;0,0,grocery_chain_data[[#This Row],[Final Amount]])</f>
        <v>50</v>
      </c>
    </row>
    <row r="888" spans="1:13" x14ac:dyDescent="0.3">
      <c r="A888">
        <v>6482</v>
      </c>
      <c r="B888" t="s">
        <v>2</v>
      </c>
      <c r="C888" s="1">
        <v>45196</v>
      </c>
      <c r="D888" s="1" t="str">
        <f t="shared" si="13"/>
        <v>Dairy</v>
      </c>
      <c r="E888" t="s">
        <v>23</v>
      </c>
      <c r="F888" s="2">
        <v>5</v>
      </c>
      <c r="G888" s="3">
        <v>19</v>
      </c>
      <c r="H888" s="3">
        <f>grocery_chain_data[[#This Row],[Quantity]]*grocery_chain_data[[#This Row],[Unit Price]]</f>
        <v>95</v>
      </c>
      <c r="I888" s="3">
        <v>9</v>
      </c>
      <c r="J888" s="3">
        <f>grocery_chain_data[[#This Row],[Total Amount]]-grocery_chain_data[[#This Row],[Discount Amount]]</f>
        <v>86</v>
      </c>
      <c r="K888">
        <v>425</v>
      </c>
      <c r="L888" t="str">
        <f>IF(grocery_chain_data[[#This Row],[Final Amount]]&lt;0,"Return","Sale")</f>
        <v>Sale</v>
      </c>
      <c r="M888">
        <f>IF(grocery_chain_data[[#This Row],[Final Amount]]&lt;0,0,grocery_chain_data[[#This Row],[Final Amount]])</f>
        <v>86</v>
      </c>
    </row>
    <row r="889" spans="1:13" x14ac:dyDescent="0.3">
      <c r="A889">
        <v>6401</v>
      </c>
      <c r="B889" t="s">
        <v>10</v>
      </c>
      <c r="C889" s="1">
        <v>45218</v>
      </c>
      <c r="D889" s="1" t="str">
        <f t="shared" si="13"/>
        <v>Meat &amp; Seafood</v>
      </c>
      <c r="E889" t="s">
        <v>26</v>
      </c>
      <c r="F889" s="2">
        <v>2</v>
      </c>
      <c r="G889" s="3">
        <v>28</v>
      </c>
      <c r="H889" s="3">
        <f>grocery_chain_data[[#This Row],[Quantity]]*grocery_chain_data[[#This Row],[Unit Price]]</f>
        <v>56</v>
      </c>
      <c r="I889" s="3">
        <v>8</v>
      </c>
      <c r="J889" s="3">
        <f>grocery_chain_data[[#This Row],[Total Amount]]-grocery_chain_data[[#This Row],[Discount Amount]]</f>
        <v>48</v>
      </c>
      <c r="K889">
        <v>245</v>
      </c>
      <c r="L889" t="str">
        <f>IF(grocery_chain_data[[#This Row],[Final Amount]]&lt;0,"Return","Sale")</f>
        <v>Sale</v>
      </c>
      <c r="M889">
        <f>IF(grocery_chain_data[[#This Row],[Final Amount]]&lt;0,0,grocery_chain_data[[#This Row],[Final Amount]])</f>
        <v>48</v>
      </c>
    </row>
    <row r="890" spans="1:13" x14ac:dyDescent="0.3">
      <c r="A890">
        <v>7333</v>
      </c>
      <c r="B890" t="s">
        <v>16</v>
      </c>
      <c r="C890" s="1">
        <v>45365</v>
      </c>
      <c r="D890" s="1" t="str">
        <f t="shared" si="13"/>
        <v>Meat &amp; Seafood</v>
      </c>
      <c r="E890" t="s">
        <v>15</v>
      </c>
      <c r="F890" s="2">
        <v>5</v>
      </c>
      <c r="G890" s="3">
        <v>16</v>
      </c>
      <c r="H890" s="3">
        <f>grocery_chain_data[[#This Row],[Quantity]]*grocery_chain_data[[#This Row],[Unit Price]]</f>
        <v>80</v>
      </c>
      <c r="I890" s="3">
        <v>16</v>
      </c>
      <c r="J890" s="3">
        <f>grocery_chain_data[[#This Row],[Total Amount]]-grocery_chain_data[[#This Row],[Discount Amount]]</f>
        <v>64</v>
      </c>
      <c r="K890">
        <v>496</v>
      </c>
      <c r="L890" t="str">
        <f>IF(grocery_chain_data[[#This Row],[Final Amount]]&lt;0,"Return","Sale")</f>
        <v>Sale</v>
      </c>
      <c r="M890">
        <f>IF(grocery_chain_data[[#This Row],[Final Amount]]&lt;0,0,grocery_chain_data[[#This Row],[Final Amount]])</f>
        <v>64</v>
      </c>
    </row>
    <row r="891" spans="1:13" x14ac:dyDescent="0.3">
      <c r="A891">
        <v>5128</v>
      </c>
      <c r="B891" t="s">
        <v>12</v>
      </c>
      <c r="C891" s="1">
        <v>45707</v>
      </c>
      <c r="D891" s="1" t="str">
        <f t="shared" si="13"/>
        <v>Meat &amp; Seafood</v>
      </c>
      <c r="E891" t="s">
        <v>26</v>
      </c>
      <c r="F891" s="2">
        <v>2</v>
      </c>
      <c r="G891" s="3">
        <v>5</v>
      </c>
      <c r="H891" s="3">
        <f>grocery_chain_data[[#This Row],[Quantity]]*grocery_chain_data[[#This Row],[Unit Price]]</f>
        <v>10</v>
      </c>
      <c r="I891" s="3">
        <v>0</v>
      </c>
      <c r="J891" s="3">
        <f>grocery_chain_data[[#This Row],[Total Amount]]-grocery_chain_data[[#This Row],[Discount Amount]]</f>
        <v>10</v>
      </c>
      <c r="K891">
        <v>355</v>
      </c>
      <c r="L891" t="str">
        <f>IF(grocery_chain_data[[#This Row],[Final Amount]]&lt;0,"Return","Sale")</f>
        <v>Sale</v>
      </c>
      <c r="M891">
        <f>IF(grocery_chain_data[[#This Row],[Final Amount]]&lt;0,0,grocery_chain_data[[#This Row],[Final Amount]])</f>
        <v>10</v>
      </c>
    </row>
    <row r="892" spans="1:13" x14ac:dyDescent="0.3">
      <c r="A892">
        <v>3463</v>
      </c>
      <c r="B892" t="s">
        <v>21</v>
      </c>
      <c r="C892" s="1">
        <v>45403</v>
      </c>
      <c r="D892" s="1" t="str">
        <f t="shared" si="13"/>
        <v>Dairy</v>
      </c>
      <c r="E892" t="s">
        <v>20</v>
      </c>
      <c r="F892" s="2">
        <v>2</v>
      </c>
      <c r="G892" s="3">
        <v>5</v>
      </c>
      <c r="H892" s="3">
        <f>grocery_chain_data[[#This Row],[Quantity]]*grocery_chain_data[[#This Row],[Unit Price]]</f>
        <v>10</v>
      </c>
      <c r="I892" s="3">
        <v>0</v>
      </c>
      <c r="J892" s="3">
        <f>grocery_chain_data[[#This Row],[Total Amount]]-grocery_chain_data[[#This Row],[Discount Amount]]</f>
        <v>10</v>
      </c>
      <c r="K892">
        <v>40</v>
      </c>
      <c r="L892" t="str">
        <f>IF(grocery_chain_data[[#This Row],[Final Amount]]&lt;0,"Return","Sale")</f>
        <v>Sale</v>
      </c>
      <c r="M892">
        <f>IF(grocery_chain_data[[#This Row],[Final Amount]]&lt;0,0,grocery_chain_data[[#This Row],[Final Amount]])</f>
        <v>10</v>
      </c>
    </row>
    <row r="893" spans="1:13" x14ac:dyDescent="0.3">
      <c r="A893">
        <v>2335</v>
      </c>
      <c r="B893" t="s">
        <v>0</v>
      </c>
      <c r="C893" s="1">
        <v>45597</v>
      </c>
      <c r="D893" s="1" t="str">
        <f t="shared" si="13"/>
        <v>Produce</v>
      </c>
      <c r="E893" t="s">
        <v>18</v>
      </c>
      <c r="F893" s="2">
        <v>4</v>
      </c>
      <c r="G893" s="3">
        <v>23</v>
      </c>
      <c r="H893" s="3">
        <f>grocery_chain_data[[#This Row],[Quantity]]*grocery_chain_data[[#This Row],[Unit Price]]</f>
        <v>92</v>
      </c>
      <c r="I893" s="3">
        <v>1</v>
      </c>
      <c r="J893" s="3">
        <f>grocery_chain_data[[#This Row],[Total Amount]]-grocery_chain_data[[#This Row],[Discount Amount]]</f>
        <v>91</v>
      </c>
      <c r="K893">
        <v>21</v>
      </c>
      <c r="L893" t="str">
        <f>IF(grocery_chain_data[[#This Row],[Final Amount]]&lt;0,"Return","Sale")</f>
        <v>Sale</v>
      </c>
      <c r="M893">
        <f>IF(grocery_chain_data[[#This Row],[Final Amount]]&lt;0,0,grocery_chain_data[[#This Row],[Final Amount]])</f>
        <v>91</v>
      </c>
    </row>
    <row r="894" spans="1:13" x14ac:dyDescent="0.3">
      <c r="A894">
        <v>3317</v>
      </c>
      <c r="B894" t="s">
        <v>2</v>
      </c>
      <c r="C894" s="1">
        <v>45857</v>
      </c>
      <c r="D894" s="1" t="str">
        <f t="shared" si="13"/>
        <v>Dairy</v>
      </c>
      <c r="E894" t="s">
        <v>19</v>
      </c>
      <c r="F894" s="2">
        <v>4</v>
      </c>
      <c r="G894" s="3">
        <v>4</v>
      </c>
      <c r="H894" s="3">
        <f>grocery_chain_data[[#This Row],[Quantity]]*grocery_chain_data[[#This Row],[Unit Price]]</f>
        <v>16</v>
      </c>
      <c r="I894" s="3">
        <v>2</v>
      </c>
      <c r="J894" s="3">
        <f>grocery_chain_data[[#This Row],[Total Amount]]-grocery_chain_data[[#This Row],[Discount Amount]]</f>
        <v>14</v>
      </c>
      <c r="K894">
        <v>129</v>
      </c>
      <c r="L894" t="str">
        <f>IF(grocery_chain_data[[#This Row],[Final Amount]]&lt;0,"Return","Sale")</f>
        <v>Sale</v>
      </c>
      <c r="M894">
        <f>IF(grocery_chain_data[[#This Row],[Final Amount]]&lt;0,0,grocery_chain_data[[#This Row],[Final Amount]])</f>
        <v>14</v>
      </c>
    </row>
    <row r="895" spans="1:13" x14ac:dyDescent="0.3">
      <c r="A895">
        <v>6731</v>
      </c>
      <c r="B895" t="s">
        <v>13</v>
      </c>
      <c r="C895" s="1">
        <v>45385</v>
      </c>
      <c r="D895" s="1" t="str">
        <f t="shared" si="13"/>
        <v>Meat &amp; Seafood</v>
      </c>
      <c r="E895" t="s">
        <v>26</v>
      </c>
      <c r="F895" s="2">
        <v>5</v>
      </c>
      <c r="G895" s="3">
        <v>7</v>
      </c>
      <c r="H895" s="3">
        <f>grocery_chain_data[[#This Row],[Quantity]]*grocery_chain_data[[#This Row],[Unit Price]]</f>
        <v>35</v>
      </c>
      <c r="I895" s="3">
        <v>7</v>
      </c>
      <c r="J895" s="3">
        <f>grocery_chain_data[[#This Row],[Total Amount]]-grocery_chain_data[[#This Row],[Discount Amount]]</f>
        <v>28</v>
      </c>
      <c r="K895">
        <v>461</v>
      </c>
      <c r="L895" t="str">
        <f>IF(grocery_chain_data[[#This Row],[Final Amount]]&lt;0,"Return","Sale")</f>
        <v>Sale</v>
      </c>
      <c r="M895">
        <f>IF(grocery_chain_data[[#This Row],[Final Amount]]&lt;0,0,grocery_chain_data[[#This Row],[Final Amount]])</f>
        <v>28</v>
      </c>
    </row>
    <row r="896" spans="1:13" x14ac:dyDescent="0.3">
      <c r="A896">
        <v>7421</v>
      </c>
      <c r="B896" t="s">
        <v>16</v>
      </c>
      <c r="C896" s="1">
        <v>45245</v>
      </c>
      <c r="D896" s="1" t="str">
        <f t="shared" si="13"/>
        <v>Bakery</v>
      </c>
      <c r="E896" t="s">
        <v>22</v>
      </c>
      <c r="F896" s="2">
        <v>2</v>
      </c>
      <c r="G896" s="3">
        <v>26</v>
      </c>
      <c r="H896" s="3">
        <f>grocery_chain_data[[#This Row],[Quantity]]*grocery_chain_data[[#This Row],[Unit Price]]</f>
        <v>52</v>
      </c>
      <c r="I896" s="3">
        <v>2</v>
      </c>
      <c r="J896" s="3">
        <f>grocery_chain_data[[#This Row],[Total Amount]]-grocery_chain_data[[#This Row],[Discount Amount]]</f>
        <v>50</v>
      </c>
      <c r="K896">
        <v>482</v>
      </c>
      <c r="L896" t="str">
        <f>IF(grocery_chain_data[[#This Row],[Final Amount]]&lt;0,"Return","Sale")</f>
        <v>Sale</v>
      </c>
      <c r="M896">
        <f>IF(grocery_chain_data[[#This Row],[Final Amount]]&lt;0,0,grocery_chain_data[[#This Row],[Final Amount]])</f>
        <v>50</v>
      </c>
    </row>
    <row r="897" spans="1:13" x14ac:dyDescent="0.3">
      <c r="A897">
        <v>2388</v>
      </c>
      <c r="B897" t="s">
        <v>5</v>
      </c>
      <c r="C897" s="1">
        <v>45385</v>
      </c>
      <c r="D897" s="1" t="str">
        <f t="shared" si="13"/>
        <v>Meat &amp; Seafood</v>
      </c>
      <c r="E897" t="s">
        <v>9</v>
      </c>
      <c r="F897" s="2">
        <v>5</v>
      </c>
      <c r="G897" s="3">
        <v>18</v>
      </c>
      <c r="H897" s="3">
        <f>grocery_chain_data[[#This Row],[Quantity]]*grocery_chain_data[[#This Row],[Unit Price]]</f>
        <v>90</v>
      </c>
      <c r="I897" s="3">
        <v>2</v>
      </c>
      <c r="J897" s="3">
        <f>grocery_chain_data[[#This Row],[Total Amount]]-grocery_chain_data[[#This Row],[Discount Amount]]</f>
        <v>88</v>
      </c>
      <c r="K897">
        <v>50</v>
      </c>
      <c r="L897" t="str">
        <f>IF(grocery_chain_data[[#This Row],[Final Amount]]&lt;0,"Return","Sale")</f>
        <v>Sale</v>
      </c>
      <c r="M897">
        <f>IF(grocery_chain_data[[#This Row],[Final Amount]]&lt;0,0,grocery_chain_data[[#This Row],[Final Amount]])</f>
        <v>88</v>
      </c>
    </row>
    <row r="898" spans="1:13" x14ac:dyDescent="0.3">
      <c r="A898">
        <v>7171</v>
      </c>
      <c r="B898" t="s">
        <v>21</v>
      </c>
      <c r="C898" s="1">
        <v>45644</v>
      </c>
      <c r="D898" s="1" t="str">
        <f t="shared" ref="D898:D961" si="14">IF(E898="Pasta","Pantry",
IF(E898="Cheese","Dairy",
IF(E898="Onions","Produce",
IF(E898="Cereal","Pantry",
IF(E898="Orange Juice","Beverages",
IF(E898="Ground Beef","Meat &amp; Seafood",
IF(E898="Apples","Produce",
IF(E898="Milk","Dairy",
IF(E898="Bananas","Produce",
IF(E898="Bread","Bakery",
IF(E898="Carrots","Produce",
IF(E898="Chicken Breast","Meat &amp; Seafood",
IF(E898="Eggs","Dairy",
IF(E898="Potatoes","Produce",
IF(E898="Rice","Produce",
IF(E898="Salmon","Meat &amp; Seafood",
IF(E898="Tomatoes","Produce",
IF(E898="Yogurt","Dairy",
"Others"))))))))))))))))))</f>
        <v>Produce</v>
      </c>
      <c r="E898" t="s">
        <v>11</v>
      </c>
      <c r="F898" s="2">
        <v>5</v>
      </c>
      <c r="G898" s="3">
        <v>1</v>
      </c>
      <c r="H898" s="3">
        <f>grocery_chain_data[[#This Row],[Quantity]]*grocery_chain_data[[#This Row],[Unit Price]]</f>
        <v>5</v>
      </c>
      <c r="I898" s="3">
        <v>1</v>
      </c>
      <c r="J898" s="3">
        <f>grocery_chain_data[[#This Row],[Total Amount]]-grocery_chain_data[[#This Row],[Discount Amount]]</f>
        <v>4</v>
      </c>
      <c r="K898">
        <v>371</v>
      </c>
      <c r="L898" t="str">
        <f>IF(grocery_chain_data[[#This Row],[Final Amount]]&lt;0,"Return","Sale")</f>
        <v>Sale</v>
      </c>
      <c r="M898">
        <f>IF(grocery_chain_data[[#This Row],[Final Amount]]&lt;0,0,grocery_chain_data[[#This Row],[Final Amount]])</f>
        <v>4</v>
      </c>
    </row>
    <row r="899" spans="1:13" x14ac:dyDescent="0.3">
      <c r="A899">
        <v>6381</v>
      </c>
      <c r="B899" t="s">
        <v>2</v>
      </c>
      <c r="C899" s="1">
        <v>45776</v>
      </c>
      <c r="D899" s="1" t="str">
        <f t="shared" si="14"/>
        <v>Beverages</v>
      </c>
      <c r="E899" t="s">
        <v>7</v>
      </c>
      <c r="F899" s="2">
        <v>5</v>
      </c>
      <c r="G899" s="3">
        <v>6</v>
      </c>
      <c r="H899" s="3">
        <f>grocery_chain_data[[#This Row],[Quantity]]*grocery_chain_data[[#This Row],[Unit Price]]</f>
        <v>30</v>
      </c>
      <c r="I899" s="3">
        <v>6</v>
      </c>
      <c r="J899" s="3">
        <f>grocery_chain_data[[#This Row],[Total Amount]]-grocery_chain_data[[#This Row],[Discount Amount]]</f>
        <v>24</v>
      </c>
      <c r="K899">
        <v>344</v>
      </c>
      <c r="L899" t="str">
        <f>IF(grocery_chain_data[[#This Row],[Final Amount]]&lt;0,"Return","Sale")</f>
        <v>Sale</v>
      </c>
      <c r="M899">
        <f>IF(grocery_chain_data[[#This Row],[Final Amount]]&lt;0,0,grocery_chain_data[[#This Row],[Final Amount]])</f>
        <v>24</v>
      </c>
    </row>
    <row r="900" spans="1:13" x14ac:dyDescent="0.3">
      <c r="A900">
        <v>3093</v>
      </c>
      <c r="B900" t="s">
        <v>16</v>
      </c>
      <c r="C900" s="1">
        <v>45665</v>
      </c>
      <c r="D900" s="1" t="str">
        <f t="shared" si="14"/>
        <v>Dairy</v>
      </c>
      <c r="E900" t="s">
        <v>3</v>
      </c>
      <c r="F900" s="2">
        <v>2</v>
      </c>
      <c r="G900" s="3">
        <v>16</v>
      </c>
      <c r="H900" s="3">
        <f>grocery_chain_data[[#This Row],[Quantity]]*grocery_chain_data[[#This Row],[Unit Price]]</f>
        <v>32</v>
      </c>
      <c r="I900" s="3">
        <v>5</v>
      </c>
      <c r="J900" s="3">
        <f>grocery_chain_data[[#This Row],[Total Amount]]-grocery_chain_data[[#This Row],[Discount Amount]]</f>
        <v>27</v>
      </c>
      <c r="K900">
        <v>208</v>
      </c>
      <c r="L900" t="str">
        <f>IF(grocery_chain_data[[#This Row],[Final Amount]]&lt;0,"Return","Sale")</f>
        <v>Sale</v>
      </c>
      <c r="M900">
        <f>IF(grocery_chain_data[[#This Row],[Final Amount]]&lt;0,0,grocery_chain_data[[#This Row],[Final Amount]])</f>
        <v>27</v>
      </c>
    </row>
    <row r="901" spans="1:13" x14ac:dyDescent="0.3">
      <c r="A901">
        <v>9624</v>
      </c>
      <c r="B901" t="s">
        <v>0</v>
      </c>
      <c r="C901" s="1">
        <v>45217</v>
      </c>
      <c r="D901" s="1" t="str">
        <f t="shared" si="14"/>
        <v>Meat &amp; Seafood</v>
      </c>
      <c r="E901" t="s">
        <v>26</v>
      </c>
      <c r="F901" s="2">
        <v>5</v>
      </c>
      <c r="G901" s="3">
        <v>5</v>
      </c>
      <c r="H901" s="3">
        <f>grocery_chain_data[[#This Row],[Quantity]]*grocery_chain_data[[#This Row],[Unit Price]]</f>
        <v>25</v>
      </c>
      <c r="I901" s="3">
        <v>0</v>
      </c>
      <c r="J901" s="3">
        <f>grocery_chain_data[[#This Row],[Total Amount]]-grocery_chain_data[[#This Row],[Discount Amount]]</f>
        <v>25</v>
      </c>
      <c r="K901">
        <v>390</v>
      </c>
      <c r="L901" t="str">
        <f>IF(grocery_chain_data[[#This Row],[Final Amount]]&lt;0,"Return","Sale")</f>
        <v>Sale</v>
      </c>
      <c r="M901">
        <f>IF(grocery_chain_data[[#This Row],[Final Amount]]&lt;0,0,grocery_chain_data[[#This Row],[Final Amount]])</f>
        <v>25</v>
      </c>
    </row>
    <row r="902" spans="1:13" x14ac:dyDescent="0.3">
      <c r="A902">
        <v>7937</v>
      </c>
      <c r="B902" t="s">
        <v>12</v>
      </c>
      <c r="C902" s="1">
        <v>45539</v>
      </c>
      <c r="D902" s="1" t="str">
        <f t="shared" si="14"/>
        <v>Dairy</v>
      </c>
      <c r="E902" t="s">
        <v>19</v>
      </c>
      <c r="F902" s="2">
        <v>1</v>
      </c>
      <c r="G902" s="3">
        <v>11</v>
      </c>
      <c r="H902" s="3">
        <f>grocery_chain_data[[#This Row],[Quantity]]*grocery_chain_data[[#This Row],[Unit Price]]</f>
        <v>11</v>
      </c>
      <c r="I902" s="3">
        <v>2</v>
      </c>
      <c r="J902" s="3">
        <f>grocery_chain_data[[#This Row],[Total Amount]]-grocery_chain_data[[#This Row],[Discount Amount]]</f>
        <v>9</v>
      </c>
      <c r="K902">
        <v>59</v>
      </c>
      <c r="L902" t="str">
        <f>IF(grocery_chain_data[[#This Row],[Final Amount]]&lt;0,"Return","Sale")</f>
        <v>Sale</v>
      </c>
      <c r="M902">
        <f>IF(grocery_chain_data[[#This Row],[Final Amount]]&lt;0,0,grocery_chain_data[[#This Row],[Final Amount]])</f>
        <v>9</v>
      </c>
    </row>
    <row r="903" spans="1:13" x14ac:dyDescent="0.3">
      <c r="A903">
        <v>6928</v>
      </c>
      <c r="B903" t="s">
        <v>10</v>
      </c>
      <c r="C903" s="1">
        <v>45159</v>
      </c>
      <c r="D903" s="1" t="str">
        <f t="shared" si="14"/>
        <v>Produce</v>
      </c>
      <c r="E903" t="s">
        <v>17</v>
      </c>
      <c r="F903" s="2">
        <v>4</v>
      </c>
      <c r="G903" s="3">
        <v>8</v>
      </c>
      <c r="H903" s="3">
        <f>grocery_chain_data[[#This Row],[Quantity]]*grocery_chain_data[[#This Row],[Unit Price]]</f>
        <v>32</v>
      </c>
      <c r="I903" s="3">
        <v>3</v>
      </c>
      <c r="J903" s="3">
        <f>grocery_chain_data[[#This Row],[Total Amount]]-grocery_chain_data[[#This Row],[Discount Amount]]</f>
        <v>29</v>
      </c>
      <c r="K903">
        <v>208</v>
      </c>
      <c r="L903" t="str">
        <f>IF(grocery_chain_data[[#This Row],[Final Amount]]&lt;0,"Return","Sale")</f>
        <v>Sale</v>
      </c>
      <c r="M903">
        <f>IF(grocery_chain_data[[#This Row],[Final Amount]]&lt;0,0,grocery_chain_data[[#This Row],[Final Amount]])</f>
        <v>29</v>
      </c>
    </row>
    <row r="904" spans="1:13" x14ac:dyDescent="0.3">
      <c r="A904">
        <v>6940</v>
      </c>
      <c r="B904" t="s">
        <v>21</v>
      </c>
      <c r="C904" s="1">
        <v>45384</v>
      </c>
      <c r="D904" s="1" t="str">
        <f t="shared" si="14"/>
        <v>Produce</v>
      </c>
      <c r="E904" t="s">
        <v>25</v>
      </c>
      <c r="F904" s="2">
        <v>3</v>
      </c>
      <c r="G904" s="3">
        <v>6</v>
      </c>
      <c r="H904" s="3">
        <f>grocery_chain_data[[#This Row],[Quantity]]*grocery_chain_data[[#This Row],[Unit Price]]</f>
        <v>18</v>
      </c>
      <c r="I904" s="3">
        <v>0</v>
      </c>
      <c r="J904" s="3">
        <f>grocery_chain_data[[#This Row],[Total Amount]]-grocery_chain_data[[#This Row],[Discount Amount]]</f>
        <v>18</v>
      </c>
      <c r="K904">
        <v>345</v>
      </c>
      <c r="L904" t="str">
        <f>IF(grocery_chain_data[[#This Row],[Final Amount]]&lt;0,"Return","Sale")</f>
        <v>Sale</v>
      </c>
      <c r="M904">
        <f>IF(grocery_chain_data[[#This Row],[Final Amount]]&lt;0,0,grocery_chain_data[[#This Row],[Final Amount]])</f>
        <v>18</v>
      </c>
    </row>
    <row r="905" spans="1:13" x14ac:dyDescent="0.3">
      <c r="A905">
        <v>3953</v>
      </c>
      <c r="B905" t="s">
        <v>0</v>
      </c>
      <c r="C905" s="1">
        <v>45311</v>
      </c>
      <c r="D905" s="1" t="str">
        <f t="shared" si="14"/>
        <v>Meat &amp; Seafood</v>
      </c>
      <c r="E905" t="s">
        <v>15</v>
      </c>
      <c r="F905" s="2">
        <v>5</v>
      </c>
      <c r="G905" s="3">
        <v>20</v>
      </c>
      <c r="H905" s="3">
        <f>grocery_chain_data[[#This Row],[Quantity]]*grocery_chain_data[[#This Row],[Unit Price]]</f>
        <v>100</v>
      </c>
      <c r="I905" s="3">
        <v>20</v>
      </c>
      <c r="J905" s="3">
        <f>grocery_chain_data[[#This Row],[Total Amount]]-grocery_chain_data[[#This Row],[Discount Amount]]</f>
        <v>80</v>
      </c>
      <c r="K905">
        <v>43</v>
      </c>
      <c r="L905" t="str">
        <f>IF(grocery_chain_data[[#This Row],[Final Amount]]&lt;0,"Return","Sale")</f>
        <v>Sale</v>
      </c>
      <c r="M905">
        <f>IF(grocery_chain_data[[#This Row],[Final Amount]]&lt;0,0,grocery_chain_data[[#This Row],[Final Amount]])</f>
        <v>80</v>
      </c>
    </row>
    <row r="906" spans="1:13" x14ac:dyDescent="0.3">
      <c r="A906">
        <v>6598</v>
      </c>
      <c r="B906" t="s">
        <v>8</v>
      </c>
      <c r="C906" s="1">
        <v>45740</v>
      </c>
      <c r="D906" s="1" t="str">
        <f t="shared" si="14"/>
        <v>Meat &amp; Seafood</v>
      </c>
      <c r="E906" t="s">
        <v>26</v>
      </c>
      <c r="F906" s="2">
        <v>2</v>
      </c>
      <c r="G906" s="3">
        <v>3</v>
      </c>
      <c r="H906" s="3">
        <f>grocery_chain_data[[#This Row],[Quantity]]*grocery_chain_data[[#This Row],[Unit Price]]</f>
        <v>6</v>
      </c>
      <c r="I906" s="3">
        <v>1</v>
      </c>
      <c r="J906" s="3">
        <f>grocery_chain_data[[#This Row],[Total Amount]]-grocery_chain_data[[#This Row],[Discount Amount]]</f>
        <v>5</v>
      </c>
      <c r="K906">
        <v>499</v>
      </c>
      <c r="L906" t="str">
        <f>IF(grocery_chain_data[[#This Row],[Final Amount]]&lt;0,"Return","Sale")</f>
        <v>Sale</v>
      </c>
      <c r="M906">
        <f>IF(grocery_chain_data[[#This Row],[Final Amount]]&lt;0,0,grocery_chain_data[[#This Row],[Final Amount]])</f>
        <v>5</v>
      </c>
    </row>
    <row r="907" spans="1:13" x14ac:dyDescent="0.3">
      <c r="A907">
        <v>8967</v>
      </c>
      <c r="B907" t="s">
        <v>21</v>
      </c>
      <c r="C907" s="1">
        <v>45294</v>
      </c>
      <c r="D907" s="1" t="str">
        <f t="shared" si="14"/>
        <v>Produce</v>
      </c>
      <c r="E907" t="s">
        <v>14</v>
      </c>
      <c r="F907" s="2">
        <v>1</v>
      </c>
      <c r="G907" s="3">
        <v>8</v>
      </c>
      <c r="H907" s="3">
        <f>grocery_chain_data[[#This Row],[Quantity]]*grocery_chain_data[[#This Row],[Unit Price]]</f>
        <v>8</v>
      </c>
      <c r="I907" s="3">
        <v>1</v>
      </c>
      <c r="J907" s="3">
        <f>grocery_chain_data[[#This Row],[Total Amount]]-grocery_chain_data[[#This Row],[Discount Amount]]</f>
        <v>7</v>
      </c>
      <c r="K907">
        <v>217</v>
      </c>
      <c r="L907" t="str">
        <f>IF(grocery_chain_data[[#This Row],[Final Amount]]&lt;0,"Return","Sale")</f>
        <v>Sale</v>
      </c>
      <c r="M907">
        <f>IF(grocery_chain_data[[#This Row],[Final Amount]]&lt;0,0,grocery_chain_data[[#This Row],[Final Amount]])</f>
        <v>7</v>
      </c>
    </row>
    <row r="908" spans="1:13" x14ac:dyDescent="0.3">
      <c r="A908">
        <v>4711</v>
      </c>
      <c r="B908" t="s">
        <v>12</v>
      </c>
      <c r="C908" s="1">
        <v>45251</v>
      </c>
      <c r="D908" s="1" t="str">
        <f t="shared" si="14"/>
        <v>Produce</v>
      </c>
      <c r="E908" t="s">
        <v>14</v>
      </c>
      <c r="F908" s="2">
        <v>3</v>
      </c>
      <c r="G908" s="3">
        <v>15</v>
      </c>
      <c r="H908" s="3">
        <f>grocery_chain_data[[#This Row],[Quantity]]*grocery_chain_data[[#This Row],[Unit Price]]</f>
        <v>45</v>
      </c>
      <c r="I908" s="3">
        <v>4</v>
      </c>
      <c r="J908" s="3">
        <f>grocery_chain_data[[#This Row],[Total Amount]]-grocery_chain_data[[#This Row],[Discount Amount]]</f>
        <v>41</v>
      </c>
      <c r="K908">
        <v>308</v>
      </c>
      <c r="L908" t="str">
        <f>IF(grocery_chain_data[[#This Row],[Final Amount]]&lt;0,"Return","Sale")</f>
        <v>Sale</v>
      </c>
      <c r="M908">
        <f>IF(grocery_chain_data[[#This Row],[Final Amount]]&lt;0,0,grocery_chain_data[[#This Row],[Final Amount]])</f>
        <v>41</v>
      </c>
    </row>
    <row r="909" spans="1:13" x14ac:dyDescent="0.3">
      <c r="A909">
        <v>3538</v>
      </c>
      <c r="B909" t="s">
        <v>2</v>
      </c>
      <c r="C909" s="1">
        <v>45204</v>
      </c>
      <c r="D909" s="1" t="str">
        <f t="shared" si="14"/>
        <v>Dairy</v>
      </c>
      <c r="E909" t="s">
        <v>20</v>
      </c>
      <c r="F909" s="2">
        <v>4</v>
      </c>
      <c r="G909" s="3">
        <v>4</v>
      </c>
      <c r="H909" s="3">
        <f>grocery_chain_data[[#This Row],[Quantity]]*grocery_chain_data[[#This Row],[Unit Price]]</f>
        <v>16</v>
      </c>
      <c r="I909" s="3">
        <v>2</v>
      </c>
      <c r="J909" s="3">
        <f>grocery_chain_data[[#This Row],[Total Amount]]-grocery_chain_data[[#This Row],[Discount Amount]]</f>
        <v>14</v>
      </c>
      <c r="K909">
        <v>128</v>
      </c>
      <c r="L909" t="str">
        <f>IF(grocery_chain_data[[#This Row],[Final Amount]]&lt;0,"Return","Sale")</f>
        <v>Sale</v>
      </c>
      <c r="M909">
        <f>IF(grocery_chain_data[[#This Row],[Final Amount]]&lt;0,0,grocery_chain_data[[#This Row],[Final Amount]])</f>
        <v>14</v>
      </c>
    </row>
    <row r="910" spans="1:13" x14ac:dyDescent="0.3">
      <c r="A910">
        <v>5846</v>
      </c>
      <c r="B910" t="s">
        <v>21</v>
      </c>
      <c r="C910" s="1">
        <v>45800</v>
      </c>
      <c r="D910" s="1" t="str">
        <f t="shared" si="14"/>
        <v>Dairy</v>
      </c>
      <c r="E910" t="s">
        <v>20</v>
      </c>
      <c r="F910" s="2">
        <v>1</v>
      </c>
      <c r="G910" s="3">
        <v>4</v>
      </c>
      <c r="H910" s="3">
        <f>grocery_chain_data[[#This Row],[Quantity]]*grocery_chain_data[[#This Row],[Unit Price]]</f>
        <v>4</v>
      </c>
      <c r="I910" s="3">
        <v>0</v>
      </c>
      <c r="J910" s="3">
        <f>grocery_chain_data[[#This Row],[Total Amount]]-grocery_chain_data[[#This Row],[Discount Amount]]</f>
        <v>4</v>
      </c>
      <c r="K910">
        <v>27</v>
      </c>
      <c r="L910" t="str">
        <f>IF(grocery_chain_data[[#This Row],[Final Amount]]&lt;0,"Return","Sale")</f>
        <v>Sale</v>
      </c>
      <c r="M910">
        <f>IF(grocery_chain_data[[#This Row],[Final Amount]]&lt;0,0,grocery_chain_data[[#This Row],[Final Amount]])</f>
        <v>4</v>
      </c>
    </row>
    <row r="911" spans="1:13" x14ac:dyDescent="0.3">
      <c r="A911">
        <v>2657</v>
      </c>
      <c r="B911" t="s">
        <v>13</v>
      </c>
      <c r="C911" s="1">
        <v>45539</v>
      </c>
      <c r="D911" s="1" t="str">
        <f t="shared" si="14"/>
        <v>Produce</v>
      </c>
      <c r="E911" t="s">
        <v>14</v>
      </c>
      <c r="F911" s="2">
        <v>5</v>
      </c>
      <c r="G911" s="3">
        <v>21</v>
      </c>
      <c r="H911" s="3">
        <f>grocery_chain_data[[#This Row],[Quantity]]*grocery_chain_data[[#This Row],[Unit Price]]</f>
        <v>105</v>
      </c>
      <c r="I911" s="3">
        <v>3</v>
      </c>
      <c r="J911" s="3">
        <f>grocery_chain_data[[#This Row],[Total Amount]]-grocery_chain_data[[#This Row],[Discount Amount]]</f>
        <v>102</v>
      </c>
      <c r="K911">
        <v>78</v>
      </c>
      <c r="L911" t="str">
        <f>IF(grocery_chain_data[[#This Row],[Final Amount]]&lt;0,"Return","Sale")</f>
        <v>Sale</v>
      </c>
      <c r="M911">
        <f>IF(grocery_chain_data[[#This Row],[Final Amount]]&lt;0,0,grocery_chain_data[[#This Row],[Final Amount]])</f>
        <v>102</v>
      </c>
    </row>
    <row r="912" spans="1:13" x14ac:dyDescent="0.3">
      <c r="A912">
        <v>9843</v>
      </c>
      <c r="B912" t="s">
        <v>0</v>
      </c>
      <c r="C912" s="1">
        <v>45793</v>
      </c>
      <c r="D912" s="1" t="str">
        <f t="shared" si="14"/>
        <v>Produce</v>
      </c>
      <c r="E912" t="s">
        <v>24</v>
      </c>
      <c r="F912" s="2">
        <v>4</v>
      </c>
      <c r="G912" s="3">
        <v>24</v>
      </c>
      <c r="H912" s="3">
        <f>grocery_chain_data[[#This Row],[Quantity]]*grocery_chain_data[[#This Row],[Unit Price]]</f>
        <v>96</v>
      </c>
      <c r="I912" s="3">
        <v>0</v>
      </c>
      <c r="J912" s="3">
        <f>grocery_chain_data[[#This Row],[Total Amount]]-grocery_chain_data[[#This Row],[Discount Amount]]</f>
        <v>96</v>
      </c>
      <c r="K912">
        <v>103</v>
      </c>
      <c r="L912" t="str">
        <f>IF(grocery_chain_data[[#This Row],[Final Amount]]&lt;0,"Return","Sale")</f>
        <v>Sale</v>
      </c>
      <c r="M912">
        <f>IF(grocery_chain_data[[#This Row],[Final Amount]]&lt;0,0,grocery_chain_data[[#This Row],[Final Amount]])</f>
        <v>96</v>
      </c>
    </row>
    <row r="913" spans="1:13" x14ac:dyDescent="0.3">
      <c r="A913">
        <v>9626</v>
      </c>
      <c r="B913" t="s">
        <v>10</v>
      </c>
      <c r="C913" s="1">
        <v>45174</v>
      </c>
      <c r="D913" s="1" t="str">
        <f t="shared" si="14"/>
        <v>Produce</v>
      </c>
      <c r="E913" t="s">
        <v>24</v>
      </c>
      <c r="F913" s="2">
        <v>3</v>
      </c>
      <c r="G913" s="3">
        <v>17</v>
      </c>
      <c r="H913" s="3">
        <f>grocery_chain_data[[#This Row],[Quantity]]*grocery_chain_data[[#This Row],[Unit Price]]</f>
        <v>51</v>
      </c>
      <c r="I913" s="3">
        <v>5</v>
      </c>
      <c r="J913" s="3">
        <f>grocery_chain_data[[#This Row],[Total Amount]]-grocery_chain_data[[#This Row],[Discount Amount]]</f>
        <v>46</v>
      </c>
      <c r="K913">
        <v>414</v>
      </c>
      <c r="L913" t="str">
        <f>IF(grocery_chain_data[[#This Row],[Final Amount]]&lt;0,"Return","Sale")</f>
        <v>Sale</v>
      </c>
      <c r="M913">
        <f>IF(grocery_chain_data[[#This Row],[Final Amount]]&lt;0,0,grocery_chain_data[[#This Row],[Final Amount]])</f>
        <v>46</v>
      </c>
    </row>
    <row r="914" spans="1:13" x14ac:dyDescent="0.3">
      <c r="A914">
        <v>6517</v>
      </c>
      <c r="B914" t="s">
        <v>0</v>
      </c>
      <c r="C914" s="1">
        <v>45825</v>
      </c>
      <c r="D914" s="1" t="str">
        <f t="shared" si="14"/>
        <v>Meat &amp; Seafood</v>
      </c>
      <c r="E914" t="s">
        <v>15</v>
      </c>
      <c r="F914" s="2">
        <v>3</v>
      </c>
      <c r="G914" s="3">
        <v>26</v>
      </c>
      <c r="H914" s="3">
        <f>grocery_chain_data[[#This Row],[Quantity]]*grocery_chain_data[[#This Row],[Unit Price]]</f>
        <v>78</v>
      </c>
      <c r="I914" s="3">
        <v>1</v>
      </c>
      <c r="J914" s="3">
        <f>grocery_chain_data[[#This Row],[Total Amount]]-grocery_chain_data[[#This Row],[Discount Amount]]</f>
        <v>77</v>
      </c>
      <c r="K914">
        <v>226</v>
      </c>
      <c r="L914" t="str">
        <f>IF(grocery_chain_data[[#This Row],[Final Amount]]&lt;0,"Return","Sale")</f>
        <v>Sale</v>
      </c>
      <c r="M914">
        <f>IF(grocery_chain_data[[#This Row],[Final Amount]]&lt;0,0,grocery_chain_data[[#This Row],[Final Amount]])</f>
        <v>77</v>
      </c>
    </row>
    <row r="915" spans="1:13" x14ac:dyDescent="0.3">
      <c r="A915">
        <v>3147</v>
      </c>
      <c r="B915" t="s">
        <v>2</v>
      </c>
      <c r="C915" s="1">
        <v>45608</v>
      </c>
      <c r="D915" s="1" t="str">
        <f t="shared" si="14"/>
        <v>Produce</v>
      </c>
      <c r="E915" t="s">
        <v>17</v>
      </c>
      <c r="F915" s="2">
        <v>2</v>
      </c>
      <c r="G915" s="3">
        <v>15</v>
      </c>
      <c r="H915" s="3">
        <f>grocery_chain_data[[#This Row],[Quantity]]*grocery_chain_data[[#This Row],[Unit Price]]</f>
        <v>30</v>
      </c>
      <c r="I915" s="3">
        <v>0</v>
      </c>
      <c r="J915" s="3">
        <f>grocery_chain_data[[#This Row],[Total Amount]]-grocery_chain_data[[#This Row],[Discount Amount]]</f>
        <v>30</v>
      </c>
      <c r="K915">
        <v>68</v>
      </c>
      <c r="L915" t="str">
        <f>IF(grocery_chain_data[[#This Row],[Final Amount]]&lt;0,"Return","Sale")</f>
        <v>Sale</v>
      </c>
      <c r="M915">
        <f>IF(grocery_chain_data[[#This Row],[Final Amount]]&lt;0,0,grocery_chain_data[[#This Row],[Final Amount]])</f>
        <v>30</v>
      </c>
    </row>
    <row r="916" spans="1:13" x14ac:dyDescent="0.3">
      <c r="A916">
        <v>7172</v>
      </c>
      <c r="B916" t="s">
        <v>8</v>
      </c>
      <c r="C916" s="1">
        <v>45264</v>
      </c>
      <c r="D916" s="1" t="str">
        <f t="shared" si="14"/>
        <v>Meat &amp; Seafood</v>
      </c>
      <c r="E916" t="s">
        <v>26</v>
      </c>
      <c r="F916" s="2">
        <v>5</v>
      </c>
      <c r="G916" s="3">
        <v>21</v>
      </c>
      <c r="H916" s="3">
        <f>grocery_chain_data[[#This Row],[Quantity]]*grocery_chain_data[[#This Row],[Unit Price]]</f>
        <v>105</v>
      </c>
      <c r="I916" s="3">
        <v>10</v>
      </c>
      <c r="J916" s="3">
        <f>grocery_chain_data[[#This Row],[Total Amount]]-grocery_chain_data[[#This Row],[Discount Amount]]</f>
        <v>95</v>
      </c>
      <c r="K916">
        <v>337</v>
      </c>
      <c r="L916" t="str">
        <f>IF(grocery_chain_data[[#This Row],[Final Amount]]&lt;0,"Return","Sale")</f>
        <v>Sale</v>
      </c>
      <c r="M916">
        <f>IF(grocery_chain_data[[#This Row],[Final Amount]]&lt;0,0,grocery_chain_data[[#This Row],[Final Amount]])</f>
        <v>95</v>
      </c>
    </row>
    <row r="917" spans="1:13" x14ac:dyDescent="0.3">
      <c r="A917">
        <v>3658</v>
      </c>
      <c r="B917" t="s">
        <v>2</v>
      </c>
      <c r="C917" s="1">
        <v>45285</v>
      </c>
      <c r="D917" s="1" t="str">
        <f t="shared" si="14"/>
        <v>Produce</v>
      </c>
      <c r="E917" t="s">
        <v>24</v>
      </c>
      <c r="F917" s="2">
        <v>1</v>
      </c>
      <c r="G917" s="3">
        <v>12</v>
      </c>
      <c r="H917" s="3">
        <f>grocery_chain_data[[#This Row],[Quantity]]*grocery_chain_data[[#This Row],[Unit Price]]</f>
        <v>12</v>
      </c>
      <c r="I917" s="3">
        <v>4</v>
      </c>
      <c r="J917" s="3">
        <f>grocery_chain_data[[#This Row],[Total Amount]]-grocery_chain_data[[#This Row],[Discount Amount]]</f>
        <v>8</v>
      </c>
      <c r="K917">
        <v>253</v>
      </c>
      <c r="L917" t="str">
        <f>IF(grocery_chain_data[[#This Row],[Final Amount]]&lt;0,"Return","Sale")</f>
        <v>Sale</v>
      </c>
      <c r="M917">
        <f>IF(grocery_chain_data[[#This Row],[Final Amount]]&lt;0,0,grocery_chain_data[[#This Row],[Final Amount]])</f>
        <v>8</v>
      </c>
    </row>
    <row r="918" spans="1:13" x14ac:dyDescent="0.3">
      <c r="A918">
        <v>3712</v>
      </c>
      <c r="B918" t="s">
        <v>12</v>
      </c>
      <c r="C918" s="1">
        <v>45705</v>
      </c>
      <c r="D918" s="1" t="str">
        <f t="shared" si="14"/>
        <v>Dairy</v>
      </c>
      <c r="E918" t="s">
        <v>19</v>
      </c>
      <c r="F918" s="2">
        <v>1</v>
      </c>
      <c r="G918" s="3">
        <v>18</v>
      </c>
      <c r="H918" s="3">
        <f>grocery_chain_data[[#This Row],[Quantity]]*grocery_chain_data[[#This Row],[Unit Price]]</f>
        <v>18</v>
      </c>
      <c r="I918" s="3">
        <v>3</v>
      </c>
      <c r="J918" s="3">
        <f>grocery_chain_data[[#This Row],[Total Amount]]-grocery_chain_data[[#This Row],[Discount Amount]]</f>
        <v>15</v>
      </c>
      <c r="K918">
        <v>65</v>
      </c>
      <c r="L918" t="str">
        <f>IF(grocery_chain_data[[#This Row],[Final Amount]]&lt;0,"Return","Sale")</f>
        <v>Sale</v>
      </c>
      <c r="M918">
        <f>IF(grocery_chain_data[[#This Row],[Final Amount]]&lt;0,0,grocery_chain_data[[#This Row],[Final Amount]])</f>
        <v>15</v>
      </c>
    </row>
    <row r="919" spans="1:13" x14ac:dyDescent="0.3">
      <c r="A919">
        <v>8170</v>
      </c>
      <c r="B919" t="s">
        <v>13</v>
      </c>
      <c r="C919" s="1">
        <v>45178</v>
      </c>
      <c r="D919" s="1" t="str">
        <f t="shared" si="14"/>
        <v>Pantry</v>
      </c>
      <c r="E919" t="s">
        <v>6</v>
      </c>
      <c r="F919" s="2">
        <v>4</v>
      </c>
      <c r="G919" s="3">
        <v>4</v>
      </c>
      <c r="H919" s="3">
        <f>grocery_chain_data[[#This Row],[Quantity]]*grocery_chain_data[[#This Row],[Unit Price]]</f>
        <v>16</v>
      </c>
      <c r="I919" s="3">
        <v>2</v>
      </c>
      <c r="J919" s="3">
        <f>grocery_chain_data[[#This Row],[Total Amount]]-grocery_chain_data[[#This Row],[Discount Amount]]</f>
        <v>14</v>
      </c>
      <c r="K919">
        <v>176</v>
      </c>
      <c r="L919" t="str">
        <f>IF(grocery_chain_data[[#This Row],[Final Amount]]&lt;0,"Return","Sale")</f>
        <v>Sale</v>
      </c>
      <c r="M919">
        <f>IF(grocery_chain_data[[#This Row],[Final Amount]]&lt;0,0,grocery_chain_data[[#This Row],[Final Amount]])</f>
        <v>14</v>
      </c>
    </row>
    <row r="920" spans="1:13" x14ac:dyDescent="0.3">
      <c r="A920">
        <v>7731</v>
      </c>
      <c r="B920" t="s">
        <v>16</v>
      </c>
      <c r="C920" s="1">
        <v>45427</v>
      </c>
      <c r="D920" s="1" t="str">
        <f t="shared" si="14"/>
        <v>Meat &amp; Seafood</v>
      </c>
      <c r="E920" t="s">
        <v>9</v>
      </c>
      <c r="F920" s="2">
        <v>2</v>
      </c>
      <c r="G920" s="3">
        <v>8</v>
      </c>
      <c r="H920" s="3">
        <f>grocery_chain_data[[#This Row],[Quantity]]*grocery_chain_data[[#This Row],[Unit Price]]</f>
        <v>16</v>
      </c>
      <c r="I920" s="3">
        <v>0</v>
      </c>
      <c r="J920" s="3">
        <f>grocery_chain_data[[#This Row],[Total Amount]]-grocery_chain_data[[#This Row],[Discount Amount]]</f>
        <v>16</v>
      </c>
      <c r="K920">
        <v>159</v>
      </c>
      <c r="L920" t="str">
        <f>IF(grocery_chain_data[[#This Row],[Final Amount]]&lt;0,"Return","Sale")</f>
        <v>Sale</v>
      </c>
      <c r="M920">
        <f>IF(grocery_chain_data[[#This Row],[Final Amount]]&lt;0,0,grocery_chain_data[[#This Row],[Final Amount]])</f>
        <v>16</v>
      </c>
    </row>
    <row r="921" spans="1:13" x14ac:dyDescent="0.3">
      <c r="A921">
        <v>4891</v>
      </c>
      <c r="B921" t="s">
        <v>0</v>
      </c>
      <c r="C921" s="1">
        <v>45490</v>
      </c>
      <c r="D921" s="1" t="str">
        <f t="shared" si="14"/>
        <v>Meat &amp; Seafood</v>
      </c>
      <c r="E921" t="s">
        <v>26</v>
      </c>
      <c r="F921" s="2">
        <v>3</v>
      </c>
      <c r="G921" s="3">
        <v>6</v>
      </c>
      <c r="H921" s="3">
        <f>grocery_chain_data[[#This Row],[Quantity]]*grocery_chain_data[[#This Row],[Unit Price]]</f>
        <v>18</v>
      </c>
      <c r="I921" s="3">
        <v>3</v>
      </c>
      <c r="J921" s="3">
        <f>grocery_chain_data[[#This Row],[Total Amount]]-grocery_chain_data[[#This Row],[Discount Amount]]</f>
        <v>15</v>
      </c>
      <c r="K921">
        <v>275</v>
      </c>
      <c r="L921" t="str">
        <f>IF(grocery_chain_data[[#This Row],[Final Amount]]&lt;0,"Return","Sale")</f>
        <v>Sale</v>
      </c>
      <c r="M921">
        <f>IF(grocery_chain_data[[#This Row],[Final Amount]]&lt;0,0,grocery_chain_data[[#This Row],[Final Amount]])</f>
        <v>15</v>
      </c>
    </row>
    <row r="922" spans="1:13" x14ac:dyDescent="0.3">
      <c r="A922">
        <v>5668</v>
      </c>
      <c r="B922" t="s">
        <v>8</v>
      </c>
      <c r="C922" s="1">
        <v>45729</v>
      </c>
      <c r="D922" s="1" t="str">
        <f t="shared" si="14"/>
        <v>Produce</v>
      </c>
      <c r="E922" t="s">
        <v>24</v>
      </c>
      <c r="F922" s="2">
        <v>4</v>
      </c>
      <c r="G922" s="3">
        <v>9</v>
      </c>
      <c r="H922" s="3">
        <f>grocery_chain_data[[#This Row],[Quantity]]*grocery_chain_data[[#This Row],[Unit Price]]</f>
        <v>36</v>
      </c>
      <c r="I922" s="3">
        <v>1</v>
      </c>
      <c r="J922" s="3">
        <f>grocery_chain_data[[#This Row],[Total Amount]]-grocery_chain_data[[#This Row],[Discount Amount]]</f>
        <v>35</v>
      </c>
      <c r="K922">
        <v>356</v>
      </c>
      <c r="L922" t="str">
        <f>IF(grocery_chain_data[[#This Row],[Final Amount]]&lt;0,"Return","Sale")</f>
        <v>Sale</v>
      </c>
      <c r="M922">
        <f>IF(grocery_chain_data[[#This Row],[Final Amount]]&lt;0,0,grocery_chain_data[[#This Row],[Final Amount]])</f>
        <v>35</v>
      </c>
    </row>
    <row r="923" spans="1:13" x14ac:dyDescent="0.3">
      <c r="A923">
        <v>8355</v>
      </c>
      <c r="B923" t="s">
        <v>16</v>
      </c>
      <c r="C923" s="1">
        <v>45326</v>
      </c>
      <c r="D923" s="1" t="str">
        <f t="shared" si="14"/>
        <v>Produce</v>
      </c>
      <c r="E923" t="s">
        <v>14</v>
      </c>
      <c r="F923" s="2">
        <v>3</v>
      </c>
      <c r="G923" s="3">
        <v>18</v>
      </c>
      <c r="H923" s="3">
        <f>grocery_chain_data[[#This Row],[Quantity]]*grocery_chain_data[[#This Row],[Unit Price]]</f>
        <v>54</v>
      </c>
      <c r="I923" s="3">
        <v>4</v>
      </c>
      <c r="J923" s="3">
        <f>grocery_chain_data[[#This Row],[Total Amount]]-grocery_chain_data[[#This Row],[Discount Amount]]</f>
        <v>50</v>
      </c>
      <c r="K923">
        <v>413</v>
      </c>
      <c r="L923" t="str">
        <f>IF(grocery_chain_data[[#This Row],[Final Amount]]&lt;0,"Return","Sale")</f>
        <v>Sale</v>
      </c>
      <c r="M923">
        <f>IF(grocery_chain_data[[#This Row],[Final Amount]]&lt;0,0,grocery_chain_data[[#This Row],[Final Amount]])</f>
        <v>50</v>
      </c>
    </row>
    <row r="924" spans="1:13" x14ac:dyDescent="0.3">
      <c r="A924">
        <v>9749</v>
      </c>
      <c r="B924" t="s">
        <v>21</v>
      </c>
      <c r="C924" s="1">
        <v>45330</v>
      </c>
      <c r="D924" s="1" t="str">
        <f t="shared" si="14"/>
        <v>Produce</v>
      </c>
      <c r="E924" t="s">
        <v>25</v>
      </c>
      <c r="F924" s="2">
        <v>5</v>
      </c>
      <c r="G924" s="3">
        <v>25</v>
      </c>
      <c r="H924" s="3">
        <f>grocery_chain_data[[#This Row],[Quantity]]*grocery_chain_data[[#This Row],[Unit Price]]</f>
        <v>125</v>
      </c>
      <c r="I924" s="3">
        <v>25</v>
      </c>
      <c r="J924" s="3">
        <f>grocery_chain_data[[#This Row],[Total Amount]]-grocery_chain_data[[#This Row],[Discount Amount]]</f>
        <v>100</v>
      </c>
      <c r="K924">
        <v>341</v>
      </c>
      <c r="L924" t="str">
        <f>IF(grocery_chain_data[[#This Row],[Final Amount]]&lt;0,"Return","Sale")</f>
        <v>Sale</v>
      </c>
      <c r="M924">
        <f>IF(grocery_chain_data[[#This Row],[Final Amount]]&lt;0,0,grocery_chain_data[[#This Row],[Final Amount]])</f>
        <v>100</v>
      </c>
    </row>
    <row r="925" spans="1:13" x14ac:dyDescent="0.3">
      <c r="A925">
        <v>6070</v>
      </c>
      <c r="B925" t="s">
        <v>12</v>
      </c>
      <c r="C925" s="1">
        <v>45773</v>
      </c>
      <c r="D925" s="1" t="str">
        <f t="shared" si="14"/>
        <v>Dairy</v>
      </c>
      <c r="E925" t="s">
        <v>3</v>
      </c>
      <c r="F925" s="2">
        <v>2</v>
      </c>
      <c r="G925" s="3">
        <v>15</v>
      </c>
      <c r="H925" s="3">
        <f>grocery_chain_data[[#This Row],[Quantity]]*grocery_chain_data[[#This Row],[Unit Price]]</f>
        <v>30</v>
      </c>
      <c r="I925" s="3">
        <v>2</v>
      </c>
      <c r="J925" s="3">
        <f>grocery_chain_data[[#This Row],[Total Amount]]-grocery_chain_data[[#This Row],[Discount Amount]]</f>
        <v>28</v>
      </c>
      <c r="K925">
        <v>433</v>
      </c>
      <c r="L925" t="str">
        <f>IF(grocery_chain_data[[#This Row],[Final Amount]]&lt;0,"Return","Sale")</f>
        <v>Sale</v>
      </c>
      <c r="M925">
        <f>IF(grocery_chain_data[[#This Row],[Final Amount]]&lt;0,0,grocery_chain_data[[#This Row],[Final Amount]])</f>
        <v>28</v>
      </c>
    </row>
    <row r="926" spans="1:13" x14ac:dyDescent="0.3">
      <c r="A926">
        <v>8684</v>
      </c>
      <c r="B926" t="s">
        <v>12</v>
      </c>
      <c r="C926" s="1">
        <v>45847</v>
      </c>
      <c r="D926" s="1" t="str">
        <f t="shared" si="14"/>
        <v>Produce</v>
      </c>
      <c r="E926" t="s">
        <v>17</v>
      </c>
      <c r="F926" s="2">
        <v>5</v>
      </c>
      <c r="G926" s="3">
        <v>13</v>
      </c>
      <c r="H926" s="3">
        <f>grocery_chain_data[[#This Row],[Quantity]]*grocery_chain_data[[#This Row],[Unit Price]]</f>
        <v>65</v>
      </c>
      <c r="I926" s="3">
        <v>0</v>
      </c>
      <c r="J926" s="3">
        <f>grocery_chain_data[[#This Row],[Total Amount]]-grocery_chain_data[[#This Row],[Discount Amount]]</f>
        <v>65</v>
      </c>
      <c r="K926">
        <v>115</v>
      </c>
      <c r="L926" t="str">
        <f>IF(grocery_chain_data[[#This Row],[Final Amount]]&lt;0,"Return","Sale")</f>
        <v>Sale</v>
      </c>
      <c r="M926">
        <f>IF(grocery_chain_data[[#This Row],[Final Amount]]&lt;0,0,grocery_chain_data[[#This Row],[Final Amount]])</f>
        <v>65</v>
      </c>
    </row>
    <row r="927" spans="1:13" x14ac:dyDescent="0.3">
      <c r="A927">
        <v>4178</v>
      </c>
      <c r="B927" t="s">
        <v>0</v>
      </c>
      <c r="C927" s="1">
        <v>45430</v>
      </c>
      <c r="D927" s="1" t="str">
        <f t="shared" si="14"/>
        <v>Pantry</v>
      </c>
      <c r="E927" t="s">
        <v>6</v>
      </c>
      <c r="F927" s="2">
        <v>3</v>
      </c>
      <c r="G927" s="3">
        <v>3</v>
      </c>
      <c r="H927" s="3">
        <f>grocery_chain_data[[#This Row],[Quantity]]*grocery_chain_data[[#This Row],[Unit Price]]</f>
        <v>9</v>
      </c>
      <c r="I927" s="3">
        <v>1</v>
      </c>
      <c r="J927" s="3">
        <f>grocery_chain_data[[#This Row],[Total Amount]]-grocery_chain_data[[#This Row],[Discount Amount]]</f>
        <v>8</v>
      </c>
      <c r="K927">
        <v>410</v>
      </c>
      <c r="L927" t="str">
        <f>IF(grocery_chain_data[[#This Row],[Final Amount]]&lt;0,"Return","Sale")</f>
        <v>Sale</v>
      </c>
      <c r="M927">
        <f>IF(grocery_chain_data[[#This Row],[Final Amount]]&lt;0,0,grocery_chain_data[[#This Row],[Final Amount]])</f>
        <v>8</v>
      </c>
    </row>
    <row r="928" spans="1:13" x14ac:dyDescent="0.3">
      <c r="A928">
        <v>8218</v>
      </c>
      <c r="B928" t="s">
        <v>21</v>
      </c>
      <c r="C928" s="1">
        <v>45503</v>
      </c>
      <c r="D928" s="1" t="str">
        <f t="shared" si="14"/>
        <v>Bakery</v>
      </c>
      <c r="E928" t="s">
        <v>22</v>
      </c>
      <c r="F928" s="2">
        <v>3</v>
      </c>
      <c r="G928" s="3">
        <v>16</v>
      </c>
      <c r="H928" s="3">
        <f>grocery_chain_data[[#This Row],[Quantity]]*grocery_chain_data[[#This Row],[Unit Price]]</f>
        <v>48</v>
      </c>
      <c r="I928" s="3">
        <v>0</v>
      </c>
      <c r="J928" s="3">
        <f>grocery_chain_data[[#This Row],[Total Amount]]-grocery_chain_data[[#This Row],[Discount Amount]]</f>
        <v>48</v>
      </c>
      <c r="K928">
        <v>153</v>
      </c>
      <c r="L928" t="str">
        <f>IF(grocery_chain_data[[#This Row],[Final Amount]]&lt;0,"Return","Sale")</f>
        <v>Sale</v>
      </c>
      <c r="M928">
        <f>IF(grocery_chain_data[[#This Row],[Final Amount]]&lt;0,0,grocery_chain_data[[#This Row],[Final Amount]])</f>
        <v>48</v>
      </c>
    </row>
    <row r="929" spans="1:13" x14ac:dyDescent="0.3">
      <c r="A929">
        <v>5616</v>
      </c>
      <c r="B929" t="s">
        <v>2</v>
      </c>
      <c r="C929" s="1">
        <v>45749</v>
      </c>
      <c r="D929" s="1" t="str">
        <f t="shared" si="14"/>
        <v>Dairy</v>
      </c>
      <c r="E929" t="s">
        <v>23</v>
      </c>
      <c r="F929" s="2">
        <v>4</v>
      </c>
      <c r="G929" s="3">
        <v>13</v>
      </c>
      <c r="H929" s="3">
        <f>grocery_chain_data[[#This Row],[Quantity]]*grocery_chain_data[[#This Row],[Unit Price]]</f>
        <v>52</v>
      </c>
      <c r="I929" s="3">
        <v>0</v>
      </c>
      <c r="J929" s="3">
        <f>grocery_chain_data[[#This Row],[Total Amount]]-grocery_chain_data[[#This Row],[Discount Amount]]</f>
        <v>52</v>
      </c>
      <c r="K929">
        <v>319</v>
      </c>
      <c r="L929" t="str">
        <f>IF(grocery_chain_data[[#This Row],[Final Amount]]&lt;0,"Return","Sale")</f>
        <v>Sale</v>
      </c>
      <c r="M929">
        <f>IF(grocery_chain_data[[#This Row],[Final Amount]]&lt;0,0,grocery_chain_data[[#This Row],[Final Amount]])</f>
        <v>52</v>
      </c>
    </row>
    <row r="930" spans="1:13" x14ac:dyDescent="0.3">
      <c r="A930">
        <v>7256</v>
      </c>
      <c r="B930" t="s">
        <v>2</v>
      </c>
      <c r="C930" s="1">
        <v>45535</v>
      </c>
      <c r="D930" s="1" t="str">
        <f t="shared" si="14"/>
        <v>Produce</v>
      </c>
      <c r="E930" t="s">
        <v>18</v>
      </c>
      <c r="F930" s="2">
        <v>5</v>
      </c>
      <c r="G930" s="3">
        <v>26</v>
      </c>
      <c r="H930" s="3">
        <f>grocery_chain_data[[#This Row],[Quantity]]*grocery_chain_data[[#This Row],[Unit Price]]</f>
        <v>130</v>
      </c>
      <c r="I930" s="3">
        <v>26</v>
      </c>
      <c r="J930" s="3">
        <f>grocery_chain_data[[#This Row],[Total Amount]]-grocery_chain_data[[#This Row],[Discount Amount]]</f>
        <v>104</v>
      </c>
      <c r="K930">
        <v>295</v>
      </c>
      <c r="L930" t="str">
        <f>IF(grocery_chain_data[[#This Row],[Final Amount]]&lt;0,"Return","Sale")</f>
        <v>Sale</v>
      </c>
      <c r="M930">
        <f>IF(grocery_chain_data[[#This Row],[Final Amount]]&lt;0,0,grocery_chain_data[[#This Row],[Final Amount]])</f>
        <v>104</v>
      </c>
    </row>
    <row r="931" spans="1:13" x14ac:dyDescent="0.3">
      <c r="A931">
        <v>9641</v>
      </c>
      <c r="B931" t="s">
        <v>10</v>
      </c>
      <c r="C931" s="1">
        <v>45470</v>
      </c>
      <c r="D931" s="1" t="str">
        <f t="shared" si="14"/>
        <v>Produce</v>
      </c>
      <c r="E931" t="s">
        <v>4</v>
      </c>
      <c r="F931" s="2">
        <v>5</v>
      </c>
      <c r="G931" s="3">
        <v>26</v>
      </c>
      <c r="H931" s="3">
        <f>grocery_chain_data[[#This Row],[Quantity]]*grocery_chain_data[[#This Row],[Unit Price]]</f>
        <v>130</v>
      </c>
      <c r="I931" s="3">
        <v>4</v>
      </c>
      <c r="J931" s="3">
        <f>grocery_chain_data[[#This Row],[Total Amount]]-grocery_chain_data[[#This Row],[Discount Amount]]</f>
        <v>126</v>
      </c>
      <c r="K931">
        <v>464</v>
      </c>
      <c r="L931" t="str">
        <f>IF(grocery_chain_data[[#This Row],[Final Amount]]&lt;0,"Return","Sale")</f>
        <v>Sale</v>
      </c>
      <c r="M931">
        <f>IF(grocery_chain_data[[#This Row],[Final Amount]]&lt;0,0,grocery_chain_data[[#This Row],[Final Amount]])</f>
        <v>126</v>
      </c>
    </row>
    <row r="932" spans="1:13" x14ac:dyDescent="0.3">
      <c r="A932">
        <v>3655</v>
      </c>
      <c r="B932" t="s">
        <v>13</v>
      </c>
      <c r="C932" s="1">
        <v>45779</v>
      </c>
      <c r="D932" s="1" t="str">
        <f t="shared" si="14"/>
        <v>Dairy</v>
      </c>
      <c r="E932" t="s">
        <v>23</v>
      </c>
      <c r="F932" s="2">
        <v>3</v>
      </c>
      <c r="G932" s="3">
        <v>14</v>
      </c>
      <c r="H932" s="3">
        <f>grocery_chain_data[[#This Row],[Quantity]]*grocery_chain_data[[#This Row],[Unit Price]]</f>
        <v>42</v>
      </c>
      <c r="I932" s="3">
        <v>0</v>
      </c>
      <c r="J932" s="3">
        <f>grocery_chain_data[[#This Row],[Total Amount]]-grocery_chain_data[[#This Row],[Discount Amount]]</f>
        <v>42</v>
      </c>
      <c r="K932">
        <v>123</v>
      </c>
      <c r="L932" t="str">
        <f>IF(grocery_chain_data[[#This Row],[Final Amount]]&lt;0,"Return","Sale")</f>
        <v>Sale</v>
      </c>
      <c r="M932">
        <f>IF(grocery_chain_data[[#This Row],[Final Amount]]&lt;0,0,grocery_chain_data[[#This Row],[Final Amount]])</f>
        <v>42</v>
      </c>
    </row>
    <row r="933" spans="1:13" x14ac:dyDescent="0.3">
      <c r="A933">
        <v>4271</v>
      </c>
      <c r="B933" t="s">
        <v>12</v>
      </c>
      <c r="C933" s="1">
        <v>45767</v>
      </c>
      <c r="D933" s="1" t="str">
        <f t="shared" si="14"/>
        <v>Dairy</v>
      </c>
      <c r="E933" t="s">
        <v>3</v>
      </c>
      <c r="F933" s="2">
        <v>3</v>
      </c>
      <c r="G933" s="3">
        <v>26</v>
      </c>
      <c r="H933" s="3">
        <f>grocery_chain_data[[#This Row],[Quantity]]*grocery_chain_data[[#This Row],[Unit Price]]</f>
        <v>78</v>
      </c>
      <c r="I933" s="3">
        <v>0</v>
      </c>
      <c r="J933" s="3">
        <f>grocery_chain_data[[#This Row],[Total Amount]]-grocery_chain_data[[#This Row],[Discount Amount]]</f>
        <v>78</v>
      </c>
      <c r="K933">
        <v>466</v>
      </c>
      <c r="L933" t="str">
        <f>IF(grocery_chain_data[[#This Row],[Final Amount]]&lt;0,"Return","Sale")</f>
        <v>Sale</v>
      </c>
      <c r="M933">
        <f>IF(grocery_chain_data[[#This Row],[Final Amount]]&lt;0,0,grocery_chain_data[[#This Row],[Final Amount]])</f>
        <v>78</v>
      </c>
    </row>
    <row r="934" spans="1:13" x14ac:dyDescent="0.3">
      <c r="A934">
        <v>3267</v>
      </c>
      <c r="B934" t="s">
        <v>21</v>
      </c>
      <c r="C934" s="1">
        <v>45823</v>
      </c>
      <c r="D934" s="1" t="str">
        <f t="shared" si="14"/>
        <v>Pantry</v>
      </c>
      <c r="E934" t="s">
        <v>1</v>
      </c>
      <c r="F934" s="2">
        <v>3</v>
      </c>
      <c r="G934" s="3">
        <v>20</v>
      </c>
      <c r="H934" s="3">
        <f>grocery_chain_data[[#This Row],[Quantity]]*grocery_chain_data[[#This Row],[Unit Price]]</f>
        <v>60</v>
      </c>
      <c r="I934" s="3">
        <v>6</v>
      </c>
      <c r="J934" s="3">
        <f>grocery_chain_data[[#This Row],[Total Amount]]-grocery_chain_data[[#This Row],[Discount Amount]]</f>
        <v>54</v>
      </c>
      <c r="K934">
        <v>131</v>
      </c>
      <c r="L934" t="str">
        <f>IF(grocery_chain_data[[#This Row],[Final Amount]]&lt;0,"Return","Sale")</f>
        <v>Sale</v>
      </c>
      <c r="M934">
        <f>IF(grocery_chain_data[[#This Row],[Final Amount]]&lt;0,0,grocery_chain_data[[#This Row],[Final Amount]])</f>
        <v>54</v>
      </c>
    </row>
    <row r="935" spans="1:13" x14ac:dyDescent="0.3">
      <c r="A935">
        <v>5096</v>
      </c>
      <c r="B935" t="s">
        <v>21</v>
      </c>
      <c r="C935" s="1">
        <v>45185</v>
      </c>
      <c r="D935" s="1" t="str">
        <f t="shared" si="14"/>
        <v>Dairy</v>
      </c>
      <c r="E935" t="s">
        <v>20</v>
      </c>
      <c r="F935" s="2">
        <v>2</v>
      </c>
      <c r="G935" s="3">
        <v>2</v>
      </c>
      <c r="H935" s="3">
        <f>grocery_chain_data[[#This Row],[Quantity]]*grocery_chain_data[[#This Row],[Unit Price]]</f>
        <v>4</v>
      </c>
      <c r="I935" s="3">
        <v>0</v>
      </c>
      <c r="J935" s="3">
        <f>grocery_chain_data[[#This Row],[Total Amount]]-grocery_chain_data[[#This Row],[Discount Amount]]</f>
        <v>4</v>
      </c>
      <c r="K935">
        <v>408</v>
      </c>
      <c r="L935" t="str">
        <f>IF(grocery_chain_data[[#This Row],[Final Amount]]&lt;0,"Return","Sale")</f>
        <v>Sale</v>
      </c>
      <c r="M935">
        <f>IF(grocery_chain_data[[#This Row],[Final Amount]]&lt;0,0,grocery_chain_data[[#This Row],[Final Amount]])</f>
        <v>4</v>
      </c>
    </row>
    <row r="936" spans="1:13" x14ac:dyDescent="0.3">
      <c r="A936">
        <v>8873</v>
      </c>
      <c r="B936" t="s">
        <v>10</v>
      </c>
      <c r="C936" s="1">
        <v>45823</v>
      </c>
      <c r="D936" s="1" t="str">
        <f t="shared" si="14"/>
        <v>Dairy</v>
      </c>
      <c r="E936" t="s">
        <v>3</v>
      </c>
      <c r="F936" s="2">
        <v>4</v>
      </c>
      <c r="G936" s="3">
        <v>20</v>
      </c>
      <c r="H936" s="3">
        <f>grocery_chain_data[[#This Row],[Quantity]]*grocery_chain_data[[#This Row],[Unit Price]]</f>
        <v>80</v>
      </c>
      <c r="I936" s="3">
        <v>16</v>
      </c>
      <c r="J936" s="3">
        <f>grocery_chain_data[[#This Row],[Total Amount]]-grocery_chain_data[[#This Row],[Discount Amount]]</f>
        <v>64</v>
      </c>
      <c r="K936">
        <v>18</v>
      </c>
      <c r="L936" t="str">
        <f>IF(grocery_chain_data[[#This Row],[Final Amount]]&lt;0,"Return","Sale")</f>
        <v>Sale</v>
      </c>
      <c r="M936">
        <f>IF(grocery_chain_data[[#This Row],[Final Amount]]&lt;0,0,grocery_chain_data[[#This Row],[Final Amount]])</f>
        <v>64</v>
      </c>
    </row>
    <row r="937" spans="1:13" x14ac:dyDescent="0.3">
      <c r="A937">
        <v>7081</v>
      </c>
      <c r="B937" t="s">
        <v>12</v>
      </c>
      <c r="C937" s="1">
        <v>45575</v>
      </c>
      <c r="D937" s="1" t="str">
        <f t="shared" si="14"/>
        <v>Produce</v>
      </c>
      <c r="E937" t="s">
        <v>18</v>
      </c>
      <c r="F937" s="2">
        <v>3</v>
      </c>
      <c r="G937" s="3">
        <v>24</v>
      </c>
      <c r="H937" s="3">
        <f>grocery_chain_data[[#This Row],[Quantity]]*grocery_chain_data[[#This Row],[Unit Price]]</f>
        <v>72</v>
      </c>
      <c r="I937" s="3">
        <v>0</v>
      </c>
      <c r="J937" s="3">
        <f>grocery_chain_data[[#This Row],[Total Amount]]-grocery_chain_data[[#This Row],[Discount Amount]]</f>
        <v>72</v>
      </c>
      <c r="K937">
        <v>142</v>
      </c>
      <c r="L937" t="str">
        <f>IF(grocery_chain_data[[#This Row],[Final Amount]]&lt;0,"Return","Sale")</f>
        <v>Sale</v>
      </c>
      <c r="M937">
        <f>IF(grocery_chain_data[[#This Row],[Final Amount]]&lt;0,0,grocery_chain_data[[#This Row],[Final Amount]])</f>
        <v>72</v>
      </c>
    </row>
    <row r="938" spans="1:13" x14ac:dyDescent="0.3">
      <c r="A938">
        <v>2680</v>
      </c>
      <c r="B938" t="s">
        <v>13</v>
      </c>
      <c r="C938" s="1">
        <v>45697</v>
      </c>
      <c r="D938" s="1" t="str">
        <f t="shared" si="14"/>
        <v>Produce</v>
      </c>
      <c r="E938" t="s">
        <v>18</v>
      </c>
      <c r="F938" s="2">
        <v>1</v>
      </c>
      <c r="G938" s="3">
        <v>26</v>
      </c>
      <c r="H938" s="3">
        <f>grocery_chain_data[[#This Row],[Quantity]]*grocery_chain_data[[#This Row],[Unit Price]]</f>
        <v>26</v>
      </c>
      <c r="I938" s="3">
        <v>2</v>
      </c>
      <c r="J938" s="3">
        <f>grocery_chain_data[[#This Row],[Total Amount]]-grocery_chain_data[[#This Row],[Discount Amount]]</f>
        <v>24</v>
      </c>
      <c r="K938">
        <v>42</v>
      </c>
      <c r="L938" t="str">
        <f>IF(grocery_chain_data[[#This Row],[Final Amount]]&lt;0,"Return","Sale")</f>
        <v>Sale</v>
      </c>
      <c r="M938">
        <f>IF(grocery_chain_data[[#This Row],[Final Amount]]&lt;0,0,grocery_chain_data[[#This Row],[Final Amount]])</f>
        <v>24</v>
      </c>
    </row>
    <row r="939" spans="1:13" x14ac:dyDescent="0.3">
      <c r="A939">
        <v>9452</v>
      </c>
      <c r="B939" t="s">
        <v>0</v>
      </c>
      <c r="C939" s="1">
        <v>45806</v>
      </c>
      <c r="D939" s="1" t="str">
        <f t="shared" si="14"/>
        <v>Beverages</v>
      </c>
      <c r="E939" t="s">
        <v>7</v>
      </c>
      <c r="F939" s="2">
        <v>1</v>
      </c>
      <c r="G939" s="3">
        <v>12</v>
      </c>
      <c r="H939" s="3">
        <f>grocery_chain_data[[#This Row],[Quantity]]*grocery_chain_data[[#This Row],[Unit Price]]</f>
        <v>12</v>
      </c>
      <c r="I939" s="3">
        <v>2</v>
      </c>
      <c r="J939" s="3">
        <f>grocery_chain_data[[#This Row],[Total Amount]]-grocery_chain_data[[#This Row],[Discount Amount]]</f>
        <v>10</v>
      </c>
      <c r="K939">
        <v>429</v>
      </c>
      <c r="L939" t="str">
        <f>IF(grocery_chain_data[[#This Row],[Final Amount]]&lt;0,"Return","Sale")</f>
        <v>Sale</v>
      </c>
      <c r="M939">
        <f>IF(grocery_chain_data[[#This Row],[Final Amount]]&lt;0,0,grocery_chain_data[[#This Row],[Final Amount]])</f>
        <v>10</v>
      </c>
    </row>
    <row r="940" spans="1:13" x14ac:dyDescent="0.3">
      <c r="A940">
        <v>3042</v>
      </c>
      <c r="B940" t="s">
        <v>0</v>
      </c>
      <c r="C940" s="1">
        <v>45366</v>
      </c>
      <c r="D940" s="1" t="str">
        <f t="shared" si="14"/>
        <v>Produce</v>
      </c>
      <c r="E940" t="s">
        <v>24</v>
      </c>
      <c r="F940" s="2">
        <v>1</v>
      </c>
      <c r="G940" s="3">
        <v>16</v>
      </c>
      <c r="H940" s="3">
        <f>grocery_chain_data[[#This Row],[Quantity]]*grocery_chain_data[[#This Row],[Unit Price]]</f>
        <v>16</v>
      </c>
      <c r="I940" s="3">
        <v>2</v>
      </c>
      <c r="J940" s="3">
        <f>grocery_chain_data[[#This Row],[Total Amount]]-grocery_chain_data[[#This Row],[Discount Amount]]</f>
        <v>14</v>
      </c>
      <c r="K940">
        <v>424</v>
      </c>
      <c r="L940" t="str">
        <f>IF(grocery_chain_data[[#This Row],[Final Amount]]&lt;0,"Return","Sale")</f>
        <v>Sale</v>
      </c>
      <c r="M940">
        <f>IF(grocery_chain_data[[#This Row],[Final Amount]]&lt;0,0,grocery_chain_data[[#This Row],[Final Amount]])</f>
        <v>14</v>
      </c>
    </row>
    <row r="941" spans="1:13" x14ac:dyDescent="0.3">
      <c r="A941">
        <v>2374</v>
      </c>
      <c r="B941" t="s">
        <v>0</v>
      </c>
      <c r="C941" s="1">
        <v>45737</v>
      </c>
      <c r="D941" s="1" t="str">
        <f t="shared" si="14"/>
        <v>Meat &amp; Seafood</v>
      </c>
      <c r="E941" t="s">
        <v>26</v>
      </c>
      <c r="F941" s="2">
        <v>3</v>
      </c>
      <c r="G941" s="3">
        <v>11</v>
      </c>
      <c r="H941" s="3">
        <f>grocery_chain_data[[#This Row],[Quantity]]*grocery_chain_data[[#This Row],[Unit Price]]</f>
        <v>33</v>
      </c>
      <c r="I941" s="3">
        <v>0</v>
      </c>
      <c r="J941" s="3">
        <f>grocery_chain_data[[#This Row],[Total Amount]]-grocery_chain_data[[#This Row],[Discount Amount]]</f>
        <v>33</v>
      </c>
      <c r="K941">
        <v>299</v>
      </c>
      <c r="L941" t="str">
        <f>IF(grocery_chain_data[[#This Row],[Final Amount]]&lt;0,"Return","Sale")</f>
        <v>Sale</v>
      </c>
      <c r="M941">
        <f>IF(grocery_chain_data[[#This Row],[Final Amount]]&lt;0,0,grocery_chain_data[[#This Row],[Final Amount]])</f>
        <v>33</v>
      </c>
    </row>
    <row r="942" spans="1:13" x14ac:dyDescent="0.3">
      <c r="A942">
        <v>3626</v>
      </c>
      <c r="B942" t="s">
        <v>21</v>
      </c>
      <c r="C942" s="1">
        <v>45356</v>
      </c>
      <c r="D942" s="1" t="str">
        <f t="shared" si="14"/>
        <v>Dairy</v>
      </c>
      <c r="E942" t="s">
        <v>23</v>
      </c>
      <c r="F942" s="2">
        <v>2</v>
      </c>
      <c r="G942" s="3">
        <v>4</v>
      </c>
      <c r="H942" s="3">
        <f>grocery_chain_data[[#This Row],[Quantity]]*grocery_chain_data[[#This Row],[Unit Price]]</f>
        <v>8</v>
      </c>
      <c r="I942" s="3">
        <v>1</v>
      </c>
      <c r="J942" s="3">
        <f>grocery_chain_data[[#This Row],[Total Amount]]-grocery_chain_data[[#This Row],[Discount Amount]]</f>
        <v>7</v>
      </c>
      <c r="K942">
        <v>109</v>
      </c>
      <c r="L942" t="str">
        <f>IF(grocery_chain_data[[#This Row],[Final Amount]]&lt;0,"Return","Sale")</f>
        <v>Sale</v>
      </c>
      <c r="M942">
        <f>IF(grocery_chain_data[[#This Row],[Final Amount]]&lt;0,0,grocery_chain_data[[#This Row],[Final Amount]])</f>
        <v>7</v>
      </c>
    </row>
    <row r="943" spans="1:13" x14ac:dyDescent="0.3">
      <c r="A943">
        <v>8361</v>
      </c>
      <c r="B943" t="s">
        <v>8</v>
      </c>
      <c r="C943" s="1">
        <v>45848</v>
      </c>
      <c r="D943" s="1" t="str">
        <f t="shared" si="14"/>
        <v>Dairy</v>
      </c>
      <c r="E943" t="s">
        <v>19</v>
      </c>
      <c r="F943" s="2">
        <v>4</v>
      </c>
      <c r="G943" s="3">
        <v>16</v>
      </c>
      <c r="H943" s="3">
        <f>grocery_chain_data[[#This Row],[Quantity]]*grocery_chain_data[[#This Row],[Unit Price]]</f>
        <v>64</v>
      </c>
      <c r="I943" s="3">
        <v>10</v>
      </c>
      <c r="J943" s="3">
        <f>grocery_chain_data[[#This Row],[Total Amount]]-grocery_chain_data[[#This Row],[Discount Amount]]</f>
        <v>54</v>
      </c>
      <c r="K943">
        <v>358</v>
      </c>
      <c r="L943" t="str">
        <f>IF(grocery_chain_data[[#This Row],[Final Amount]]&lt;0,"Return","Sale")</f>
        <v>Sale</v>
      </c>
      <c r="M943">
        <f>IF(grocery_chain_data[[#This Row],[Final Amount]]&lt;0,0,grocery_chain_data[[#This Row],[Final Amount]])</f>
        <v>54</v>
      </c>
    </row>
    <row r="944" spans="1:13" x14ac:dyDescent="0.3">
      <c r="A944">
        <v>9410</v>
      </c>
      <c r="B944" t="s">
        <v>2</v>
      </c>
      <c r="C944" s="1">
        <v>45259</v>
      </c>
      <c r="D944" s="1" t="str">
        <f t="shared" si="14"/>
        <v>Produce</v>
      </c>
      <c r="E944" t="s">
        <v>25</v>
      </c>
      <c r="F944" s="2">
        <v>2</v>
      </c>
      <c r="G944" s="3">
        <v>29</v>
      </c>
      <c r="H944" s="3">
        <f>grocery_chain_data[[#This Row],[Quantity]]*grocery_chain_data[[#This Row],[Unit Price]]</f>
        <v>58</v>
      </c>
      <c r="I944" s="3">
        <v>9</v>
      </c>
      <c r="J944" s="3">
        <f>grocery_chain_data[[#This Row],[Total Amount]]-grocery_chain_data[[#This Row],[Discount Amount]]</f>
        <v>49</v>
      </c>
      <c r="K944">
        <v>450</v>
      </c>
      <c r="L944" t="str">
        <f>IF(grocery_chain_data[[#This Row],[Final Amount]]&lt;0,"Return","Sale")</f>
        <v>Sale</v>
      </c>
      <c r="M944">
        <f>IF(grocery_chain_data[[#This Row],[Final Amount]]&lt;0,0,grocery_chain_data[[#This Row],[Final Amount]])</f>
        <v>49</v>
      </c>
    </row>
    <row r="945" spans="1:13" x14ac:dyDescent="0.3">
      <c r="A945">
        <v>8167</v>
      </c>
      <c r="B945" t="s">
        <v>10</v>
      </c>
      <c r="C945" s="1">
        <v>45216</v>
      </c>
      <c r="D945" s="1" t="str">
        <f t="shared" si="14"/>
        <v>Produce</v>
      </c>
      <c r="E945" t="s">
        <v>17</v>
      </c>
      <c r="F945" s="2">
        <v>1</v>
      </c>
      <c r="G945" s="3">
        <v>20</v>
      </c>
      <c r="H945" s="3">
        <f>grocery_chain_data[[#This Row],[Quantity]]*grocery_chain_data[[#This Row],[Unit Price]]</f>
        <v>20</v>
      </c>
      <c r="I945" s="3">
        <v>0</v>
      </c>
      <c r="J945" s="3">
        <f>grocery_chain_data[[#This Row],[Total Amount]]-grocery_chain_data[[#This Row],[Discount Amount]]</f>
        <v>20</v>
      </c>
      <c r="K945">
        <v>463</v>
      </c>
      <c r="L945" t="str">
        <f>IF(grocery_chain_data[[#This Row],[Final Amount]]&lt;0,"Return","Sale")</f>
        <v>Sale</v>
      </c>
      <c r="M945">
        <f>IF(grocery_chain_data[[#This Row],[Final Amount]]&lt;0,0,grocery_chain_data[[#This Row],[Final Amount]])</f>
        <v>20</v>
      </c>
    </row>
    <row r="946" spans="1:13" x14ac:dyDescent="0.3">
      <c r="A946">
        <v>4637</v>
      </c>
      <c r="B946" t="s">
        <v>13</v>
      </c>
      <c r="C946" s="1">
        <v>45779</v>
      </c>
      <c r="D946" s="1" t="str">
        <f t="shared" si="14"/>
        <v>Meat &amp; Seafood</v>
      </c>
      <c r="E946" t="s">
        <v>9</v>
      </c>
      <c r="F946" s="2">
        <v>3</v>
      </c>
      <c r="G946" s="3">
        <v>17</v>
      </c>
      <c r="H946" s="3">
        <f>grocery_chain_data[[#This Row],[Quantity]]*grocery_chain_data[[#This Row],[Unit Price]]</f>
        <v>51</v>
      </c>
      <c r="I946" s="3">
        <v>0</v>
      </c>
      <c r="J946" s="3">
        <f>grocery_chain_data[[#This Row],[Total Amount]]-grocery_chain_data[[#This Row],[Discount Amount]]</f>
        <v>51</v>
      </c>
      <c r="K946">
        <v>158</v>
      </c>
      <c r="L946" t="str">
        <f>IF(grocery_chain_data[[#This Row],[Final Amount]]&lt;0,"Return","Sale")</f>
        <v>Sale</v>
      </c>
      <c r="M946">
        <f>IF(grocery_chain_data[[#This Row],[Final Amount]]&lt;0,0,grocery_chain_data[[#This Row],[Final Amount]])</f>
        <v>51</v>
      </c>
    </row>
    <row r="947" spans="1:13" x14ac:dyDescent="0.3">
      <c r="A947">
        <v>8391</v>
      </c>
      <c r="B947" t="s">
        <v>0</v>
      </c>
      <c r="C947" s="1">
        <v>45832</v>
      </c>
      <c r="D947" s="1" t="str">
        <f t="shared" si="14"/>
        <v>Meat &amp; Seafood</v>
      </c>
      <c r="E947" t="s">
        <v>9</v>
      </c>
      <c r="F947" s="2">
        <v>4</v>
      </c>
      <c r="G947" s="3">
        <v>12</v>
      </c>
      <c r="H947" s="3">
        <f>grocery_chain_data[[#This Row],[Quantity]]*grocery_chain_data[[#This Row],[Unit Price]]</f>
        <v>48</v>
      </c>
      <c r="I947" s="3">
        <v>7</v>
      </c>
      <c r="J947" s="3">
        <f>grocery_chain_data[[#This Row],[Total Amount]]-grocery_chain_data[[#This Row],[Discount Amount]]</f>
        <v>41</v>
      </c>
      <c r="K947">
        <v>465</v>
      </c>
      <c r="L947" t="str">
        <f>IF(grocery_chain_data[[#This Row],[Final Amount]]&lt;0,"Return","Sale")</f>
        <v>Sale</v>
      </c>
      <c r="M947">
        <f>IF(grocery_chain_data[[#This Row],[Final Amount]]&lt;0,0,grocery_chain_data[[#This Row],[Final Amount]])</f>
        <v>41</v>
      </c>
    </row>
    <row r="948" spans="1:13" x14ac:dyDescent="0.3">
      <c r="A948">
        <v>6727</v>
      </c>
      <c r="B948" t="s">
        <v>12</v>
      </c>
      <c r="C948" s="1">
        <v>45867</v>
      </c>
      <c r="D948" s="1" t="str">
        <f t="shared" si="14"/>
        <v>Meat &amp; Seafood</v>
      </c>
      <c r="E948" t="s">
        <v>9</v>
      </c>
      <c r="F948" s="2">
        <v>3</v>
      </c>
      <c r="G948" s="3">
        <v>7</v>
      </c>
      <c r="H948" s="3">
        <f>grocery_chain_data[[#This Row],[Quantity]]*grocery_chain_data[[#This Row],[Unit Price]]</f>
        <v>21</v>
      </c>
      <c r="I948" s="3">
        <v>2</v>
      </c>
      <c r="J948" s="3">
        <f>grocery_chain_data[[#This Row],[Total Amount]]-grocery_chain_data[[#This Row],[Discount Amount]]</f>
        <v>19</v>
      </c>
      <c r="K948">
        <v>455</v>
      </c>
      <c r="L948" t="str">
        <f>IF(grocery_chain_data[[#This Row],[Final Amount]]&lt;0,"Return","Sale")</f>
        <v>Sale</v>
      </c>
      <c r="M948">
        <f>IF(grocery_chain_data[[#This Row],[Final Amount]]&lt;0,0,grocery_chain_data[[#This Row],[Final Amount]])</f>
        <v>19</v>
      </c>
    </row>
    <row r="949" spans="1:13" x14ac:dyDescent="0.3">
      <c r="A949">
        <v>1436</v>
      </c>
      <c r="B949" t="s">
        <v>16</v>
      </c>
      <c r="C949" s="1">
        <v>45467</v>
      </c>
      <c r="D949" s="1" t="str">
        <f t="shared" si="14"/>
        <v>Dairy</v>
      </c>
      <c r="E949" t="s">
        <v>3</v>
      </c>
      <c r="F949" s="2">
        <v>1</v>
      </c>
      <c r="G949" s="3">
        <v>9</v>
      </c>
      <c r="H949" s="3">
        <f>grocery_chain_data[[#This Row],[Quantity]]*grocery_chain_data[[#This Row],[Unit Price]]</f>
        <v>9</v>
      </c>
      <c r="I949" s="3">
        <v>1</v>
      </c>
      <c r="J949" s="3">
        <f>grocery_chain_data[[#This Row],[Total Amount]]-grocery_chain_data[[#This Row],[Discount Amount]]</f>
        <v>8</v>
      </c>
      <c r="K949">
        <v>41</v>
      </c>
      <c r="L949" t="str">
        <f>IF(grocery_chain_data[[#This Row],[Final Amount]]&lt;0,"Return","Sale")</f>
        <v>Sale</v>
      </c>
      <c r="M949">
        <f>IF(grocery_chain_data[[#This Row],[Final Amount]]&lt;0,0,grocery_chain_data[[#This Row],[Final Amount]])</f>
        <v>8</v>
      </c>
    </row>
    <row r="950" spans="1:13" x14ac:dyDescent="0.3">
      <c r="A950">
        <v>1872</v>
      </c>
      <c r="B950" t="s">
        <v>8</v>
      </c>
      <c r="C950" s="1">
        <v>45452</v>
      </c>
      <c r="D950" s="1" t="str">
        <f t="shared" si="14"/>
        <v>Dairy</v>
      </c>
      <c r="E950" t="s">
        <v>3</v>
      </c>
      <c r="F950" s="2">
        <v>1</v>
      </c>
      <c r="G950" s="3">
        <v>25</v>
      </c>
      <c r="H950" s="3">
        <f>grocery_chain_data[[#This Row],[Quantity]]*grocery_chain_data[[#This Row],[Unit Price]]</f>
        <v>25</v>
      </c>
      <c r="I950" s="3">
        <v>1</v>
      </c>
      <c r="J950" s="3">
        <f>grocery_chain_data[[#This Row],[Total Amount]]-grocery_chain_data[[#This Row],[Discount Amount]]</f>
        <v>24</v>
      </c>
      <c r="K950">
        <v>357</v>
      </c>
      <c r="L950" t="str">
        <f>IF(grocery_chain_data[[#This Row],[Final Amount]]&lt;0,"Return","Sale")</f>
        <v>Sale</v>
      </c>
      <c r="M950">
        <f>IF(grocery_chain_data[[#This Row],[Final Amount]]&lt;0,0,grocery_chain_data[[#This Row],[Final Amount]])</f>
        <v>24</v>
      </c>
    </row>
    <row r="951" spans="1:13" x14ac:dyDescent="0.3">
      <c r="A951">
        <v>9224</v>
      </c>
      <c r="B951" t="s">
        <v>8</v>
      </c>
      <c r="C951" s="1">
        <v>45435</v>
      </c>
      <c r="D951" s="1" t="str">
        <f t="shared" si="14"/>
        <v>Produce</v>
      </c>
      <c r="E951" t="s">
        <v>4</v>
      </c>
      <c r="F951" s="2">
        <v>3</v>
      </c>
      <c r="G951" s="3">
        <v>14</v>
      </c>
      <c r="H951" s="3">
        <f>grocery_chain_data[[#This Row],[Quantity]]*grocery_chain_data[[#This Row],[Unit Price]]</f>
        <v>42</v>
      </c>
      <c r="I951" s="3">
        <v>0</v>
      </c>
      <c r="J951" s="3">
        <f>grocery_chain_data[[#This Row],[Total Amount]]-grocery_chain_data[[#This Row],[Discount Amount]]</f>
        <v>42</v>
      </c>
      <c r="K951">
        <v>14</v>
      </c>
      <c r="L951" t="str">
        <f>IF(grocery_chain_data[[#This Row],[Final Amount]]&lt;0,"Return","Sale")</f>
        <v>Sale</v>
      </c>
      <c r="M951">
        <f>IF(grocery_chain_data[[#This Row],[Final Amount]]&lt;0,0,grocery_chain_data[[#This Row],[Final Amount]])</f>
        <v>42</v>
      </c>
    </row>
    <row r="952" spans="1:13" x14ac:dyDescent="0.3">
      <c r="A952">
        <v>4862</v>
      </c>
      <c r="B952" t="s">
        <v>5</v>
      </c>
      <c r="C952" s="1">
        <v>45444</v>
      </c>
      <c r="D952" s="1" t="str">
        <f t="shared" si="14"/>
        <v>Meat &amp; Seafood</v>
      </c>
      <c r="E952" t="s">
        <v>15</v>
      </c>
      <c r="F952" s="2">
        <v>2</v>
      </c>
      <c r="G952" s="3">
        <v>1</v>
      </c>
      <c r="H952" s="3">
        <f>grocery_chain_data[[#This Row],[Quantity]]*grocery_chain_data[[#This Row],[Unit Price]]</f>
        <v>2</v>
      </c>
      <c r="I952" s="3">
        <v>0</v>
      </c>
      <c r="J952" s="3">
        <f>grocery_chain_data[[#This Row],[Total Amount]]-grocery_chain_data[[#This Row],[Discount Amount]]</f>
        <v>2</v>
      </c>
      <c r="K952">
        <v>102</v>
      </c>
      <c r="L952" t="str">
        <f>IF(grocery_chain_data[[#This Row],[Final Amount]]&lt;0,"Return","Sale")</f>
        <v>Sale</v>
      </c>
      <c r="M952">
        <f>IF(grocery_chain_data[[#This Row],[Final Amount]]&lt;0,0,grocery_chain_data[[#This Row],[Final Amount]])</f>
        <v>2</v>
      </c>
    </row>
    <row r="953" spans="1:13" x14ac:dyDescent="0.3">
      <c r="A953">
        <v>2337</v>
      </c>
      <c r="B953" t="s">
        <v>0</v>
      </c>
      <c r="C953" s="1">
        <v>45436</v>
      </c>
      <c r="D953" s="1" t="str">
        <f t="shared" si="14"/>
        <v>Produce</v>
      </c>
      <c r="E953" t="s">
        <v>11</v>
      </c>
      <c r="F953" s="2">
        <v>2</v>
      </c>
      <c r="G953" s="3">
        <v>16</v>
      </c>
      <c r="H953" s="3">
        <f>grocery_chain_data[[#This Row],[Quantity]]*grocery_chain_data[[#This Row],[Unit Price]]</f>
        <v>32</v>
      </c>
      <c r="I953" s="3">
        <v>4</v>
      </c>
      <c r="J953" s="3">
        <f>grocery_chain_data[[#This Row],[Total Amount]]-grocery_chain_data[[#This Row],[Discount Amount]]</f>
        <v>28</v>
      </c>
      <c r="K953">
        <v>496</v>
      </c>
      <c r="L953" t="str">
        <f>IF(grocery_chain_data[[#This Row],[Final Amount]]&lt;0,"Return","Sale")</f>
        <v>Sale</v>
      </c>
      <c r="M953">
        <f>IF(grocery_chain_data[[#This Row],[Final Amount]]&lt;0,0,grocery_chain_data[[#This Row],[Final Amount]])</f>
        <v>28</v>
      </c>
    </row>
    <row r="954" spans="1:13" x14ac:dyDescent="0.3">
      <c r="A954">
        <v>4678</v>
      </c>
      <c r="B954" t="s">
        <v>16</v>
      </c>
      <c r="C954" s="1">
        <v>45166</v>
      </c>
      <c r="D954" s="1" t="str">
        <f t="shared" si="14"/>
        <v>Produce</v>
      </c>
      <c r="E954" t="s">
        <v>25</v>
      </c>
      <c r="F954" s="2">
        <v>2</v>
      </c>
      <c r="G954" s="3">
        <v>9</v>
      </c>
      <c r="H954" s="3">
        <f>grocery_chain_data[[#This Row],[Quantity]]*grocery_chain_data[[#This Row],[Unit Price]]</f>
        <v>18</v>
      </c>
      <c r="I954" s="3">
        <v>3</v>
      </c>
      <c r="J954" s="3">
        <f>grocery_chain_data[[#This Row],[Total Amount]]-grocery_chain_data[[#This Row],[Discount Amount]]</f>
        <v>15</v>
      </c>
      <c r="K954">
        <v>351</v>
      </c>
      <c r="L954" t="str">
        <f>IF(grocery_chain_data[[#This Row],[Final Amount]]&lt;0,"Return","Sale")</f>
        <v>Sale</v>
      </c>
      <c r="M954">
        <f>IF(grocery_chain_data[[#This Row],[Final Amount]]&lt;0,0,grocery_chain_data[[#This Row],[Final Amount]])</f>
        <v>15</v>
      </c>
    </row>
    <row r="955" spans="1:13" x14ac:dyDescent="0.3">
      <c r="A955">
        <v>6221</v>
      </c>
      <c r="B955" t="s">
        <v>21</v>
      </c>
      <c r="C955" s="1">
        <v>45867</v>
      </c>
      <c r="D955" s="1" t="str">
        <f t="shared" si="14"/>
        <v>Dairy</v>
      </c>
      <c r="E955" t="s">
        <v>3</v>
      </c>
      <c r="F955" s="2">
        <v>3</v>
      </c>
      <c r="G955" s="3">
        <v>6</v>
      </c>
      <c r="H955" s="3">
        <f>grocery_chain_data[[#This Row],[Quantity]]*grocery_chain_data[[#This Row],[Unit Price]]</f>
        <v>18</v>
      </c>
      <c r="I955" s="3">
        <v>2</v>
      </c>
      <c r="J955" s="3">
        <f>grocery_chain_data[[#This Row],[Total Amount]]-grocery_chain_data[[#This Row],[Discount Amount]]</f>
        <v>16</v>
      </c>
      <c r="K955">
        <v>448</v>
      </c>
      <c r="L955" t="str">
        <f>IF(grocery_chain_data[[#This Row],[Final Amount]]&lt;0,"Return","Sale")</f>
        <v>Sale</v>
      </c>
      <c r="M955">
        <f>IF(grocery_chain_data[[#This Row],[Final Amount]]&lt;0,0,grocery_chain_data[[#This Row],[Final Amount]])</f>
        <v>16</v>
      </c>
    </row>
    <row r="956" spans="1:13" x14ac:dyDescent="0.3">
      <c r="A956">
        <v>2623</v>
      </c>
      <c r="B956" t="s">
        <v>13</v>
      </c>
      <c r="C956" s="1">
        <v>45796</v>
      </c>
      <c r="D956" s="1" t="str">
        <f t="shared" si="14"/>
        <v>Meat &amp; Seafood</v>
      </c>
      <c r="E956" t="s">
        <v>9</v>
      </c>
      <c r="F956" s="2">
        <v>1</v>
      </c>
      <c r="G956" s="3">
        <v>29</v>
      </c>
      <c r="H956" s="3">
        <f>grocery_chain_data[[#This Row],[Quantity]]*grocery_chain_data[[#This Row],[Unit Price]]</f>
        <v>29</v>
      </c>
      <c r="I956" s="3">
        <v>0</v>
      </c>
      <c r="J956" s="3">
        <f>grocery_chain_data[[#This Row],[Total Amount]]-grocery_chain_data[[#This Row],[Discount Amount]]</f>
        <v>29</v>
      </c>
      <c r="K956">
        <v>101</v>
      </c>
      <c r="L956" t="str">
        <f>IF(grocery_chain_data[[#This Row],[Final Amount]]&lt;0,"Return","Sale")</f>
        <v>Sale</v>
      </c>
      <c r="M956">
        <f>IF(grocery_chain_data[[#This Row],[Final Amount]]&lt;0,0,grocery_chain_data[[#This Row],[Final Amount]])</f>
        <v>29</v>
      </c>
    </row>
    <row r="957" spans="1:13" x14ac:dyDescent="0.3">
      <c r="A957">
        <v>6493</v>
      </c>
      <c r="B957" t="s">
        <v>5</v>
      </c>
      <c r="C957" s="1">
        <v>45759</v>
      </c>
      <c r="D957" s="1" t="str">
        <f t="shared" si="14"/>
        <v>Produce</v>
      </c>
      <c r="E957" t="s">
        <v>14</v>
      </c>
      <c r="F957" s="2">
        <v>5</v>
      </c>
      <c r="G957" s="3">
        <v>13</v>
      </c>
      <c r="H957" s="3">
        <f>grocery_chain_data[[#This Row],[Quantity]]*grocery_chain_data[[#This Row],[Unit Price]]</f>
        <v>65</v>
      </c>
      <c r="I957" s="3">
        <v>5</v>
      </c>
      <c r="J957" s="3">
        <f>grocery_chain_data[[#This Row],[Total Amount]]-grocery_chain_data[[#This Row],[Discount Amount]]</f>
        <v>60</v>
      </c>
      <c r="K957">
        <v>133</v>
      </c>
      <c r="L957" t="str">
        <f>IF(grocery_chain_data[[#This Row],[Final Amount]]&lt;0,"Return","Sale")</f>
        <v>Sale</v>
      </c>
      <c r="M957">
        <f>IF(grocery_chain_data[[#This Row],[Final Amount]]&lt;0,0,grocery_chain_data[[#This Row],[Final Amount]])</f>
        <v>60</v>
      </c>
    </row>
    <row r="958" spans="1:13" x14ac:dyDescent="0.3">
      <c r="A958">
        <v>3392</v>
      </c>
      <c r="B958" t="s">
        <v>5</v>
      </c>
      <c r="C958" s="1">
        <v>45251</v>
      </c>
      <c r="D958" s="1" t="str">
        <f t="shared" si="14"/>
        <v>Meat &amp; Seafood</v>
      </c>
      <c r="E958" t="s">
        <v>26</v>
      </c>
      <c r="F958" s="2">
        <v>1</v>
      </c>
      <c r="G958" s="3">
        <v>22</v>
      </c>
      <c r="H958" s="3">
        <f>grocery_chain_data[[#This Row],[Quantity]]*grocery_chain_data[[#This Row],[Unit Price]]</f>
        <v>22</v>
      </c>
      <c r="I958" s="3">
        <v>0</v>
      </c>
      <c r="J958" s="3">
        <f>grocery_chain_data[[#This Row],[Total Amount]]-grocery_chain_data[[#This Row],[Discount Amount]]</f>
        <v>22</v>
      </c>
      <c r="K958">
        <v>222</v>
      </c>
      <c r="L958" t="str">
        <f>IF(grocery_chain_data[[#This Row],[Final Amount]]&lt;0,"Return","Sale")</f>
        <v>Sale</v>
      </c>
      <c r="M958">
        <f>IF(grocery_chain_data[[#This Row],[Final Amount]]&lt;0,0,grocery_chain_data[[#This Row],[Final Amount]])</f>
        <v>22</v>
      </c>
    </row>
    <row r="959" spans="1:13" x14ac:dyDescent="0.3">
      <c r="A959">
        <v>1627</v>
      </c>
      <c r="B959" t="s">
        <v>10</v>
      </c>
      <c r="C959" s="1">
        <v>45367</v>
      </c>
      <c r="D959" s="1" t="str">
        <f t="shared" si="14"/>
        <v>Meat &amp; Seafood</v>
      </c>
      <c r="E959" t="s">
        <v>9</v>
      </c>
      <c r="F959" s="2">
        <v>2</v>
      </c>
      <c r="G959" s="3">
        <v>7</v>
      </c>
      <c r="H959" s="3">
        <f>grocery_chain_data[[#This Row],[Quantity]]*grocery_chain_data[[#This Row],[Unit Price]]</f>
        <v>14</v>
      </c>
      <c r="I959" s="3">
        <v>2</v>
      </c>
      <c r="J959" s="3">
        <f>grocery_chain_data[[#This Row],[Total Amount]]-grocery_chain_data[[#This Row],[Discount Amount]]</f>
        <v>12</v>
      </c>
      <c r="K959">
        <v>441</v>
      </c>
      <c r="L959" t="str">
        <f>IF(grocery_chain_data[[#This Row],[Final Amount]]&lt;0,"Return","Sale")</f>
        <v>Sale</v>
      </c>
      <c r="M959">
        <f>IF(grocery_chain_data[[#This Row],[Final Amount]]&lt;0,0,grocery_chain_data[[#This Row],[Final Amount]])</f>
        <v>12</v>
      </c>
    </row>
    <row r="960" spans="1:13" x14ac:dyDescent="0.3">
      <c r="A960">
        <v>8740</v>
      </c>
      <c r="B960" t="s">
        <v>10</v>
      </c>
      <c r="C960" s="1">
        <v>45685</v>
      </c>
      <c r="D960" s="1" t="str">
        <f t="shared" si="14"/>
        <v>Dairy</v>
      </c>
      <c r="E960" t="s">
        <v>20</v>
      </c>
      <c r="F960" s="2">
        <v>4</v>
      </c>
      <c r="G960" s="3">
        <v>26</v>
      </c>
      <c r="H960" s="3">
        <f>grocery_chain_data[[#This Row],[Quantity]]*grocery_chain_data[[#This Row],[Unit Price]]</f>
        <v>104</v>
      </c>
      <c r="I960" s="3">
        <v>15</v>
      </c>
      <c r="J960" s="3">
        <f>grocery_chain_data[[#This Row],[Total Amount]]-grocery_chain_data[[#This Row],[Discount Amount]]</f>
        <v>89</v>
      </c>
      <c r="K960">
        <v>307</v>
      </c>
      <c r="L960" t="str">
        <f>IF(grocery_chain_data[[#This Row],[Final Amount]]&lt;0,"Return","Sale")</f>
        <v>Sale</v>
      </c>
      <c r="M960">
        <f>IF(grocery_chain_data[[#This Row],[Final Amount]]&lt;0,0,grocery_chain_data[[#This Row],[Final Amount]])</f>
        <v>89</v>
      </c>
    </row>
    <row r="961" spans="1:13" x14ac:dyDescent="0.3">
      <c r="A961">
        <v>3273</v>
      </c>
      <c r="B961" t="s">
        <v>21</v>
      </c>
      <c r="C961" s="1">
        <v>45734</v>
      </c>
      <c r="D961" s="1" t="str">
        <f t="shared" si="14"/>
        <v>Produce</v>
      </c>
      <c r="E961" t="s">
        <v>11</v>
      </c>
      <c r="F961" s="2">
        <v>4</v>
      </c>
      <c r="G961" s="3">
        <v>24</v>
      </c>
      <c r="H961" s="3">
        <f>grocery_chain_data[[#This Row],[Quantity]]*grocery_chain_data[[#This Row],[Unit Price]]</f>
        <v>96</v>
      </c>
      <c r="I961" s="3">
        <v>14</v>
      </c>
      <c r="J961" s="3">
        <f>grocery_chain_data[[#This Row],[Total Amount]]-grocery_chain_data[[#This Row],[Discount Amount]]</f>
        <v>82</v>
      </c>
      <c r="K961">
        <v>14</v>
      </c>
      <c r="L961" t="str">
        <f>IF(grocery_chain_data[[#This Row],[Final Amount]]&lt;0,"Return","Sale")</f>
        <v>Sale</v>
      </c>
      <c r="M961">
        <f>IF(grocery_chain_data[[#This Row],[Final Amount]]&lt;0,0,grocery_chain_data[[#This Row],[Final Amount]])</f>
        <v>82</v>
      </c>
    </row>
    <row r="962" spans="1:13" x14ac:dyDescent="0.3">
      <c r="A962">
        <v>8685</v>
      </c>
      <c r="B962" t="s">
        <v>21</v>
      </c>
      <c r="C962" s="1">
        <v>45493</v>
      </c>
      <c r="D962" s="1" t="str">
        <f t="shared" ref="D962:D1025" si="15">IF(E962="Pasta","Pantry",
IF(E962="Cheese","Dairy",
IF(E962="Onions","Produce",
IF(E962="Cereal","Pantry",
IF(E962="Orange Juice","Beverages",
IF(E962="Ground Beef","Meat &amp; Seafood",
IF(E962="Apples","Produce",
IF(E962="Milk","Dairy",
IF(E962="Bananas","Produce",
IF(E962="Bread","Bakery",
IF(E962="Carrots","Produce",
IF(E962="Chicken Breast","Meat &amp; Seafood",
IF(E962="Eggs","Dairy",
IF(E962="Potatoes","Produce",
IF(E962="Rice","Produce",
IF(E962="Salmon","Meat &amp; Seafood",
IF(E962="Tomatoes","Produce",
IF(E962="Yogurt","Dairy",
"Others"))))))))))))))))))</f>
        <v>Meat &amp; Seafood</v>
      </c>
      <c r="E962" t="s">
        <v>15</v>
      </c>
      <c r="F962" s="2">
        <v>2</v>
      </c>
      <c r="G962" s="3">
        <v>12</v>
      </c>
      <c r="H962" s="3">
        <f>grocery_chain_data[[#This Row],[Quantity]]*grocery_chain_data[[#This Row],[Unit Price]]</f>
        <v>24</v>
      </c>
      <c r="I962" s="3">
        <v>1</v>
      </c>
      <c r="J962" s="3">
        <f>grocery_chain_data[[#This Row],[Total Amount]]-grocery_chain_data[[#This Row],[Discount Amount]]</f>
        <v>23</v>
      </c>
      <c r="K962">
        <v>350</v>
      </c>
      <c r="L962" t="str">
        <f>IF(grocery_chain_data[[#This Row],[Final Amount]]&lt;0,"Return","Sale")</f>
        <v>Sale</v>
      </c>
      <c r="M962">
        <f>IF(grocery_chain_data[[#This Row],[Final Amount]]&lt;0,0,grocery_chain_data[[#This Row],[Final Amount]])</f>
        <v>23</v>
      </c>
    </row>
    <row r="963" spans="1:13" x14ac:dyDescent="0.3">
      <c r="A963">
        <v>1086</v>
      </c>
      <c r="B963" t="s">
        <v>5</v>
      </c>
      <c r="C963" s="1">
        <v>45848</v>
      </c>
      <c r="D963" s="1" t="str">
        <f t="shared" si="15"/>
        <v>Produce</v>
      </c>
      <c r="E963" t="s">
        <v>14</v>
      </c>
      <c r="F963" s="2">
        <v>2</v>
      </c>
      <c r="G963" s="3">
        <v>22</v>
      </c>
      <c r="H963" s="3">
        <f>grocery_chain_data[[#This Row],[Quantity]]*grocery_chain_data[[#This Row],[Unit Price]]</f>
        <v>44</v>
      </c>
      <c r="I963" s="3">
        <v>0</v>
      </c>
      <c r="J963" s="3">
        <f>grocery_chain_data[[#This Row],[Total Amount]]-grocery_chain_data[[#This Row],[Discount Amount]]</f>
        <v>44</v>
      </c>
      <c r="K963">
        <v>362</v>
      </c>
      <c r="L963" t="str">
        <f>IF(grocery_chain_data[[#This Row],[Final Amount]]&lt;0,"Return","Sale")</f>
        <v>Sale</v>
      </c>
      <c r="M963">
        <f>IF(grocery_chain_data[[#This Row],[Final Amount]]&lt;0,0,grocery_chain_data[[#This Row],[Final Amount]])</f>
        <v>44</v>
      </c>
    </row>
    <row r="964" spans="1:13" x14ac:dyDescent="0.3">
      <c r="A964">
        <v>2298</v>
      </c>
      <c r="B964" t="s">
        <v>12</v>
      </c>
      <c r="C964" s="1">
        <v>45159</v>
      </c>
      <c r="D964" s="1" t="str">
        <f t="shared" si="15"/>
        <v>Meat &amp; Seafood</v>
      </c>
      <c r="E964" t="s">
        <v>26</v>
      </c>
      <c r="F964" s="2">
        <v>5</v>
      </c>
      <c r="G964" s="3">
        <v>3</v>
      </c>
      <c r="H964" s="3">
        <f>grocery_chain_data[[#This Row],[Quantity]]*grocery_chain_data[[#This Row],[Unit Price]]</f>
        <v>15</v>
      </c>
      <c r="I964" s="3">
        <v>1</v>
      </c>
      <c r="J964" s="3">
        <f>grocery_chain_data[[#This Row],[Total Amount]]-grocery_chain_data[[#This Row],[Discount Amount]]</f>
        <v>14</v>
      </c>
      <c r="K964">
        <v>170</v>
      </c>
      <c r="L964" t="str">
        <f>IF(grocery_chain_data[[#This Row],[Final Amount]]&lt;0,"Return","Sale")</f>
        <v>Sale</v>
      </c>
      <c r="M964">
        <f>IF(grocery_chain_data[[#This Row],[Final Amount]]&lt;0,0,grocery_chain_data[[#This Row],[Final Amount]])</f>
        <v>14</v>
      </c>
    </row>
    <row r="965" spans="1:13" x14ac:dyDescent="0.3">
      <c r="A965">
        <v>5193</v>
      </c>
      <c r="B965" t="s">
        <v>16</v>
      </c>
      <c r="C965" s="1">
        <v>45312</v>
      </c>
      <c r="D965" s="1" t="str">
        <f t="shared" si="15"/>
        <v>Dairy</v>
      </c>
      <c r="E965" t="s">
        <v>19</v>
      </c>
      <c r="F965" s="2">
        <v>1</v>
      </c>
      <c r="G965" s="3">
        <v>8</v>
      </c>
      <c r="H965" s="3">
        <f>grocery_chain_data[[#This Row],[Quantity]]*grocery_chain_data[[#This Row],[Unit Price]]</f>
        <v>8</v>
      </c>
      <c r="I965" s="3">
        <v>1</v>
      </c>
      <c r="J965" s="3">
        <f>grocery_chain_data[[#This Row],[Total Amount]]-grocery_chain_data[[#This Row],[Discount Amount]]</f>
        <v>7</v>
      </c>
      <c r="K965">
        <v>317</v>
      </c>
      <c r="L965" t="str">
        <f>IF(grocery_chain_data[[#This Row],[Final Amount]]&lt;0,"Return","Sale")</f>
        <v>Sale</v>
      </c>
      <c r="M965">
        <f>IF(grocery_chain_data[[#This Row],[Final Amount]]&lt;0,0,grocery_chain_data[[#This Row],[Final Amount]])</f>
        <v>7</v>
      </c>
    </row>
    <row r="966" spans="1:13" x14ac:dyDescent="0.3">
      <c r="A966">
        <v>3449</v>
      </c>
      <c r="B966" t="s">
        <v>8</v>
      </c>
      <c r="C966" s="1">
        <v>45571</v>
      </c>
      <c r="D966" s="1" t="str">
        <f t="shared" si="15"/>
        <v>Beverages</v>
      </c>
      <c r="E966" t="s">
        <v>7</v>
      </c>
      <c r="F966" s="2">
        <v>2</v>
      </c>
      <c r="G966" s="3">
        <v>29</v>
      </c>
      <c r="H966" s="3">
        <f>grocery_chain_data[[#This Row],[Quantity]]*grocery_chain_data[[#This Row],[Unit Price]]</f>
        <v>58</v>
      </c>
      <c r="I966" s="3">
        <v>2</v>
      </c>
      <c r="J966" s="3">
        <f>grocery_chain_data[[#This Row],[Total Amount]]-grocery_chain_data[[#This Row],[Discount Amount]]</f>
        <v>56</v>
      </c>
      <c r="K966">
        <v>286</v>
      </c>
      <c r="L966" t="str">
        <f>IF(grocery_chain_data[[#This Row],[Final Amount]]&lt;0,"Return","Sale")</f>
        <v>Sale</v>
      </c>
      <c r="M966">
        <f>IF(grocery_chain_data[[#This Row],[Final Amount]]&lt;0,0,grocery_chain_data[[#This Row],[Final Amount]])</f>
        <v>56</v>
      </c>
    </row>
    <row r="967" spans="1:13" x14ac:dyDescent="0.3">
      <c r="A967">
        <v>9647</v>
      </c>
      <c r="B967" t="s">
        <v>5</v>
      </c>
      <c r="C967" s="1">
        <v>45473</v>
      </c>
      <c r="D967" s="1" t="str">
        <f t="shared" si="15"/>
        <v>Produce</v>
      </c>
      <c r="E967" t="s">
        <v>25</v>
      </c>
      <c r="F967" s="2">
        <v>3</v>
      </c>
      <c r="G967" s="3">
        <v>26</v>
      </c>
      <c r="H967" s="3">
        <f>grocery_chain_data[[#This Row],[Quantity]]*grocery_chain_data[[#This Row],[Unit Price]]</f>
        <v>78</v>
      </c>
      <c r="I967" s="3">
        <v>12</v>
      </c>
      <c r="J967" s="3">
        <f>grocery_chain_data[[#This Row],[Total Amount]]-grocery_chain_data[[#This Row],[Discount Amount]]</f>
        <v>66</v>
      </c>
      <c r="K967">
        <v>67</v>
      </c>
      <c r="L967" t="str">
        <f>IF(grocery_chain_data[[#This Row],[Final Amount]]&lt;0,"Return","Sale")</f>
        <v>Sale</v>
      </c>
      <c r="M967">
        <f>IF(grocery_chain_data[[#This Row],[Final Amount]]&lt;0,0,grocery_chain_data[[#This Row],[Final Amount]])</f>
        <v>66</v>
      </c>
    </row>
    <row r="968" spans="1:13" x14ac:dyDescent="0.3">
      <c r="A968">
        <v>2821</v>
      </c>
      <c r="B968" t="s">
        <v>2</v>
      </c>
      <c r="C968" s="1">
        <v>45747</v>
      </c>
      <c r="D968" s="1" t="str">
        <f t="shared" si="15"/>
        <v>Dairy</v>
      </c>
      <c r="E968" t="s">
        <v>20</v>
      </c>
      <c r="F968" s="2">
        <v>3</v>
      </c>
      <c r="G968" s="3">
        <v>4</v>
      </c>
      <c r="H968" s="3">
        <f>grocery_chain_data[[#This Row],[Quantity]]*grocery_chain_data[[#This Row],[Unit Price]]</f>
        <v>12</v>
      </c>
      <c r="I968" s="3">
        <v>1</v>
      </c>
      <c r="J968" s="3">
        <f>grocery_chain_data[[#This Row],[Total Amount]]-grocery_chain_data[[#This Row],[Discount Amount]]</f>
        <v>11</v>
      </c>
      <c r="K968">
        <v>22</v>
      </c>
      <c r="L968" t="str">
        <f>IF(grocery_chain_data[[#This Row],[Final Amount]]&lt;0,"Return","Sale")</f>
        <v>Sale</v>
      </c>
      <c r="M968">
        <f>IF(grocery_chain_data[[#This Row],[Final Amount]]&lt;0,0,grocery_chain_data[[#This Row],[Final Amount]])</f>
        <v>11</v>
      </c>
    </row>
    <row r="969" spans="1:13" x14ac:dyDescent="0.3">
      <c r="A969">
        <v>5720</v>
      </c>
      <c r="B969" t="s">
        <v>12</v>
      </c>
      <c r="C969" s="1">
        <v>45329</v>
      </c>
      <c r="D969" s="1" t="str">
        <f t="shared" si="15"/>
        <v>Dairy</v>
      </c>
      <c r="E969" t="s">
        <v>3</v>
      </c>
      <c r="F969" s="2">
        <v>3</v>
      </c>
      <c r="G969" s="3">
        <v>27</v>
      </c>
      <c r="H969" s="3">
        <f>grocery_chain_data[[#This Row],[Quantity]]*grocery_chain_data[[#This Row],[Unit Price]]</f>
        <v>81</v>
      </c>
      <c r="I969" s="3">
        <v>2</v>
      </c>
      <c r="J969" s="3">
        <f>grocery_chain_data[[#This Row],[Total Amount]]-grocery_chain_data[[#This Row],[Discount Amount]]</f>
        <v>79</v>
      </c>
      <c r="K969">
        <v>134</v>
      </c>
      <c r="L969" t="str">
        <f>IF(grocery_chain_data[[#This Row],[Final Amount]]&lt;0,"Return","Sale")</f>
        <v>Sale</v>
      </c>
      <c r="M969">
        <f>IF(grocery_chain_data[[#This Row],[Final Amount]]&lt;0,0,grocery_chain_data[[#This Row],[Final Amount]])</f>
        <v>79</v>
      </c>
    </row>
    <row r="970" spans="1:13" x14ac:dyDescent="0.3">
      <c r="A970">
        <v>5934</v>
      </c>
      <c r="B970" t="s">
        <v>5</v>
      </c>
      <c r="C970" s="1">
        <v>45239</v>
      </c>
      <c r="D970" s="1" t="str">
        <f t="shared" si="15"/>
        <v>Produce</v>
      </c>
      <c r="E970" t="s">
        <v>25</v>
      </c>
      <c r="F970" s="2">
        <v>2</v>
      </c>
      <c r="G970" s="3">
        <v>17</v>
      </c>
      <c r="H970" s="3">
        <f>grocery_chain_data[[#This Row],[Quantity]]*grocery_chain_data[[#This Row],[Unit Price]]</f>
        <v>34</v>
      </c>
      <c r="I970" s="3">
        <v>2</v>
      </c>
      <c r="J970" s="3">
        <f>grocery_chain_data[[#This Row],[Total Amount]]-grocery_chain_data[[#This Row],[Discount Amount]]</f>
        <v>32</v>
      </c>
      <c r="K970">
        <v>472</v>
      </c>
      <c r="L970" t="str">
        <f>IF(grocery_chain_data[[#This Row],[Final Amount]]&lt;0,"Return","Sale")</f>
        <v>Sale</v>
      </c>
      <c r="M970">
        <f>IF(grocery_chain_data[[#This Row],[Final Amount]]&lt;0,0,grocery_chain_data[[#This Row],[Final Amount]])</f>
        <v>32</v>
      </c>
    </row>
    <row r="971" spans="1:13" x14ac:dyDescent="0.3">
      <c r="A971">
        <v>1782</v>
      </c>
      <c r="B971" t="s">
        <v>13</v>
      </c>
      <c r="C971" s="1">
        <v>45330</v>
      </c>
      <c r="D971" s="1" t="str">
        <f t="shared" si="15"/>
        <v>Produce</v>
      </c>
      <c r="E971" t="s">
        <v>11</v>
      </c>
      <c r="F971" s="2">
        <v>1</v>
      </c>
      <c r="G971" s="3">
        <v>15</v>
      </c>
      <c r="H971" s="3">
        <f>grocery_chain_data[[#This Row],[Quantity]]*grocery_chain_data[[#This Row],[Unit Price]]</f>
        <v>15</v>
      </c>
      <c r="I971" s="3">
        <v>1</v>
      </c>
      <c r="J971" s="3">
        <f>grocery_chain_data[[#This Row],[Total Amount]]-grocery_chain_data[[#This Row],[Discount Amount]]</f>
        <v>14</v>
      </c>
      <c r="K971">
        <v>83</v>
      </c>
      <c r="L971" t="str">
        <f>IF(grocery_chain_data[[#This Row],[Final Amount]]&lt;0,"Return","Sale")</f>
        <v>Sale</v>
      </c>
      <c r="M971">
        <f>IF(grocery_chain_data[[#This Row],[Final Amount]]&lt;0,0,grocery_chain_data[[#This Row],[Final Amount]])</f>
        <v>14</v>
      </c>
    </row>
    <row r="972" spans="1:13" x14ac:dyDescent="0.3">
      <c r="A972">
        <v>7878</v>
      </c>
      <c r="B972" t="s">
        <v>0</v>
      </c>
      <c r="C972" s="1">
        <v>45641</v>
      </c>
      <c r="D972" s="1" t="str">
        <f t="shared" si="15"/>
        <v>Dairy</v>
      </c>
      <c r="E972" t="s">
        <v>19</v>
      </c>
      <c r="F972" s="2">
        <v>4</v>
      </c>
      <c r="G972" s="3">
        <v>11</v>
      </c>
      <c r="H972" s="3">
        <f>grocery_chain_data[[#This Row],[Quantity]]*grocery_chain_data[[#This Row],[Unit Price]]</f>
        <v>44</v>
      </c>
      <c r="I972" s="3">
        <v>5</v>
      </c>
      <c r="J972" s="3">
        <f>grocery_chain_data[[#This Row],[Total Amount]]-grocery_chain_data[[#This Row],[Discount Amount]]</f>
        <v>39</v>
      </c>
      <c r="K972">
        <v>363</v>
      </c>
      <c r="L972" t="str">
        <f>IF(grocery_chain_data[[#This Row],[Final Amount]]&lt;0,"Return","Sale")</f>
        <v>Sale</v>
      </c>
      <c r="M972">
        <f>IF(grocery_chain_data[[#This Row],[Final Amount]]&lt;0,0,grocery_chain_data[[#This Row],[Final Amount]])</f>
        <v>39</v>
      </c>
    </row>
    <row r="973" spans="1:13" x14ac:dyDescent="0.3">
      <c r="A973">
        <v>8489</v>
      </c>
      <c r="B973" t="s">
        <v>10</v>
      </c>
      <c r="C973" s="1">
        <v>45193</v>
      </c>
      <c r="D973" s="1" t="str">
        <f t="shared" si="15"/>
        <v>Dairy</v>
      </c>
      <c r="E973" t="s">
        <v>20</v>
      </c>
      <c r="F973" s="2">
        <v>1</v>
      </c>
      <c r="G973" s="3">
        <v>11</v>
      </c>
      <c r="H973" s="3">
        <f>grocery_chain_data[[#This Row],[Quantity]]*grocery_chain_data[[#This Row],[Unit Price]]</f>
        <v>11</v>
      </c>
      <c r="I973" s="3">
        <v>2</v>
      </c>
      <c r="J973" s="3">
        <f>grocery_chain_data[[#This Row],[Total Amount]]-grocery_chain_data[[#This Row],[Discount Amount]]</f>
        <v>9</v>
      </c>
      <c r="K973">
        <v>104</v>
      </c>
      <c r="L973" t="str">
        <f>IF(grocery_chain_data[[#This Row],[Final Amount]]&lt;0,"Return","Sale")</f>
        <v>Sale</v>
      </c>
      <c r="M973">
        <f>IF(grocery_chain_data[[#This Row],[Final Amount]]&lt;0,0,grocery_chain_data[[#This Row],[Final Amount]])</f>
        <v>9</v>
      </c>
    </row>
    <row r="974" spans="1:13" x14ac:dyDescent="0.3">
      <c r="A974">
        <v>2816</v>
      </c>
      <c r="B974" t="s">
        <v>5</v>
      </c>
      <c r="C974" s="1">
        <v>45794</v>
      </c>
      <c r="D974" s="1" t="str">
        <f t="shared" si="15"/>
        <v>Pantry</v>
      </c>
      <c r="E974" t="s">
        <v>1</v>
      </c>
      <c r="F974" s="2">
        <v>5</v>
      </c>
      <c r="G974" s="3">
        <v>27</v>
      </c>
      <c r="H974" s="3">
        <f>grocery_chain_data[[#This Row],[Quantity]]*grocery_chain_data[[#This Row],[Unit Price]]</f>
        <v>135</v>
      </c>
      <c r="I974" s="3">
        <v>5</v>
      </c>
      <c r="J974" s="3">
        <f>grocery_chain_data[[#This Row],[Total Amount]]-grocery_chain_data[[#This Row],[Discount Amount]]</f>
        <v>130</v>
      </c>
      <c r="K974">
        <v>299</v>
      </c>
      <c r="L974" t="str">
        <f>IF(grocery_chain_data[[#This Row],[Final Amount]]&lt;0,"Return","Sale")</f>
        <v>Sale</v>
      </c>
      <c r="M974">
        <f>IF(grocery_chain_data[[#This Row],[Final Amount]]&lt;0,0,grocery_chain_data[[#This Row],[Final Amount]])</f>
        <v>130</v>
      </c>
    </row>
    <row r="975" spans="1:13" x14ac:dyDescent="0.3">
      <c r="A975">
        <v>9189</v>
      </c>
      <c r="B975" t="s">
        <v>13</v>
      </c>
      <c r="C975" s="1">
        <v>45608</v>
      </c>
      <c r="D975" s="1" t="str">
        <f t="shared" si="15"/>
        <v>Produce</v>
      </c>
      <c r="E975" t="s">
        <v>11</v>
      </c>
      <c r="F975" s="2">
        <v>4</v>
      </c>
      <c r="G975" s="3">
        <v>28</v>
      </c>
      <c r="H975" s="3">
        <f>grocery_chain_data[[#This Row],[Quantity]]*grocery_chain_data[[#This Row],[Unit Price]]</f>
        <v>112</v>
      </c>
      <c r="I975" s="3">
        <v>0</v>
      </c>
      <c r="J975" s="3">
        <f>grocery_chain_data[[#This Row],[Total Amount]]-grocery_chain_data[[#This Row],[Discount Amount]]</f>
        <v>112</v>
      </c>
      <c r="K975">
        <v>126</v>
      </c>
      <c r="L975" t="str">
        <f>IF(grocery_chain_data[[#This Row],[Final Amount]]&lt;0,"Return","Sale")</f>
        <v>Sale</v>
      </c>
      <c r="M975">
        <f>IF(grocery_chain_data[[#This Row],[Final Amount]]&lt;0,0,grocery_chain_data[[#This Row],[Final Amount]])</f>
        <v>112</v>
      </c>
    </row>
    <row r="976" spans="1:13" x14ac:dyDescent="0.3">
      <c r="A976">
        <v>9782</v>
      </c>
      <c r="B976" t="s">
        <v>0</v>
      </c>
      <c r="C976" s="1">
        <v>45157</v>
      </c>
      <c r="D976" s="1" t="str">
        <f t="shared" si="15"/>
        <v>Produce</v>
      </c>
      <c r="E976" t="s">
        <v>18</v>
      </c>
      <c r="F976" s="2">
        <v>3</v>
      </c>
      <c r="G976" s="3">
        <v>21</v>
      </c>
      <c r="H976" s="3">
        <f>grocery_chain_data[[#This Row],[Quantity]]*grocery_chain_data[[#This Row],[Unit Price]]</f>
        <v>63</v>
      </c>
      <c r="I976" s="3">
        <v>6</v>
      </c>
      <c r="J976" s="3">
        <f>grocery_chain_data[[#This Row],[Total Amount]]-grocery_chain_data[[#This Row],[Discount Amount]]</f>
        <v>57</v>
      </c>
      <c r="K976">
        <v>348</v>
      </c>
      <c r="L976" t="str">
        <f>IF(grocery_chain_data[[#This Row],[Final Amount]]&lt;0,"Return","Sale")</f>
        <v>Sale</v>
      </c>
      <c r="M976">
        <f>IF(grocery_chain_data[[#This Row],[Final Amount]]&lt;0,0,grocery_chain_data[[#This Row],[Final Amount]])</f>
        <v>57</v>
      </c>
    </row>
    <row r="977" spans="1:13" x14ac:dyDescent="0.3">
      <c r="A977">
        <v>9443</v>
      </c>
      <c r="B977" t="s">
        <v>16</v>
      </c>
      <c r="C977" s="1">
        <v>45591</v>
      </c>
      <c r="D977" s="1" t="str">
        <f t="shared" si="15"/>
        <v>Meat &amp; Seafood</v>
      </c>
      <c r="E977" t="s">
        <v>26</v>
      </c>
      <c r="F977" s="2">
        <v>3</v>
      </c>
      <c r="G977" s="3">
        <v>5</v>
      </c>
      <c r="H977" s="3">
        <f>grocery_chain_data[[#This Row],[Quantity]]*grocery_chain_data[[#This Row],[Unit Price]]</f>
        <v>15</v>
      </c>
      <c r="I977" s="3">
        <v>0</v>
      </c>
      <c r="J977" s="3">
        <f>grocery_chain_data[[#This Row],[Total Amount]]-grocery_chain_data[[#This Row],[Discount Amount]]</f>
        <v>15</v>
      </c>
      <c r="K977">
        <v>41</v>
      </c>
      <c r="L977" t="str">
        <f>IF(grocery_chain_data[[#This Row],[Final Amount]]&lt;0,"Return","Sale")</f>
        <v>Sale</v>
      </c>
      <c r="M977">
        <f>IF(grocery_chain_data[[#This Row],[Final Amount]]&lt;0,0,grocery_chain_data[[#This Row],[Final Amount]])</f>
        <v>15</v>
      </c>
    </row>
    <row r="978" spans="1:13" x14ac:dyDescent="0.3">
      <c r="A978">
        <v>4963</v>
      </c>
      <c r="B978" t="s">
        <v>10</v>
      </c>
      <c r="C978" s="1">
        <v>45703</v>
      </c>
      <c r="D978" s="1" t="str">
        <f t="shared" si="15"/>
        <v>Pantry</v>
      </c>
      <c r="E978" t="s">
        <v>1</v>
      </c>
      <c r="F978" s="2">
        <v>5</v>
      </c>
      <c r="G978" s="3">
        <v>20</v>
      </c>
      <c r="H978" s="3">
        <f>grocery_chain_data[[#This Row],[Quantity]]*grocery_chain_data[[#This Row],[Unit Price]]</f>
        <v>100</v>
      </c>
      <c r="I978" s="3">
        <v>0</v>
      </c>
      <c r="J978" s="3">
        <f>grocery_chain_data[[#This Row],[Total Amount]]-grocery_chain_data[[#This Row],[Discount Amount]]</f>
        <v>100</v>
      </c>
      <c r="K978">
        <v>168</v>
      </c>
      <c r="L978" t="str">
        <f>IF(grocery_chain_data[[#This Row],[Final Amount]]&lt;0,"Return","Sale")</f>
        <v>Sale</v>
      </c>
      <c r="M978">
        <f>IF(grocery_chain_data[[#This Row],[Final Amount]]&lt;0,0,grocery_chain_data[[#This Row],[Final Amount]])</f>
        <v>100</v>
      </c>
    </row>
    <row r="979" spans="1:13" x14ac:dyDescent="0.3">
      <c r="A979">
        <v>3352</v>
      </c>
      <c r="B979" t="s">
        <v>10</v>
      </c>
      <c r="C979" s="1">
        <v>45371</v>
      </c>
      <c r="D979" s="1" t="str">
        <f t="shared" si="15"/>
        <v>Dairy</v>
      </c>
      <c r="E979" t="s">
        <v>20</v>
      </c>
      <c r="F979" s="2">
        <v>2</v>
      </c>
      <c r="G979" s="3">
        <v>26</v>
      </c>
      <c r="H979" s="3">
        <f>grocery_chain_data[[#This Row],[Quantity]]*grocery_chain_data[[#This Row],[Unit Price]]</f>
        <v>52</v>
      </c>
      <c r="I979" s="3">
        <v>8</v>
      </c>
      <c r="J979" s="3">
        <f>grocery_chain_data[[#This Row],[Total Amount]]-grocery_chain_data[[#This Row],[Discount Amount]]</f>
        <v>44</v>
      </c>
      <c r="K979">
        <v>410</v>
      </c>
      <c r="L979" t="str">
        <f>IF(grocery_chain_data[[#This Row],[Final Amount]]&lt;0,"Return","Sale")</f>
        <v>Sale</v>
      </c>
      <c r="M979">
        <f>IF(grocery_chain_data[[#This Row],[Final Amount]]&lt;0,0,grocery_chain_data[[#This Row],[Final Amount]])</f>
        <v>44</v>
      </c>
    </row>
    <row r="980" spans="1:13" x14ac:dyDescent="0.3">
      <c r="A980">
        <v>8032</v>
      </c>
      <c r="B980" t="s">
        <v>13</v>
      </c>
      <c r="C980" s="1">
        <v>45146</v>
      </c>
      <c r="D980" s="1" t="str">
        <f t="shared" si="15"/>
        <v>Produce</v>
      </c>
      <c r="E980" t="s">
        <v>4</v>
      </c>
      <c r="F980" s="2">
        <v>5</v>
      </c>
      <c r="G980" s="3">
        <v>12</v>
      </c>
      <c r="H980" s="3">
        <f>grocery_chain_data[[#This Row],[Quantity]]*grocery_chain_data[[#This Row],[Unit Price]]</f>
        <v>60</v>
      </c>
      <c r="I980" s="3">
        <v>12</v>
      </c>
      <c r="J980" s="3">
        <f>grocery_chain_data[[#This Row],[Total Amount]]-grocery_chain_data[[#This Row],[Discount Amount]]</f>
        <v>48</v>
      </c>
      <c r="K980">
        <v>204</v>
      </c>
      <c r="L980" t="str">
        <f>IF(grocery_chain_data[[#This Row],[Final Amount]]&lt;0,"Return","Sale")</f>
        <v>Sale</v>
      </c>
      <c r="M980">
        <f>IF(grocery_chain_data[[#This Row],[Final Amount]]&lt;0,0,grocery_chain_data[[#This Row],[Final Amount]])</f>
        <v>48</v>
      </c>
    </row>
    <row r="981" spans="1:13" x14ac:dyDescent="0.3">
      <c r="A981">
        <v>6780</v>
      </c>
      <c r="B981" t="s">
        <v>21</v>
      </c>
      <c r="C981" s="1">
        <v>45331</v>
      </c>
      <c r="D981" s="1" t="str">
        <f t="shared" si="15"/>
        <v>Bakery</v>
      </c>
      <c r="E981" t="s">
        <v>22</v>
      </c>
      <c r="F981" s="2">
        <v>1</v>
      </c>
      <c r="G981" s="3">
        <v>26</v>
      </c>
      <c r="H981" s="3">
        <f>grocery_chain_data[[#This Row],[Quantity]]*grocery_chain_data[[#This Row],[Unit Price]]</f>
        <v>26</v>
      </c>
      <c r="I981" s="3">
        <v>3</v>
      </c>
      <c r="J981" s="3">
        <f>grocery_chain_data[[#This Row],[Total Amount]]-grocery_chain_data[[#This Row],[Discount Amount]]</f>
        <v>23</v>
      </c>
      <c r="K981">
        <v>83</v>
      </c>
      <c r="L981" t="str">
        <f>IF(grocery_chain_data[[#This Row],[Final Amount]]&lt;0,"Return","Sale")</f>
        <v>Sale</v>
      </c>
      <c r="M981">
        <f>IF(grocery_chain_data[[#This Row],[Final Amount]]&lt;0,0,grocery_chain_data[[#This Row],[Final Amount]])</f>
        <v>23</v>
      </c>
    </row>
    <row r="982" spans="1:13" x14ac:dyDescent="0.3">
      <c r="A982">
        <v>7825</v>
      </c>
      <c r="B982" t="s">
        <v>12</v>
      </c>
      <c r="C982" s="1">
        <v>45290</v>
      </c>
      <c r="D982" s="1" t="str">
        <f t="shared" si="15"/>
        <v>Dairy</v>
      </c>
      <c r="E982" t="s">
        <v>20</v>
      </c>
      <c r="F982" s="2">
        <v>1</v>
      </c>
      <c r="G982" s="3">
        <v>10</v>
      </c>
      <c r="H982" s="3">
        <f>grocery_chain_data[[#This Row],[Quantity]]*grocery_chain_data[[#This Row],[Unit Price]]</f>
        <v>10</v>
      </c>
      <c r="I982" s="3">
        <v>0</v>
      </c>
      <c r="J982" s="3">
        <f>grocery_chain_data[[#This Row],[Total Amount]]-grocery_chain_data[[#This Row],[Discount Amount]]</f>
        <v>10</v>
      </c>
      <c r="K982">
        <v>410</v>
      </c>
      <c r="L982" t="str">
        <f>IF(grocery_chain_data[[#This Row],[Final Amount]]&lt;0,"Return","Sale")</f>
        <v>Sale</v>
      </c>
      <c r="M982">
        <f>IF(grocery_chain_data[[#This Row],[Final Amount]]&lt;0,0,grocery_chain_data[[#This Row],[Final Amount]])</f>
        <v>10</v>
      </c>
    </row>
    <row r="983" spans="1:13" x14ac:dyDescent="0.3">
      <c r="A983">
        <v>2402</v>
      </c>
      <c r="B983" t="s">
        <v>12</v>
      </c>
      <c r="C983" s="1">
        <v>45551</v>
      </c>
      <c r="D983" s="1" t="str">
        <f t="shared" si="15"/>
        <v>Dairy</v>
      </c>
      <c r="E983" t="s">
        <v>20</v>
      </c>
      <c r="F983" s="2">
        <v>3</v>
      </c>
      <c r="G983" s="3">
        <v>20</v>
      </c>
      <c r="H983" s="3">
        <f>grocery_chain_data[[#This Row],[Quantity]]*grocery_chain_data[[#This Row],[Unit Price]]</f>
        <v>60</v>
      </c>
      <c r="I983" s="3">
        <v>2</v>
      </c>
      <c r="J983" s="3">
        <f>grocery_chain_data[[#This Row],[Total Amount]]-grocery_chain_data[[#This Row],[Discount Amount]]</f>
        <v>58</v>
      </c>
      <c r="K983">
        <v>426</v>
      </c>
      <c r="L983" t="str">
        <f>IF(grocery_chain_data[[#This Row],[Final Amount]]&lt;0,"Return","Sale")</f>
        <v>Sale</v>
      </c>
      <c r="M983">
        <f>IF(grocery_chain_data[[#This Row],[Final Amount]]&lt;0,0,grocery_chain_data[[#This Row],[Final Amount]])</f>
        <v>58</v>
      </c>
    </row>
    <row r="984" spans="1:13" x14ac:dyDescent="0.3">
      <c r="A984">
        <v>6908</v>
      </c>
      <c r="B984" t="s">
        <v>10</v>
      </c>
      <c r="C984" s="1">
        <v>45197</v>
      </c>
      <c r="D984" s="1" t="str">
        <f t="shared" si="15"/>
        <v>Produce</v>
      </c>
      <c r="E984" t="s">
        <v>25</v>
      </c>
      <c r="F984" s="2">
        <v>3</v>
      </c>
      <c r="G984" s="3">
        <v>17</v>
      </c>
      <c r="H984" s="3">
        <f>grocery_chain_data[[#This Row],[Quantity]]*grocery_chain_data[[#This Row],[Unit Price]]</f>
        <v>51</v>
      </c>
      <c r="I984" s="3">
        <v>5</v>
      </c>
      <c r="J984" s="3">
        <f>grocery_chain_data[[#This Row],[Total Amount]]-grocery_chain_data[[#This Row],[Discount Amount]]</f>
        <v>46</v>
      </c>
      <c r="K984">
        <v>216</v>
      </c>
      <c r="L984" t="str">
        <f>IF(grocery_chain_data[[#This Row],[Final Amount]]&lt;0,"Return","Sale")</f>
        <v>Sale</v>
      </c>
      <c r="M984">
        <f>IF(grocery_chain_data[[#This Row],[Final Amount]]&lt;0,0,grocery_chain_data[[#This Row],[Final Amount]])</f>
        <v>46</v>
      </c>
    </row>
    <row r="985" spans="1:13" x14ac:dyDescent="0.3">
      <c r="A985">
        <v>9618</v>
      </c>
      <c r="B985" t="s">
        <v>16</v>
      </c>
      <c r="C985" s="1">
        <v>45567</v>
      </c>
      <c r="D985" s="1" t="str">
        <f t="shared" si="15"/>
        <v>Produce</v>
      </c>
      <c r="E985" t="s">
        <v>11</v>
      </c>
      <c r="F985" s="2">
        <v>4</v>
      </c>
      <c r="G985" s="3">
        <v>19</v>
      </c>
      <c r="H985" s="3">
        <f>grocery_chain_data[[#This Row],[Quantity]]*grocery_chain_data[[#This Row],[Unit Price]]</f>
        <v>76</v>
      </c>
      <c r="I985" s="3">
        <v>2</v>
      </c>
      <c r="J985" s="3">
        <f>grocery_chain_data[[#This Row],[Total Amount]]-grocery_chain_data[[#This Row],[Discount Amount]]</f>
        <v>74</v>
      </c>
      <c r="K985">
        <v>47</v>
      </c>
      <c r="L985" t="str">
        <f>IF(grocery_chain_data[[#This Row],[Final Amount]]&lt;0,"Return","Sale")</f>
        <v>Sale</v>
      </c>
      <c r="M985">
        <f>IF(grocery_chain_data[[#This Row],[Final Amount]]&lt;0,0,grocery_chain_data[[#This Row],[Final Amount]])</f>
        <v>74</v>
      </c>
    </row>
    <row r="986" spans="1:13" x14ac:dyDescent="0.3">
      <c r="A986">
        <v>9312</v>
      </c>
      <c r="B986" t="s">
        <v>10</v>
      </c>
      <c r="C986" s="1">
        <v>45755</v>
      </c>
      <c r="D986" s="1" t="str">
        <f t="shared" si="15"/>
        <v>Meat &amp; Seafood</v>
      </c>
      <c r="E986" t="s">
        <v>9</v>
      </c>
      <c r="F986" s="2">
        <v>2</v>
      </c>
      <c r="G986" s="3">
        <v>28</v>
      </c>
      <c r="H986" s="3">
        <f>grocery_chain_data[[#This Row],[Quantity]]*grocery_chain_data[[#This Row],[Unit Price]]</f>
        <v>56</v>
      </c>
      <c r="I986" s="3">
        <v>8</v>
      </c>
      <c r="J986" s="3">
        <f>grocery_chain_data[[#This Row],[Total Amount]]-grocery_chain_data[[#This Row],[Discount Amount]]</f>
        <v>48</v>
      </c>
      <c r="K986">
        <v>269</v>
      </c>
      <c r="L986" t="str">
        <f>IF(grocery_chain_data[[#This Row],[Final Amount]]&lt;0,"Return","Sale")</f>
        <v>Sale</v>
      </c>
      <c r="M986">
        <f>IF(grocery_chain_data[[#This Row],[Final Amount]]&lt;0,0,grocery_chain_data[[#This Row],[Final Amount]])</f>
        <v>48</v>
      </c>
    </row>
    <row r="987" spans="1:13" x14ac:dyDescent="0.3">
      <c r="A987">
        <v>9316</v>
      </c>
      <c r="B987" t="s">
        <v>10</v>
      </c>
      <c r="C987" s="1">
        <v>45575</v>
      </c>
      <c r="D987" s="1" t="str">
        <f t="shared" si="15"/>
        <v>Bakery</v>
      </c>
      <c r="E987" t="s">
        <v>22</v>
      </c>
      <c r="F987" s="2">
        <v>4</v>
      </c>
      <c r="G987" s="3">
        <v>10</v>
      </c>
      <c r="H987" s="3">
        <f>grocery_chain_data[[#This Row],[Quantity]]*grocery_chain_data[[#This Row],[Unit Price]]</f>
        <v>40</v>
      </c>
      <c r="I987" s="3">
        <v>8</v>
      </c>
      <c r="J987" s="3">
        <f>grocery_chain_data[[#This Row],[Total Amount]]-grocery_chain_data[[#This Row],[Discount Amount]]</f>
        <v>32</v>
      </c>
      <c r="K987">
        <v>65</v>
      </c>
      <c r="L987" t="str">
        <f>IF(grocery_chain_data[[#This Row],[Final Amount]]&lt;0,"Return","Sale")</f>
        <v>Sale</v>
      </c>
      <c r="M987">
        <f>IF(grocery_chain_data[[#This Row],[Final Amount]]&lt;0,0,grocery_chain_data[[#This Row],[Final Amount]])</f>
        <v>32</v>
      </c>
    </row>
    <row r="988" spans="1:13" x14ac:dyDescent="0.3">
      <c r="A988">
        <v>1333</v>
      </c>
      <c r="B988" t="s">
        <v>2</v>
      </c>
      <c r="C988" s="1">
        <v>45448</v>
      </c>
      <c r="D988" s="1" t="str">
        <f t="shared" si="15"/>
        <v>Produce</v>
      </c>
      <c r="E988" t="s">
        <v>17</v>
      </c>
      <c r="F988" s="2">
        <v>5</v>
      </c>
      <c r="G988" s="3">
        <v>2</v>
      </c>
      <c r="H988" s="3">
        <f>grocery_chain_data[[#This Row],[Quantity]]*grocery_chain_data[[#This Row],[Unit Price]]</f>
        <v>10</v>
      </c>
      <c r="I988" s="3">
        <v>1</v>
      </c>
      <c r="J988" s="3">
        <f>grocery_chain_data[[#This Row],[Total Amount]]-grocery_chain_data[[#This Row],[Discount Amount]]</f>
        <v>9</v>
      </c>
      <c r="K988">
        <v>39</v>
      </c>
      <c r="L988" t="str">
        <f>IF(grocery_chain_data[[#This Row],[Final Amount]]&lt;0,"Return","Sale")</f>
        <v>Sale</v>
      </c>
      <c r="M988">
        <f>IF(grocery_chain_data[[#This Row],[Final Amount]]&lt;0,0,grocery_chain_data[[#This Row],[Final Amount]])</f>
        <v>9</v>
      </c>
    </row>
    <row r="989" spans="1:13" x14ac:dyDescent="0.3">
      <c r="A989">
        <v>8702</v>
      </c>
      <c r="B989" t="s">
        <v>8</v>
      </c>
      <c r="C989" s="1">
        <v>45178</v>
      </c>
      <c r="D989" s="1" t="str">
        <f t="shared" si="15"/>
        <v>Meat &amp; Seafood</v>
      </c>
      <c r="E989" t="s">
        <v>26</v>
      </c>
      <c r="F989" s="2">
        <v>4</v>
      </c>
      <c r="G989" s="3">
        <v>20</v>
      </c>
      <c r="H989" s="3">
        <f>grocery_chain_data[[#This Row],[Quantity]]*grocery_chain_data[[#This Row],[Unit Price]]</f>
        <v>80</v>
      </c>
      <c r="I989" s="3">
        <v>12</v>
      </c>
      <c r="J989" s="3">
        <f>grocery_chain_data[[#This Row],[Total Amount]]-grocery_chain_data[[#This Row],[Discount Amount]]</f>
        <v>68</v>
      </c>
      <c r="K989">
        <v>291</v>
      </c>
      <c r="L989" t="str">
        <f>IF(grocery_chain_data[[#This Row],[Final Amount]]&lt;0,"Return","Sale")</f>
        <v>Sale</v>
      </c>
      <c r="M989">
        <f>IF(grocery_chain_data[[#This Row],[Final Amount]]&lt;0,0,grocery_chain_data[[#This Row],[Final Amount]])</f>
        <v>68</v>
      </c>
    </row>
    <row r="990" spans="1:13" x14ac:dyDescent="0.3">
      <c r="A990">
        <v>7338</v>
      </c>
      <c r="B990" t="s">
        <v>12</v>
      </c>
      <c r="C990" s="1">
        <v>45434</v>
      </c>
      <c r="D990" s="1" t="str">
        <f t="shared" si="15"/>
        <v>Bakery</v>
      </c>
      <c r="E990" t="s">
        <v>22</v>
      </c>
      <c r="F990" s="2">
        <v>5</v>
      </c>
      <c r="G990" s="3">
        <v>1</v>
      </c>
      <c r="H990" s="3">
        <f>grocery_chain_data[[#This Row],[Quantity]]*grocery_chain_data[[#This Row],[Unit Price]]</f>
        <v>5</v>
      </c>
      <c r="I990" s="3">
        <v>1</v>
      </c>
      <c r="J990" s="3">
        <f>grocery_chain_data[[#This Row],[Total Amount]]-grocery_chain_data[[#This Row],[Discount Amount]]</f>
        <v>4</v>
      </c>
      <c r="K990">
        <v>379</v>
      </c>
      <c r="L990" t="str">
        <f>IF(grocery_chain_data[[#This Row],[Final Amount]]&lt;0,"Return","Sale")</f>
        <v>Sale</v>
      </c>
      <c r="M990">
        <f>IF(grocery_chain_data[[#This Row],[Final Amount]]&lt;0,0,grocery_chain_data[[#This Row],[Final Amount]])</f>
        <v>4</v>
      </c>
    </row>
    <row r="991" spans="1:13" x14ac:dyDescent="0.3">
      <c r="A991">
        <v>5155</v>
      </c>
      <c r="B991" t="s">
        <v>5</v>
      </c>
      <c r="C991" s="1">
        <v>45725</v>
      </c>
      <c r="D991" s="1" t="str">
        <f t="shared" si="15"/>
        <v>Dairy</v>
      </c>
      <c r="E991" t="s">
        <v>19</v>
      </c>
      <c r="F991" s="2">
        <v>1</v>
      </c>
      <c r="G991" s="3">
        <v>13</v>
      </c>
      <c r="H991" s="3">
        <f>grocery_chain_data[[#This Row],[Quantity]]*grocery_chain_data[[#This Row],[Unit Price]]</f>
        <v>13</v>
      </c>
      <c r="I991" s="3">
        <v>2</v>
      </c>
      <c r="J991" s="3">
        <f>grocery_chain_data[[#This Row],[Total Amount]]-grocery_chain_data[[#This Row],[Discount Amount]]</f>
        <v>11</v>
      </c>
      <c r="K991">
        <v>360</v>
      </c>
      <c r="L991" t="str">
        <f>IF(grocery_chain_data[[#This Row],[Final Amount]]&lt;0,"Return","Sale")</f>
        <v>Sale</v>
      </c>
      <c r="M991">
        <f>IF(grocery_chain_data[[#This Row],[Final Amount]]&lt;0,0,grocery_chain_data[[#This Row],[Final Amount]])</f>
        <v>11</v>
      </c>
    </row>
    <row r="992" spans="1:13" x14ac:dyDescent="0.3">
      <c r="A992">
        <v>1266</v>
      </c>
      <c r="B992" t="s">
        <v>10</v>
      </c>
      <c r="C992" s="1">
        <v>45422</v>
      </c>
      <c r="D992" s="1" t="str">
        <f t="shared" si="15"/>
        <v>Meat &amp; Seafood</v>
      </c>
      <c r="E992" t="s">
        <v>15</v>
      </c>
      <c r="F992" s="2">
        <v>5</v>
      </c>
      <c r="G992" s="3">
        <v>24</v>
      </c>
      <c r="H992" s="3">
        <f>grocery_chain_data[[#This Row],[Quantity]]*grocery_chain_data[[#This Row],[Unit Price]]</f>
        <v>120</v>
      </c>
      <c r="I992" s="3">
        <v>24</v>
      </c>
      <c r="J992" s="3">
        <f>grocery_chain_data[[#This Row],[Total Amount]]-grocery_chain_data[[#This Row],[Discount Amount]]</f>
        <v>96</v>
      </c>
      <c r="K992">
        <v>174</v>
      </c>
      <c r="L992" t="str">
        <f>IF(grocery_chain_data[[#This Row],[Final Amount]]&lt;0,"Return","Sale")</f>
        <v>Sale</v>
      </c>
      <c r="M992">
        <f>IF(grocery_chain_data[[#This Row],[Final Amount]]&lt;0,0,grocery_chain_data[[#This Row],[Final Amount]])</f>
        <v>96</v>
      </c>
    </row>
    <row r="993" spans="1:13" x14ac:dyDescent="0.3">
      <c r="A993">
        <v>2106</v>
      </c>
      <c r="B993" t="s">
        <v>5</v>
      </c>
      <c r="C993" s="1">
        <v>45412</v>
      </c>
      <c r="D993" s="1" t="str">
        <f t="shared" si="15"/>
        <v>Pantry</v>
      </c>
      <c r="E993" t="s">
        <v>1</v>
      </c>
      <c r="F993" s="2">
        <v>1</v>
      </c>
      <c r="G993" s="3">
        <v>14</v>
      </c>
      <c r="H993" s="3">
        <f>grocery_chain_data[[#This Row],[Quantity]]*grocery_chain_data[[#This Row],[Unit Price]]</f>
        <v>14</v>
      </c>
      <c r="I993" s="3">
        <v>1</v>
      </c>
      <c r="J993" s="3">
        <f>grocery_chain_data[[#This Row],[Total Amount]]-grocery_chain_data[[#This Row],[Discount Amount]]</f>
        <v>13</v>
      </c>
      <c r="K993">
        <v>9</v>
      </c>
      <c r="L993" t="str">
        <f>IF(grocery_chain_data[[#This Row],[Final Amount]]&lt;0,"Return","Sale")</f>
        <v>Sale</v>
      </c>
      <c r="M993">
        <f>IF(grocery_chain_data[[#This Row],[Final Amount]]&lt;0,0,grocery_chain_data[[#This Row],[Final Amount]])</f>
        <v>13</v>
      </c>
    </row>
    <row r="994" spans="1:13" x14ac:dyDescent="0.3">
      <c r="A994">
        <v>4950</v>
      </c>
      <c r="B994" t="s">
        <v>0</v>
      </c>
      <c r="C994" s="1">
        <v>45714</v>
      </c>
      <c r="D994" s="1" t="str">
        <f t="shared" si="15"/>
        <v>Produce</v>
      </c>
      <c r="E994" t="s">
        <v>11</v>
      </c>
      <c r="F994" s="2">
        <v>4</v>
      </c>
      <c r="G994" s="3">
        <v>14</v>
      </c>
      <c r="H994" s="3">
        <f>grocery_chain_data[[#This Row],[Quantity]]*grocery_chain_data[[#This Row],[Unit Price]]</f>
        <v>56</v>
      </c>
      <c r="I994" s="3">
        <v>9</v>
      </c>
      <c r="J994" s="3">
        <f>grocery_chain_data[[#This Row],[Total Amount]]-grocery_chain_data[[#This Row],[Discount Amount]]</f>
        <v>47</v>
      </c>
      <c r="K994">
        <v>207</v>
      </c>
      <c r="L994" t="str">
        <f>IF(grocery_chain_data[[#This Row],[Final Amount]]&lt;0,"Return","Sale")</f>
        <v>Sale</v>
      </c>
      <c r="M994">
        <f>IF(grocery_chain_data[[#This Row],[Final Amount]]&lt;0,0,grocery_chain_data[[#This Row],[Final Amount]])</f>
        <v>47</v>
      </c>
    </row>
    <row r="995" spans="1:13" x14ac:dyDescent="0.3">
      <c r="A995">
        <v>2698</v>
      </c>
      <c r="B995" t="s">
        <v>16</v>
      </c>
      <c r="C995" s="1">
        <v>45744</v>
      </c>
      <c r="D995" s="1" t="str">
        <f t="shared" si="15"/>
        <v>Produce</v>
      </c>
      <c r="E995" t="s">
        <v>14</v>
      </c>
      <c r="F995" s="2">
        <v>3</v>
      </c>
      <c r="G995" s="3">
        <v>4</v>
      </c>
      <c r="H995" s="3">
        <f>grocery_chain_data[[#This Row],[Quantity]]*grocery_chain_data[[#This Row],[Unit Price]]</f>
        <v>12</v>
      </c>
      <c r="I995" s="3">
        <v>2</v>
      </c>
      <c r="J995" s="3">
        <f>grocery_chain_data[[#This Row],[Total Amount]]-grocery_chain_data[[#This Row],[Discount Amount]]</f>
        <v>10</v>
      </c>
      <c r="K995">
        <v>69</v>
      </c>
      <c r="L995" t="str">
        <f>IF(grocery_chain_data[[#This Row],[Final Amount]]&lt;0,"Return","Sale")</f>
        <v>Sale</v>
      </c>
      <c r="M995">
        <f>IF(grocery_chain_data[[#This Row],[Final Amount]]&lt;0,0,grocery_chain_data[[#This Row],[Final Amount]])</f>
        <v>10</v>
      </c>
    </row>
    <row r="996" spans="1:13" x14ac:dyDescent="0.3">
      <c r="A996">
        <v>6447</v>
      </c>
      <c r="B996" t="s">
        <v>0</v>
      </c>
      <c r="C996" s="1">
        <v>45248</v>
      </c>
      <c r="D996" s="1" t="str">
        <f t="shared" si="15"/>
        <v>Dairy</v>
      </c>
      <c r="E996" t="s">
        <v>23</v>
      </c>
      <c r="F996" s="2">
        <v>1</v>
      </c>
      <c r="G996" s="3">
        <v>7</v>
      </c>
      <c r="H996" s="3">
        <f>grocery_chain_data[[#This Row],[Quantity]]*grocery_chain_data[[#This Row],[Unit Price]]</f>
        <v>7</v>
      </c>
      <c r="I996" s="3">
        <v>0</v>
      </c>
      <c r="J996" s="3">
        <f>grocery_chain_data[[#This Row],[Total Amount]]-grocery_chain_data[[#This Row],[Discount Amount]]</f>
        <v>7</v>
      </c>
      <c r="K996">
        <v>332</v>
      </c>
      <c r="L996" t="str">
        <f>IF(grocery_chain_data[[#This Row],[Final Amount]]&lt;0,"Return","Sale")</f>
        <v>Sale</v>
      </c>
      <c r="M996">
        <f>IF(grocery_chain_data[[#This Row],[Final Amount]]&lt;0,0,grocery_chain_data[[#This Row],[Final Amount]])</f>
        <v>7</v>
      </c>
    </row>
    <row r="997" spans="1:13" x14ac:dyDescent="0.3">
      <c r="A997">
        <v>1726</v>
      </c>
      <c r="B997" t="s">
        <v>21</v>
      </c>
      <c r="C997" s="1">
        <v>45418</v>
      </c>
      <c r="D997" s="1" t="str">
        <f t="shared" si="15"/>
        <v>Produce</v>
      </c>
      <c r="E997" t="s">
        <v>4</v>
      </c>
      <c r="F997" s="2">
        <v>2</v>
      </c>
      <c r="G997" s="3">
        <v>3</v>
      </c>
      <c r="H997" s="3">
        <f>grocery_chain_data[[#This Row],[Quantity]]*grocery_chain_data[[#This Row],[Unit Price]]</f>
        <v>6</v>
      </c>
      <c r="I997" s="3">
        <v>1</v>
      </c>
      <c r="J997" s="3">
        <f>grocery_chain_data[[#This Row],[Total Amount]]-grocery_chain_data[[#This Row],[Discount Amount]]</f>
        <v>5</v>
      </c>
      <c r="K997">
        <v>394</v>
      </c>
      <c r="L997" t="str">
        <f>IF(grocery_chain_data[[#This Row],[Final Amount]]&lt;0,"Return","Sale")</f>
        <v>Sale</v>
      </c>
      <c r="M997">
        <f>IF(grocery_chain_data[[#This Row],[Final Amount]]&lt;0,0,grocery_chain_data[[#This Row],[Final Amount]])</f>
        <v>5</v>
      </c>
    </row>
    <row r="998" spans="1:13" x14ac:dyDescent="0.3">
      <c r="A998">
        <v>9945</v>
      </c>
      <c r="B998" t="s">
        <v>10</v>
      </c>
      <c r="C998" s="1">
        <v>45407</v>
      </c>
      <c r="D998" s="1" t="str">
        <f t="shared" si="15"/>
        <v>Produce</v>
      </c>
      <c r="E998" t="s">
        <v>18</v>
      </c>
      <c r="F998" s="2">
        <v>1</v>
      </c>
      <c r="G998" s="3">
        <v>6</v>
      </c>
      <c r="H998" s="3">
        <f>grocery_chain_data[[#This Row],[Quantity]]*grocery_chain_data[[#This Row],[Unit Price]]</f>
        <v>6</v>
      </c>
      <c r="I998" s="3">
        <v>1</v>
      </c>
      <c r="J998" s="3">
        <f>grocery_chain_data[[#This Row],[Total Amount]]-grocery_chain_data[[#This Row],[Discount Amount]]</f>
        <v>5</v>
      </c>
      <c r="K998">
        <v>78</v>
      </c>
      <c r="L998" t="str">
        <f>IF(grocery_chain_data[[#This Row],[Final Amount]]&lt;0,"Return","Sale")</f>
        <v>Sale</v>
      </c>
      <c r="M998">
        <f>IF(grocery_chain_data[[#This Row],[Final Amount]]&lt;0,0,grocery_chain_data[[#This Row],[Final Amount]])</f>
        <v>5</v>
      </c>
    </row>
    <row r="999" spans="1:13" x14ac:dyDescent="0.3">
      <c r="A999">
        <v>3868</v>
      </c>
      <c r="B999" t="s">
        <v>10</v>
      </c>
      <c r="C999" s="1">
        <v>45789</v>
      </c>
      <c r="D999" s="1" t="str">
        <f t="shared" si="15"/>
        <v>Meat &amp; Seafood</v>
      </c>
      <c r="E999" t="s">
        <v>15</v>
      </c>
      <c r="F999" s="2">
        <v>5</v>
      </c>
      <c r="G999" s="3">
        <v>8</v>
      </c>
      <c r="H999" s="3">
        <f>grocery_chain_data[[#This Row],[Quantity]]*grocery_chain_data[[#This Row],[Unit Price]]</f>
        <v>40</v>
      </c>
      <c r="I999" s="3">
        <v>2</v>
      </c>
      <c r="J999" s="3">
        <f>grocery_chain_data[[#This Row],[Total Amount]]-grocery_chain_data[[#This Row],[Discount Amount]]</f>
        <v>38</v>
      </c>
      <c r="K999">
        <v>150</v>
      </c>
      <c r="L999" t="str">
        <f>IF(grocery_chain_data[[#This Row],[Final Amount]]&lt;0,"Return","Sale")</f>
        <v>Sale</v>
      </c>
      <c r="M999">
        <f>IF(grocery_chain_data[[#This Row],[Final Amount]]&lt;0,0,grocery_chain_data[[#This Row],[Final Amount]])</f>
        <v>38</v>
      </c>
    </row>
    <row r="1000" spans="1:13" x14ac:dyDescent="0.3">
      <c r="A1000">
        <v>8612</v>
      </c>
      <c r="B1000" t="s">
        <v>0</v>
      </c>
      <c r="C1000" s="1">
        <v>45685</v>
      </c>
      <c r="D1000" s="1" t="str">
        <f t="shared" si="15"/>
        <v>Dairy</v>
      </c>
      <c r="E1000" t="s">
        <v>3</v>
      </c>
      <c r="F1000" s="2">
        <v>4</v>
      </c>
      <c r="G1000" s="3">
        <v>26</v>
      </c>
      <c r="H1000" s="3">
        <f>grocery_chain_data[[#This Row],[Quantity]]*grocery_chain_data[[#This Row],[Unit Price]]</f>
        <v>104</v>
      </c>
      <c r="I1000" s="3">
        <v>3</v>
      </c>
      <c r="J1000" s="3">
        <f>grocery_chain_data[[#This Row],[Total Amount]]-grocery_chain_data[[#This Row],[Discount Amount]]</f>
        <v>101</v>
      </c>
      <c r="K1000">
        <v>377</v>
      </c>
      <c r="L1000" t="str">
        <f>IF(grocery_chain_data[[#This Row],[Final Amount]]&lt;0,"Return","Sale")</f>
        <v>Sale</v>
      </c>
      <c r="M1000">
        <f>IF(grocery_chain_data[[#This Row],[Final Amount]]&lt;0,0,grocery_chain_data[[#This Row],[Final Amount]])</f>
        <v>101</v>
      </c>
    </row>
    <row r="1001" spans="1:13" x14ac:dyDescent="0.3">
      <c r="A1001">
        <v>8840</v>
      </c>
      <c r="B1001" t="s">
        <v>10</v>
      </c>
      <c r="C1001" s="1">
        <v>45635</v>
      </c>
      <c r="D1001" s="1" t="str">
        <f t="shared" si="15"/>
        <v>Produce</v>
      </c>
      <c r="E1001" t="s">
        <v>25</v>
      </c>
      <c r="F1001" s="2">
        <v>2</v>
      </c>
      <c r="G1001" s="3">
        <v>22</v>
      </c>
      <c r="H1001" s="3">
        <f>grocery_chain_data[[#This Row],[Quantity]]*grocery_chain_data[[#This Row],[Unit Price]]</f>
        <v>44</v>
      </c>
      <c r="I1001" s="3">
        <v>4</v>
      </c>
      <c r="J1001" s="3">
        <f>grocery_chain_data[[#This Row],[Total Amount]]-grocery_chain_data[[#This Row],[Discount Amount]]</f>
        <v>40</v>
      </c>
      <c r="K1001">
        <v>270</v>
      </c>
      <c r="L1001" t="str">
        <f>IF(grocery_chain_data[[#This Row],[Final Amount]]&lt;0,"Return","Sale")</f>
        <v>Sale</v>
      </c>
      <c r="M1001">
        <f>IF(grocery_chain_data[[#This Row],[Final Amount]]&lt;0,0,grocery_chain_data[[#This Row],[Final Amount]])</f>
        <v>40</v>
      </c>
    </row>
    <row r="1002" spans="1:13" x14ac:dyDescent="0.3">
      <c r="A1002">
        <v>3986</v>
      </c>
      <c r="B1002" t="s">
        <v>16</v>
      </c>
      <c r="C1002" s="1">
        <v>45775</v>
      </c>
      <c r="D1002" s="1" t="str">
        <f t="shared" si="15"/>
        <v>Bakery</v>
      </c>
      <c r="E1002" t="s">
        <v>22</v>
      </c>
      <c r="F1002" s="2">
        <v>3</v>
      </c>
      <c r="G1002" s="3">
        <v>27</v>
      </c>
      <c r="H1002" s="3">
        <f>grocery_chain_data[[#This Row],[Quantity]]*grocery_chain_data[[#This Row],[Unit Price]]</f>
        <v>81</v>
      </c>
      <c r="I1002" s="3">
        <v>3</v>
      </c>
      <c r="J1002" s="3">
        <f>grocery_chain_data[[#This Row],[Total Amount]]-grocery_chain_data[[#This Row],[Discount Amount]]</f>
        <v>78</v>
      </c>
      <c r="K1002">
        <v>213</v>
      </c>
      <c r="L1002" t="str">
        <f>IF(grocery_chain_data[[#This Row],[Final Amount]]&lt;0,"Return","Sale")</f>
        <v>Sale</v>
      </c>
      <c r="M1002">
        <f>IF(grocery_chain_data[[#This Row],[Final Amount]]&lt;0,0,grocery_chain_data[[#This Row],[Final Amount]])</f>
        <v>78</v>
      </c>
    </row>
    <row r="1003" spans="1:13" x14ac:dyDescent="0.3">
      <c r="A1003">
        <v>3209</v>
      </c>
      <c r="B1003" t="s">
        <v>16</v>
      </c>
      <c r="C1003" s="1">
        <v>45194</v>
      </c>
      <c r="D1003" s="1" t="str">
        <f t="shared" si="15"/>
        <v>Dairy</v>
      </c>
      <c r="E1003" t="s">
        <v>3</v>
      </c>
      <c r="F1003" s="2">
        <v>1</v>
      </c>
      <c r="G1003" s="3">
        <v>6</v>
      </c>
      <c r="H1003" s="3">
        <f>grocery_chain_data[[#This Row],[Quantity]]*grocery_chain_data[[#This Row],[Unit Price]]</f>
        <v>6</v>
      </c>
      <c r="I1003" s="3">
        <v>1</v>
      </c>
      <c r="J1003" s="3">
        <f>grocery_chain_data[[#This Row],[Total Amount]]-grocery_chain_data[[#This Row],[Discount Amount]]</f>
        <v>5</v>
      </c>
      <c r="K1003">
        <v>371</v>
      </c>
      <c r="L1003" t="str">
        <f>IF(grocery_chain_data[[#This Row],[Final Amount]]&lt;0,"Return","Sale")</f>
        <v>Sale</v>
      </c>
      <c r="M1003">
        <f>IF(grocery_chain_data[[#This Row],[Final Amount]]&lt;0,0,grocery_chain_data[[#This Row],[Final Amount]])</f>
        <v>5</v>
      </c>
    </row>
    <row r="1004" spans="1:13" x14ac:dyDescent="0.3">
      <c r="A1004">
        <v>8498</v>
      </c>
      <c r="B1004" t="s">
        <v>16</v>
      </c>
      <c r="C1004" s="1">
        <v>45173</v>
      </c>
      <c r="D1004" s="1" t="str">
        <f t="shared" si="15"/>
        <v>Meat &amp; Seafood</v>
      </c>
      <c r="E1004" t="s">
        <v>9</v>
      </c>
      <c r="F1004" s="2">
        <v>5</v>
      </c>
      <c r="G1004" s="3">
        <v>7</v>
      </c>
      <c r="H1004" s="3">
        <f>grocery_chain_data[[#This Row],[Quantity]]*grocery_chain_data[[#This Row],[Unit Price]]</f>
        <v>35</v>
      </c>
      <c r="I1004" s="3">
        <v>4</v>
      </c>
      <c r="J1004" s="3">
        <f>grocery_chain_data[[#This Row],[Total Amount]]-grocery_chain_data[[#This Row],[Discount Amount]]</f>
        <v>31</v>
      </c>
      <c r="K1004">
        <v>465</v>
      </c>
      <c r="L1004" t="str">
        <f>IF(grocery_chain_data[[#This Row],[Final Amount]]&lt;0,"Return","Sale")</f>
        <v>Sale</v>
      </c>
      <c r="M1004">
        <f>IF(grocery_chain_data[[#This Row],[Final Amount]]&lt;0,0,grocery_chain_data[[#This Row],[Final Amount]])</f>
        <v>31</v>
      </c>
    </row>
    <row r="1005" spans="1:13" x14ac:dyDescent="0.3">
      <c r="A1005">
        <v>5807</v>
      </c>
      <c r="B1005" t="s">
        <v>10</v>
      </c>
      <c r="C1005" s="1">
        <v>45301</v>
      </c>
      <c r="D1005" s="1" t="str">
        <f t="shared" si="15"/>
        <v>Produce</v>
      </c>
      <c r="E1005" t="s">
        <v>17</v>
      </c>
      <c r="F1005" s="2">
        <v>4</v>
      </c>
      <c r="G1005" s="3">
        <v>29</v>
      </c>
      <c r="H1005" s="3">
        <f>grocery_chain_data[[#This Row],[Quantity]]*grocery_chain_data[[#This Row],[Unit Price]]</f>
        <v>116</v>
      </c>
      <c r="I1005" s="3">
        <v>12</v>
      </c>
      <c r="J1005" s="3">
        <f>grocery_chain_data[[#This Row],[Total Amount]]-grocery_chain_data[[#This Row],[Discount Amount]]</f>
        <v>104</v>
      </c>
      <c r="K1005">
        <v>426</v>
      </c>
      <c r="L1005" t="str">
        <f>IF(grocery_chain_data[[#This Row],[Final Amount]]&lt;0,"Return","Sale")</f>
        <v>Sale</v>
      </c>
      <c r="M1005">
        <f>IF(grocery_chain_data[[#This Row],[Final Amount]]&lt;0,0,grocery_chain_data[[#This Row],[Final Amount]])</f>
        <v>104</v>
      </c>
    </row>
    <row r="1006" spans="1:13" x14ac:dyDescent="0.3">
      <c r="A1006">
        <v>1717</v>
      </c>
      <c r="B1006" t="s">
        <v>5</v>
      </c>
      <c r="C1006" s="1">
        <v>45759</v>
      </c>
      <c r="D1006" s="1" t="str">
        <f t="shared" si="15"/>
        <v>Dairy</v>
      </c>
      <c r="E1006" t="s">
        <v>23</v>
      </c>
      <c r="F1006" s="2">
        <v>3</v>
      </c>
      <c r="G1006" s="3">
        <v>21</v>
      </c>
      <c r="H1006" s="3">
        <f>grocery_chain_data[[#This Row],[Quantity]]*grocery_chain_data[[#This Row],[Unit Price]]</f>
        <v>63</v>
      </c>
      <c r="I1006" s="3">
        <v>13</v>
      </c>
      <c r="J1006" s="3">
        <f>grocery_chain_data[[#This Row],[Total Amount]]-grocery_chain_data[[#This Row],[Discount Amount]]</f>
        <v>50</v>
      </c>
      <c r="K1006">
        <v>44</v>
      </c>
      <c r="L1006" t="str">
        <f>IF(grocery_chain_data[[#This Row],[Final Amount]]&lt;0,"Return","Sale")</f>
        <v>Sale</v>
      </c>
      <c r="M1006">
        <f>IF(grocery_chain_data[[#This Row],[Final Amount]]&lt;0,0,grocery_chain_data[[#This Row],[Final Amount]])</f>
        <v>50</v>
      </c>
    </row>
    <row r="1007" spans="1:13" x14ac:dyDescent="0.3">
      <c r="A1007">
        <v>4268</v>
      </c>
      <c r="B1007" t="s">
        <v>5</v>
      </c>
      <c r="C1007" s="1">
        <v>45833</v>
      </c>
      <c r="D1007" s="1" t="str">
        <f t="shared" si="15"/>
        <v>Produce</v>
      </c>
      <c r="E1007" t="s">
        <v>11</v>
      </c>
      <c r="F1007" s="2">
        <v>5</v>
      </c>
      <c r="G1007" s="3">
        <v>15</v>
      </c>
      <c r="H1007" s="3">
        <f>grocery_chain_data[[#This Row],[Quantity]]*grocery_chain_data[[#This Row],[Unit Price]]</f>
        <v>75</v>
      </c>
      <c r="I1007" s="3">
        <v>8</v>
      </c>
      <c r="J1007" s="3">
        <f>grocery_chain_data[[#This Row],[Total Amount]]-grocery_chain_data[[#This Row],[Discount Amount]]</f>
        <v>67</v>
      </c>
      <c r="K1007">
        <v>406</v>
      </c>
      <c r="L1007" t="str">
        <f>IF(grocery_chain_data[[#This Row],[Final Amount]]&lt;0,"Return","Sale")</f>
        <v>Sale</v>
      </c>
      <c r="M1007">
        <f>IF(grocery_chain_data[[#This Row],[Final Amount]]&lt;0,0,grocery_chain_data[[#This Row],[Final Amount]])</f>
        <v>67</v>
      </c>
    </row>
    <row r="1008" spans="1:13" x14ac:dyDescent="0.3">
      <c r="A1008">
        <v>1686</v>
      </c>
      <c r="B1008" t="s">
        <v>12</v>
      </c>
      <c r="C1008" s="1">
        <v>45390</v>
      </c>
      <c r="D1008" s="1" t="str">
        <f t="shared" si="15"/>
        <v>Dairy</v>
      </c>
      <c r="E1008" t="s">
        <v>23</v>
      </c>
      <c r="F1008" s="2">
        <v>5</v>
      </c>
      <c r="G1008" s="3">
        <v>2</v>
      </c>
      <c r="H1008" s="3">
        <f>grocery_chain_data[[#This Row],[Quantity]]*grocery_chain_data[[#This Row],[Unit Price]]</f>
        <v>10</v>
      </c>
      <c r="I1008" s="3">
        <v>2</v>
      </c>
      <c r="J1008" s="3">
        <f>grocery_chain_data[[#This Row],[Total Amount]]-grocery_chain_data[[#This Row],[Discount Amount]]</f>
        <v>8</v>
      </c>
      <c r="K1008">
        <v>9</v>
      </c>
      <c r="L1008" t="str">
        <f>IF(grocery_chain_data[[#This Row],[Final Amount]]&lt;0,"Return","Sale")</f>
        <v>Sale</v>
      </c>
      <c r="M1008">
        <f>IF(grocery_chain_data[[#This Row],[Final Amount]]&lt;0,0,grocery_chain_data[[#This Row],[Final Amount]])</f>
        <v>8</v>
      </c>
    </row>
    <row r="1009" spans="1:13" x14ac:dyDescent="0.3">
      <c r="A1009">
        <v>6080</v>
      </c>
      <c r="B1009" t="s">
        <v>16</v>
      </c>
      <c r="C1009" s="1">
        <v>45545</v>
      </c>
      <c r="D1009" s="1" t="str">
        <f t="shared" si="15"/>
        <v>Produce</v>
      </c>
      <c r="E1009" t="s">
        <v>11</v>
      </c>
      <c r="F1009" s="2">
        <v>2</v>
      </c>
      <c r="G1009" s="3">
        <v>25</v>
      </c>
      <c r="H1009" s="3">
        <f>grocery_chain_data[[#This Row],[Quantity]]*grocery_chain_data[[#This Row],[Unit Price]]</f>
        <v>50</v>
      </c>
      <c r="I1009" s="3">
        <v>2</v>
      </c>
      <c r="J1009" s="3">
        <f>grocery_chain_data[[#This Row],[Total Amount]]-grocery_chain_data[[#This Row],[Discount Amount]]</f>
        <v>48</v>
      </c>
      <c r="K1009">
        <v>457</v>
      </c>
      <c r="L1009" t="str">
        <f>IF(grocery_chain_data[[#This Row],[Final Amount]]&lt;0,"Return","Sale")</f>
        <v>Sale</v>
      </c>
      <c r="M1009">
        <f>IF(grocery_chain_data[[#This Row],[Final Amount]]&lt;0,0,grocery_chain_data[[#This Row],[Final Amount]])</f>
        <v>48</v>
      </c>
    </row>
    <row r="1010" spans="1:13" x14ac:dyDescent="0.3">
      <c r="A1010">
        <v>7524</v>
      </c>
      <c r="B1010" t="s">
        <v>0</v>
      </c>
      <c r="C1010" s="1">
        <v>45778</v>
      </c>
      <c r="D1010" s="1" t="str">
        <f t="shared" si="15"/>
        <v>Meat &amp; Seafood</v>
      </c>
      <c r="E1010" t="s">
        <v>9</v>
      </c>
      <c r="F1010" s="2">
        <v>1</v>
      </c>
      <c r="G1010" s="3">
        <v>17</v>
      </c>
      <c r="H1010" s="3">
        <f>grocery_chain_data[[#This Row],[Quantity]]*grocery_chain_data[[#This Row],[Unit Price]]</f>
        <v>17</v>
      </c>
      <c r="I1010" s="3">
        <v>3</v>
      </c>
      <c r="J1010" s="3">
        <f>grocery_chain_data[[#This Row],[Total Amount]]-grocery_chain_data[[#This Row],[Discount Amount]]</f>
        <v>14</v>
      </c>
      <c r="K1010">
        <v>249</v>
      </c>
      <c r="L1010" t="str">
        <f>IF(grocery_chain_data[[#This Row],[Final Amount]]&lt;0,"Return","Sale")</f>
        <v>Sale</v>
      </c>
      <c r="M1010">
        <f>IF(grocery_chain_data[[#This Row],[Final Amount]]&lt;0,0,grocery_chain_data[[#This Row],[Final Amount]])</f>
        <v>14</v>
      </c>
    </row>
    <row r="1011" spans="1:13" x14ac:dyDescent="0.3">
      <c r="A1011">
        <v>9897</v>
      </c>
      <c r="B1011" t="s">
        <v>16</v>
      </c>
      <c r="C1011" s="1">
        <v>45512</v>
      </c>
      <c r="D1011" s="1" t="str">
        <f t="shared" si="15"/>
        <v>Produce</v>
      </c>
      <c r="E1011" t="s">
        <v>4</v>
      </c>
      <c r="F1011" s="2">
        <v>3</v>
      </c>
      <c r="G1011" s="3">
        <v>27</v>
      </c>
      <c r="H1011" s="3">
        <f>grocery_chain_data[[#This Row],[Quantity]]*grocery_chain_data[[#This Row],[Unit Price]]</f>
        <v>81</v>
      </c>
      <c r="I1011" s="3">
        <v>0</v>
      </c>
      <c r="J1011" s="3">
        <f>grocery_chain_data[[#This Row],[Total Amount]]-grocery_chain_data[[#This Row],[Discount Amount]]</f>
        <v>81</v>
      </c>
      <c r="K1011">
        <v>436</v>
      </c>
      <c r="L1011" t="str">
        <f>IF(grocery_chain_data[[#This Row],[Final Amount]]&lt;0,"Return","Sale")</f>
        <v>Sale</v>
      </c>
      <c r="M1011">
        <f>IF(grocery_chain_data[[#This Row],[Final Amount]]&lt;0,0,grocery_chain_data[[#This Row],[Final Amount]])</f>
        <v>81</v>
      </c>
    </row>
    <row r="1012" spans="1:13" x14ac:dyDescent="0.3">
      <c r="A1012">
        <v>5150</v>
      </c>
      <c r="B1012" t="s">
        <v>13</v>
      </c>
      <c r="C1012" s="1">
        <v>45173</v>
      </c>
      <c r="D1012" s="1" t="str">
        <f t="shared" si="15"/>
        <v>Meat &amp; Seafood</v>
      </c>
      <c r="E1012" t="s">
        <v>15</v>
      </c>
      <c r="F1012" s="2">
        <v>1</v>
      </c>
      <c r="G1012" s="3">
        <v>29</v>
      </c>
      <c r="H1012" s="3">
        <f>grocery_chain_data[[#This Row],[Quantity]]*grocery_chain_data[[#This Row],[Unit Price]]</f>
        <v>29</v>
      </c>
      <c r="I1012" s="3">
        <v>1</v>
      </c>
      <c r="J1012" s="3">
        <f>grocery_chain_data[[#This Row],[Total Amount]]-grocery_chain_data[[#This Row],[Discount Amount]]</f>
        <v>28</v>
      </c>
      <c r="K1012">
        <v>400</v>
      </c>
      <c r="L1012" t="str">
        <f>IF(grocery_chain_data[[#This Row],[Final Amount]]&lt;0,"Return","Sale")</f>
        <v>Sale</v>
      </c>
      <c r="M1012">
        <f>IF(grocery_chain_data[[#This Row],[Final Amount]]&lt;0,0,grocery_chain_data[[#This Row],[Final Amount]])</f>
        <v>28</v>
      </c>
    </row>
    <row r="1013" spans="1:13" x14ac:dyDescent="0.3">
      <c r="A1013">
        <v>4131</v>
      </c>
      <c r="B1013" t="s">
        <v>0</v>
      </c>
      <c r="C1013" s="1">
        <v>45367</v>
      </c>
      <c r="D1013" s="1" t="str">
        <f t="shared" si="15"/>
        <v>Meat &amp; Seafood</v>
      </c>
      <c r="E1013" t="s">
        <v>26</v>
      </c>
      <c r="F1013" s="2">
        <v>2</v>
      </c>
      <c r="G1013" s="3">
        <v>27</v>
      </c>
      <c r="H1013" s="3">
        <f>grocery_chain_data[[#This Row],[Quantity]]*grocery_chain_data[[#This Row],[Unit Price]]</f>
        <v>54</v>
      </c>
      <c r="I1013" s="3">
        <v>0</v>
      </c>
      <c r="J1013" s="3">
        <f>grocery_chain_data[[#This Row],[Total Amount]]-grocery_chain_data[[#This Row],[Discount Amount]]</f>
        <v>54</v>
      </c>
      <c r="K1013">
        <v>80</v>
      </c>
      <c r="L1013" t="str">
        <f>IF(grocery_chain_data[[#This Row],[Final Amount]]&lt;0,"Return","Sale")</f>
        <v>Sale</v>
      </c>
      <c r="M1013">
        <f>IF(grocery_chain_data[[#This Row],[Final Amount]]&lt;0,0,grocery_chain_data[[#This Row],[Final Amount]])</f>
        <v>54</v>
      </c>
    </row>
    <row r="1014" spans="1:13" x14ac:dyDescent="0.3">
      <c r="A1014">
        <v>6848</v>
      </c>
      <c r="B1014" t="s">
        <v>10</v>
      </c>
      <c r="C1014" s="1">
        <v>45814</v>
      </c>
      <c r="D1014" s="1" t="str">
        <f t="shared" si="15"/>
        <v>Produce</v>
      </c>
      <c r="E1014" t="s">
        <v>25</v>
      </c>
      <c r="F1014" s="2">
        <v>1</v>
      </c>
      <c r="G1014" s="3">
        <v>5</v>
      </c>
      <c r="H1014" s="3">
        <f>grocery_chain_data[[#This Row],[Quantity]]*grocery_chain_data[[#This Row],[Unit Price]]</f>
        <v>5</v>
      </c>
      <c r="I1014" s="3">
        <v>1</v>
      </c>
      <c r="J1014" s="3">
        <f>grocery_chain_data[[#This Row],[Total Amount]]-grocery_chain_data[[#This Row],[Discount Amount]]</f>
        <v>4</v>
      </c>
      <c r="K1014">
        <v>186</v>
      </c>
      <c r="L1014" t="str">
        <f>IF(grocery_chain_data[[#This Row],[Final Amount]]&lt;0,"Return","Sale")</f>
        <v>Sale</v>
      </c>
      <c r="M1014">
        <f>IF(grocery_chain_data[[#This Row],[Final Amount]]&lt;0,0,grocery_chain_data[[#This Row],[Final Amount]])</f>
        <v>4</v>
      </c>
    </row>
    <row r="1015" spans="1:13" x14ac:dyDescent="0.3">
      <c r="A1015">
        <v>1783</v>
      </c>
      <c r="B1015" t="s">
        <v>0</v>
      </c>
      <c r="C1015" s="1">
        <v>45817</v>
      </c>
      <c r="D1015" s="1" t="str">
        <f t="shared" si="15"/>
        <v>Meat &amp; Seafood</v>
      </c>
      <c r="E1015" t="s">
        <v>15</v>
      </c>
      <c r="F1015" s="2">
        <v>4</v>
      </c>
      <c r="G1015" s="3">
        <v>23</v>
      </c>
      <c r="H1015" s="3">
        <f>grocery_chain_data[[#This Row],[Quantity]]*grocery_chain_data[[#This Row],[Unit Price]]</f>
        <v>92</v>
      </c>
      <c r="I1015" s="3">
        <v>9</v>
      </c>
      <c r="J1015" s="3">
        <f>grocery_chain_data[[#This Row],[Total Amount]]-grocery_chain_data[[#This Row],[Discount Amount]]</f>
        <v>83</v>
      </c>
      <c r="K1015">
        <v>3</v>
      </c>
      <c r="L1015" t="str">
        <f>IF(grocery_chain_data[[#This Row],[Final Amount]]&lt;0,"Return","Sale")</f>
        <v>Sale</v>
      </c>
      <c r="M1015">
        <f>IF(grocery_chain_data[[#This Row],[Final Amount]]&lt;0,0,grocery_chain_data[[#This Row],[Final Amount]])</f>
        <v>83</v>
      </c>
    </row>
    <row r="1016" spans="1:13" x14ac:dyDescent="0.3">
      <c r="A1016">
        <v>6438</v>
      </c>
      <c r="B1016" t="s">
        <v>16</v>
      </c>
      <c r="C1016" s="1">
        <v>45357</v>
      </c>
      <c r="D1016" s="1" t="str">
        <f t="shared" si="15"/>
        <v>Produce</v>
      </c>
      <c r="E1016" t="s">
        <v>24</v>
      </c>
      <c r="F1016" s="2">
        <v>2</v>
      </c>
      <c r="G1016" s="3">
        <v>3</v>
      </c>
      <c r="H1016" s="3">
        <f>grocery_chain_data[[#This Row],[Quantity]]*grocery_chain_data[[#This Row],[Unit Price]]</f>
        <v>6</v>
      </c>
      <c r="I1016" s="3">
        <v>1</v>
      </c>
      <c r="J1016" s="3">
        <f>grocery_chain_data[[#This Row],[Total Amount]]-grocery_chain_data[[#This Row],[Discount Amount]]</f>
        <v>5</v>
      </c>
      <c r="K1016">
        <v>190</v>
      </c>
      <c r="L1016" t="str">
        <f>IF(grocery_chain_data[[#This Row],[Final Amount]]&lt;0,"Return","Sale")</f>
        <v>Sale</v>
      </c>
      <c r="M1016">
        <f>IF(grocery_chain_data[[#This Row],[Final Amount]]&lt;0,0,grocery_chain_data[[#This Row],[Final Amount]])</f>
        <v>5</v>
      </c>
    </row>
    <row r="1017" spans="1:13" x14ac:dyDescent="0.3">
      <c r="A1017">
        <v>3039</v>
      </c>
      <c r="B1017" t="s">
        <v>21</v>
      </c>
      <c r="C1017" s="1">
        <v>45765</v>
      </c>
      <c r="D1017" s="1" t="str">
        <f t="shared" si="15"/>
        <v>Produce</v>
      </c>
      <c r="E1017" t="s">
        <v>24</v>
      </c>
      <c r="F1017" s="2">
        <v>4</v>
      </c>
      <c r="G1017" s="3">
        <v>24</v>
      </c>
      <c r="H1017" s="3">
        <f>grocery_chain_data[[#This Row],[Quantity]]*grocery_chain_data[[#This Row],[Unit Price]]</f>
        <v>96</v>
      </c>
      <c r="I1017" s="3">
        <v>10</v>
      </c>
      <c r="J1017" s="3">
        <f>grocery_chain_data[[#This Row],[Total Amount]]-grocery_chain_data[[#This Row],[Discount Amount]]</f>
        <v>86</v>
      </c>
      <c r="K1017">
        <v>70</v>
      </c>
      <c r="L1017" t="str">
        <f>IF(grocery_chain_data[[#This Row],[Final Amount]]&lt;0,"Return","Sale")</f>
        <v>Sale</v>
      </c>
      <c r="M1017">
        <f>IF(grocery_chain_data[[#This Row],[Final Amount]]&lt;0,0,grocery_chain_data[[#This Row],[Final Amount]])</f>
        <v>86</v>
      </c>
    </row>
    <row r="1018" spans="1:13" x14ac:dyDescent="0.3">
      <c r="A1018">
        <v>7029</v>
      </c>
      <c r="B1018" t="s">
        <v>8</v>
      </c>
      <c r="C1018" s="1">
        <v>45484</v>
      </c>
      <c r="D1018" s="1" t="str">
        <f t="shared" si="15"/>
        <v>Produce</v>
      </c>
      <c r="E1018" t="s">
        <v>24</v>
      </c>
      <c r="F1018" s="2">
        <v>3</v>
      </c>
      <c r="G1018" s="3">
        <v>28</v>
      </c>
      <c r="H1018" s="3">
        <f>grocery_chain_data[[#This Row],[Quantity]]*grocery_chain_data[[#This Row],[Unit Price]]</f>
        <v>84</v>
      </c>
      <c r="I1018" s="3">
        <v>4</v>
      </c>
      <c r="J1018" s="3">
        <f>grocery_chain_data[[#This Row],[Total Amount]]-grocery_chain_data[[#This Row],[Discount Amount]]</f>
        <v>80</v>
      </c>
      <c r="K1018">
        <v>226</v>
      </c>
      <c r="L1018" t="str">
        <f>IF(grocery_chain_data[[#This Row],[Final Amount]]&lt;0,"Return","Sale")</f>
        <v>Sale</v>
      </c>
      <c r="M1018">
        <f>IF(grocery_chain_data[[#This Row],[Final Amount]]&lt;0,0,grocery_chain_data[[#This Row],[Final Amount]])</f>
        <v>80</v>
      </c>
    </row>
    <row r="1019" spans="1:13" x14ac:dyDescent="0.3">
      <c r="A1019">
        <v>7553</v>
      </c>
      <c r="B1019" t="s">
        <v>2</v>
      </c>
      <c r="C1019" s="1">
        <v>45722</v>
      </c>
      <c r="D1019" s="1" t="str">
        <f t="shared" si="15"/>
        <v>Bakery</v>
      </c>
      <c r="E1019" t="s">
        <v>22</v>
      </c>
      <c r="F1019" s="2">
        <v>3</v>
      </c>
      <c r="G1019" s="3">
        <v>10</v>
      </c>
      <c r="H1019" s="3">
        <f>grocery_chain_data[[#This Row],[Quantity]]*grocery_chain_data[[#This Row],[Unit Price]]</f>
        <v>30</v>
      </c>
      <c r="I1019" s="3">
        <v>3</v>
      </c>
      <c r="J1019" s="3">
        <f>grocery_chain_data[[#This Row],[Total Amount]]-grocery_chain_data[[#This Row],[Discount Amount]]</f>
        <v>27</v>
      </c>
      <c r="K1019">
        <v>395</v>
      </c>
      <c r="L1019" t="str">
        <f>IF(grocery_chain_data[[#This Row],[Final Amount]]&lt;0,"Return","Sale")</f>
        <v>Sale</v>
      </c>
      <c r="M1019">
        <f>IF(grocery_chain_data[[#This Row],[Final Amount]]&lt;0,0,grocery_chain_data[[#This Row],[Final Amount]])</f>
        <v>27</v>
      </c>
    </row>
    <row r="1020" spans="1:13" x14ac:dyDescent="0.3">
      <c r="A1020">
        <v>8204</v>
      </c>
      <c r="B1020" t="s">
        <v>13</v>
      </c>
      <c r="C1020" s="1">
        <v>45839</v>
      </c>
      <c r="D1020" s="1" t="str">
        <f t="shared" si="15"/>
        <v>Dairy</v>
      </c>
      <c r="E1020" t="s">
        <v>19</v>
      </c>
      <c r="F1020" s="2">
        <v>2</v>
      </c>
      <c r="G1020" s="3">
        <v>27</v>
      </c>
      <c r="H1020" s="3">
        <f>grocery_chain_data[[#This Row],[Quantity]]*grocery_chain_data[[#This Row],[Unit Price]]</f>
        <v>54</v>
      </c>
      <c r="I1020" s="3">
        <v>5</v>
      </c>
      <c r="J1020" s="3">
        <f>grocery_chain_data[[#This Row],[Total Amount]]-grocery_chain_data[[#This Row],[Discount Amount]]</f>
        <v>49</v>
      </c>
      <c r="K1020">
        <v>29</v>
      </c>
      <c r="L1020" t="str">
        <f>IF(grocery_chain_data[[#This Row],[Final Amount]]&lt;0,"Return","Sale")</f>
        <v>Sale</v>
      </c>
      <c r="M1020">
        <f>IF(grocery_chain_data[[#This Row],[Final Amount]]&lt;0,0,grocery_chain_data[[#This Row],[Final Amount]])</f>
        <v>49</v>
      </c>
    </row>
    <row r="1021" spans="1:13" x14ac:dyDescent="0.3">
      <c r="A1021">
        <v>7334</v>
      </c>
      <c r="B1021" t="s">
        <v>8</v>
      </c>
      <c r="C1021" s="1">
        <v>45408</v>
      </c>
      <c r="D1021" s="1" t="str">
        <f t="shared" si="15"/>
        <v>Produce</v>
      </c>
      <c r="E1021" t="s">
        <v>4</v>
      </c>
      <c r="F1021" s="2">
        <v>3</v>
      </c>
      <c r="G1021" s="3">
        <v>22</v>
      </c>
      <c r="H1021" s="3">
        <f>grocery_chain_data[[#This Row],[Quantity]]*grocery_chain_data[[#This Row],[Unit Price]]</f>
        <v>66</v>
      </c>
      <c r="I1021" s="3">
        <v>4</v>
      </c>
      <c r="J1021" s="3">
        <f>grocery_chain_data[[#This Row],[Total Amount]]-grocery_chain_data[[#This Row],[Discount Amount]]</f>
        <v>62</v>
      </c>
      <c r="K1021">
        <v>160</v>
      </c>
      <c r="L1021" t="str">
        <f>IF(grocery_chain_data[[#This Row],[Final Amount]]&lt;0,"Return","Sale")</f>
        <v>Sale</v>
      </c>
      <c r="M1021">
        <f>IF(grocery_chain_data[[#This Row],[Final Amount]]&lt;0,0,grocery_chain_data[[#This Row],[Final Amount]])</f>
        <v>62</v>
      </c>
    </row>
    <row r="1022" spans="1:13" x14ac:dyDescent="0.3">
      <c r="A1022">
        <v>4060</v>
      </c>
      <c r="B1022" t="s">
        <v>2</v>
      </c>
      <c r="C1022" s="1">
        <v>45530</v>
      </c>
      <c r="D1022" s="1" t="str">
        <f t="shared" si="15"/>
        <v>Dairy</v>
      </c>
      <c r="E1022" t="s">
        <v>20</v>
      </c>
      <c r="F1022" s="2">
        <v>4</v>
      </c>
      <c r="G1022" s="3">
        <v>14</v>
      </c>
      <c r="H1022" s="3">
        <f>grocery_chain_data[[#This Row],[Quantity]]*grocery_chain_data[[#This Row],[Unit Price]]</f>
        <v>56</v>
      </c>
      <c r="I1022" s="3">
        <v>0</v>
      </c>
      <c r="J1022" s="3">
        <f>grocery_chain_data[[#This Row],[Total Amount]]-grocery_chain_data[[#This Row],[Discount Amount]]</f>
        <v>56</v>
      </c>
      <c r="K1022">
        <v>105</v>
      </c>
      <c r="L1022" t="str">
        <f>IF(grocery_chain_data[[#This Row],[Final Amount]]&lt;0,"Return","Sale")</f>
        <v>Sale</v>
      </c>
      <c r="M1022">
        <f>IF(grocery_chain_data[[#This Row],[Final Amount]]&lt;0,0,grocery_chain_data[[#This Row],[Final Amount]])</f>
        <v>56</v>
      </c>
    </row>
    <row r="1023" spans="1:13" x14ac:dyDescent="0.3">
      <c r="A1023">
        <v>9151</v>
      </c>
      <c r="B1023" t="s">
        <v>16</v>
      </c>
      <c r="C1023" s="1">
        <v>45430</v>
      </c>
      <c r="D1023" s="1" t="str">
        <f t="shared" si="15"/>
        <v>Produce</v>
      </c>
      <c r="E1023" t="s">
        <v>14</v>
      </c>
      <c r="F1023" s="2">
        <v>2</v>
      </c>
      <c r="G1023" s="3">
        <v>27</v>
      </c>
      <c r="H1023" s="3">
        <f>grocery_chain_data[[#This Row],[Quantity]]*grocery_chain_data[[#This Row],[Unit Price]]</f>
        <v>54</v>
      </c>
      <c r="I1023" s="3">
        <v>2</v>
      </c>
      <c r="J1023" s="3">
        <f>grocery_chain_data[[#This Row],[Total Amount]]-grocery_chain_data[[#This Row],[Discount Amount]]</f>
        <v>52</v>
      </c>
      <c r="K1023">
        <v>43</v>
      </c>
      <c r="L1023" t="str">
        <f>IF(grocery_chain_data[[#This Row],[Final Amount]]&lt;0,"Return","Sale")</f>
        <v>Sale</v>
      </c>
      <c r="M1023">
        <f>IF(grocery_chain_data[[#This Row],[Final Amount]]&lt;0,0,grocery_chain_data[[#This Row],[Final Amount]])</f>
        <v>52</v>
      </c>
    </row>
    <row r="1024" spans="1:13" x14ac:dyDescent="0.3">
      <c r="A1024">
        <v>9507</v>
      </c>
      <c r="B1024" t="s">
        <v>5</v>
      </c>
      <c r="C1024" s="1">
        <v>45352</v>
      </c>
      <c r="D1024" s="1" t="str">
        <f t="shared" si="15"/>
        <v>Produce</v>
      </c>
      <c r="E1024" t="s">
        <v>4</v>
      </c>
      <c r="F1024" s="2">
        <v>3</v>
      </c>
      <c r="G1024" s="3">
        <v>7</v>
      </c>
      <c r="H1024" s="3">
        <f>grocery_chain_data[[#This Row],[Quantity]]*grocery_chain_data[[#This Row],[Unit Price]]</f>
        <v>21</v>
      </c>
      <c r="I1024" s="3">
        <v>2</v>
      </c>
      <c r="J1024" s="3">
        <f>grocery_chain_data[[#This Row],[Total Amount]]-grocery_chain_data[[#This Row],[Discount Amount]]</f>
        <v>19</v>
      </c>
      <c r="K1024">
        <v>261</v>
      </c>
      <c r="L1024" t="str">
        <f>IF(grocery_chain_data[[#This Row],[Final Amount]]&lt;0,"Return","Sale")</f>
        <v>Sale</v>
      </c>
      <c r="M1024">
        <f>IF(grocery_chain_data[[#This Row],[Final Amount]]&lt;0,0,grocery_chain_data[[#This Row],[Final Amount]])</f>
        <v>19</v>
      </c>
    </row>
    <row r="1025" spans="1:13" x14ac:dyDescent="0.3">
      <c r="A1025">
        <v>2353</v>
      </c>
      <c r="B1025" t="s">
        <v>5</v>
      </c>
      <c r="C1025" s="1">
        <v>45709</v>
      </c>
      <c r="D1025" s="1" t="str">
        <f t="shared" si="15"/>
        <v>Produce</v>
      </c>
      <c r="E1025" t="s">
        <v>18</v>
      </c>
      <c r="F1025" s="2">
        <v>5</v>
      </c>
      <c r="G1025" s="3">
        <v>18</v>
      </c>
      <c r="H1025" s="3">
        <f>grocery_chain_data[[#This Row],[Quantity]]*grocery_chain_data[[#This Row],[Unit Price]]</f>
        <v>90</v>
      </c>
      <c r="I1025" s="3">
        <v>0</v>
      </c>
      <c r="J1025" s="3">
        <f>grocery_chain_data[[#This Row],[Total Amount]]-grocery_chain_data[[#This Row],[Discount Amount]]</f>
        <v>90</v>
      </c>
      <c r="K1025">
        <v>123</v>
      </c>
      <c r="L1025" t="str">
        <f>IF(grocery_chain_data[[#This Row],[Final Amount]]&lt;0,"Return","Sale")</f>
        <v>Sale</v>
      </c>
      <c r="M1025">
        <f>IF(grocery_chain_data[[#This Row],[Final Amount]]&lt;0,0,grocery_chain_data[[#This Row],[Final Amount]])</f>
        <v>90</v>
      </c>
    </row>
    <row r="1026" spans="1:13" x14ac:dyDescent="0.3">
      <c r="A1026">
        <v>7955</v>
      </c>
      <c r="B1026" t="s">
        <v>8</v>
      </c>
      <c r="C1026" s="1">
        <v>45206</v>
      </c>
      <c r="D1026" s="1" t="str">
        <f t="shared" ref="D1026:D1089" si="16">IF(E1026="Pasta","Pantry",
IF(E1026="Cheese","Dairy",
IF(E1026="Onions","Produce",
IF(E1026="Cereal","Pantry",
IF(E1026="Orange Juice","Beverages",
IF(E1026="Ground Beef","Meat &amp; Seafood",
IF(E1026="Apples","Produce",
IF(E1026="Milk","Dairy",
IF(E1026="Bananas","Produce",
IF(E1026="Bread","Bakery",
IF(E1026="Carrots","Produce",
IF(E1026="Chicken Breast","Meat &amp; Seafood",
IF(E1026="Eggs","Dairy",
IF(E1026="Potatoes","Produce",
IF(E1026="Rice","Produce",
IF(E1026="Salmon","Meat &amp; Seafood",
IF(E1026="Tomatoes","Produce",
IF(E1026="Yogurt","Dairy",
"Others"))))))))))))))))))</f>
        <v>Meat &amp; Seafood</v>
      </c>
      <c r="E1026" t="s">
        <v>26</v>
      </c>
      <c r="F1026" s="2">
        <v>1</v>
      </c>
      <c r="G1026" s="3">
        <v>25</v>
      </c>
      <c r="H1026" s="3">
        <f>grocery_chain_data[[#This Row],[Quantity]]*grocery_chain_data[[#This Row],[Unit Price]]</f>
        <v>25</v>
      </c>
      <c r="I1026" s="3">
        <v>1</v>
      </c>
      <c r="J1026" s="3">
        <f>grocery_chain_data[[#This Row],[Total Amount]]-grocery_chain_data[[#This Row],[Discount Amount]]</f>
        <v>24</v>
      </c>
      <c r="K1026">
        <v>132</v>
      </c>
      <c r="L1026" t="str">
        <f>IF(grocery_chain_data[[#This Row],[Final Amount]]&lt;0,"Return","Sale")</f>
        <v>Sale</v>
      </c>
      <c r="M1026">
        <f>IF(grocery_chain_data[[#This Row],[Final Amount]]&lt;0,0,grocery_chain_data[[#This Row],[Final Amount]])</f>
        <v>24</v>
      </c>
    </row>
    <row r="1027" spans="1:13" x14ac:dyDescent="0.3">
      <c r="A1027">
        <v>8055</v>
      </c>
      <c r="B1027" t="s">
        <v>0</v>
      </c>
      <c r="C1027" s="1">
        <v>45612</v>
      </c>
      <c r="D1027" s="1" t="str">
        <f t="shared" si="16"/>
        <v>Produce</v>
      </c>
      <c r="E1027" t="s">
        <v>17</v>
      </c>
      <c r="F1027" s="2">
        <v>5</v>
      </c>
      <c r="G1027" s="3">
        <v>22</v>
      </c>
      <c r="H1027" s="3">
        <f>grocery_chain_data[[#This Row],[Quantity]]*grocery_chain_data[[#This Row],[Unit Price]]</f>
        <v>110</v>
      </c>
      <c r="I1027" s="3">
        <v>22</v>
      </c>
      <c r="J1027" s="3">
        <f>grocery_chain_data[[#This Row],[Total Amount]]-grocery_chain_data[[#This Row],[Discount Amount]]</f>
        <v>88</v>
      </c>
      <c r="K1027">
        <v>232</v>
      </c>
      <c r="L1027" t="str">
        <f>IF(grocery_chain_data[[#This Row],[Final Amount]]&lt;0,"Return","Sale")</f>
        <v>Sale</v>
      </c>
      <c r="M1027">
        <f>IF(grocery_chain_data[[#This Row],[Final Amount]]&lt;0,0,grocery_chain_data[[#This Row],[Final Amount]])</f>
        <v>88</v>
      </c>
    </row>
    <row r="1028" spans="1:13" x14ac:dyDescent="0.3">
      <c r="A1028">
        <v>3956</v>
      </c>
      <c r="B1028" t="s">
        <v>2</v>
      </c>
      <c r="C1028" s="1">
        <v>45568</v>
      </c>
      <c r="D1028" s="1" t="str">
        <f t="shared" si="16"/>
        <v>Meat &amp; Seafood</v>
      </c>
      <c r="E1028" t="s">
        <v>9</v>
      </c>
      <c r="F1028" s="2">
        <v>3</v>
      </c>
      <c r="G1028" s="3">
        <v>10</v>
      </c>
      <c r="H1028" s="3">
        <f>grocery_chain_data[[#This Row],[Quantity]]*grocery_chain_data[[#This Row],[Unit Price]]</f>
        <v>30</v>
      </c>
      <c r="I1028" s="3">
        <v>0</v>
      </c>
      <c r="J1028" s="3">
        <f>grocery_chain_data[[#This Row],[Total Amount]]-grocery_chain_data[[#This Row],[Discount Amount]]</f>
        <v>30</v>
      </c>
      <c r="K1028">
        <v>341</v>
      </c>
      <c r="L1028" t="str">
        <f>IF(grocery_chain_data[[#This Row],[Final Amount]]&lt;0,"Return","Sale")</f>
        <v>Sale</v>
      </c>
      <c r="M1028">
        <f>IF(grocery_chain_data[[#This Row],[Final Amount]]&lt;0,0,grocery_chain_data[[#This Row],[Final Amount]])</f>
        <v>30</v>
      </c>
    </row>
    <row r="1029" spans="1:13" x14ac:dyDescent="0.3">
      <c r="A1029">
        <v>5813</v>
      </c>
      <c r="B1029" t="s">
        <v>8</v>
      </c>
      <c r="C1029" s="1">
        <v>45394</v>
      </c>
      <c r="D1029" s="1" t="str">
        <f t="shared" si="16"/>
        <v>Meat &amp; Seafood</v>
      </c>
      <c r="E1029" t="s">
        <v>9</v>
      </c>
      <c r="F1029" s="2">
        <v>1</v>
      </c>
      <c r="G1029" s="3">
        <v>10</v>
      </c>
      <c r="H1029" s="3">
        <f>grocery_chain_data[[#This Row],[Quantity]]*grocery_chain_data[[#This Row],[Unit Price]]</f>
        <v>10</v>
      </c>
      <c r="I1029" s="3">
        <v>2</v>
      </c>
      <c r="J1029" s="3">
        <f>grocery_chain_data[[#This Row],[Total Amount]]-grocery_chain_data[[#This Row],[Discount Amount]]</f>
        <v>8</v>
      </c>
      <c r="K1029">
        <v>298</v>
      </c>
      <c r="L1029" t="str">
        <f>IF(grocery_chain_data[[#This Row],[Final Amount]]&lt;0,"Return","Sale")</f>
        <v>Sale</v>
      </c>
      <c r="M1029">
        <f>IF(grocery_chain_data[[#This Row],[Final Amount]]&lt;0,0,grocery_chain_data[[#This Row],[Final Amount]])</f>
        <v>8</v>
      </c>
    </row>
    <row r="1030" spans="1:13" x14ac:dyDescent="0.3">
      <c r="A1030">
        <v>2680</v>
      </c>
      <c r="B1030" t="s">
        <v>10</v>
      </c>
      <c r="C1030" s="1">
        <v>45207</v>
      </c>
      <c r="D1030" s="1" t="str">
        <f t="shared" si="16"/>
        <v>Dairy</v>
      </c>
      <c r="E1030" t="s">
        <v>20</v>
      </c>
      <c r="F1030" s="2">
        <v>4</v>
      </c>
      <c r="G1030" s="3">
        <v>25</v>
      </c>
      <c r="H1030" s="3">
        <f>grocery_chain_data[[#This Row],[Quantity]]*grocery_chain_data[[#This Row],[Unit Price]]</f>
        <v>100</v>
      </c>
      <c r="I1030" s="3">
        <v>3</v>
      </c>
      <c r="J1030" s="3">
        <f>grocery_chain_data[[#This Row],[Total Amount]]-grocery_chain_data[[#This Row],[Discount Amount]]</f>
        <v>97</v>
      </c>
      <c r="K1030">
        <v>41</v>
      </c>
      <c r="L1030" t="str">
        <f>IF(grocery_chain_data[[#This Row],[Final Amount]]&lt;0,"Return","Sale")</f>
        <v>Sale</v>
      </c>
      <c r="M1030">
        <f>IF(grocery_chain_data[[#This Row],[Final Amount]]&lt;0,0,grocery_chain_data[[#This Row],[Final Amount]])</f>
        <v>97</v>
      </c>
    </row>
    <row r="1031" spans="1:13" x14ac:dyDescent="0.3">
      <c r="A1031">
        <v>6372</v>
      </c>
      <c r="B1031" t="s">
        <v>5</v>
      </c>
      <c r="C1031" s="1">
        <v>45658</v>
      </c>
      <c r="D1031" s="1" t="str">
        <f t="shared" si="16"/>
        <v>Dairy</v>
      </c>
      <c r="E1031" t="s">
        <v>23</v>
      </c>
      <c r="F1031" s="2">
        <v>4</v>
      </c>
      <c r="G1031" s="3">
        <v>3</v>
      </c>
      <c r="H1031" s="3">
        <f>grocery_chain_data[[#This Row],[Quantity]]*grocery_chain_data[[#This Row],[Unit Price]]</f>
        <v>12</v>
      </c>
      <c r="I1031" s="3">
        <v>3</v>
      </c>
      <c r="J1031" s="3">
        <f>grocery_chain_data[[#This Row],[Total Amount]]-grocery_chain_data[[#This Row],[Discount Amount]]</f>
        <v>9</v>
      </c>
      <c r="K1031">
        <v>346</v>
      </c>
      <c r="L1031" t="str">
        <f>IF(grocery_chain_data[[#This Row],[Final Amount]]&lt;0,"Return","Sale")</f>
        <v>Sale</v>
      </c>
      <c r="M1031">
        <f>IF(grocery_chain_data[[#This Row],[Final Amount]]&lt;0,0,grocery_chain_data[[#This Row],[Final Amount]])</f>
        <v>9</v>
      </c>
    </row>
    <row r="1032" spans="1:13" x14ac:dyDescent="0.3">
      <c r="A1032">
        <v>5843</v>
      </c>
      <c r="B1032" t="s">
        <v>8</v>
      </c>
      <c r="C1032" s="1">
        <v>45383</v>
      </c>
      <c r="D1032" s="1" t="str">
        <f t="shared" si="16"/>
        <v>Produce</v>
      </c>
      <c r="E1032" t="s">
        <v>25</v>
      </c>
      <c r="F1032" s="2">
        <v>4</v>
      </c>
      <c r="G1032" s="3">
        <v>30</v>
      </c>
      <c r="H1032" s="3">
        <f>grocery_chain_data[[#This Row],[Quantity]]*grocery_chain_data[[#This Row],[Unit Price]]</f>
        <v>120</v>
      </c>
      <c r="I1032" s="3">
        <v>0</v>
      </c>
      <c r="J1032" s="3">
        <f>grocery_chain_data[[#This Row],[Total Amount]]-grocery_chain_data[[#This Row],[Discount Amount]]</f>
        <v>120</v>
      </c>
      <c r="K1032">
        <v>352</v>
      </c>
      <c r="L1032" t="str">
        <f>IF(grocery_chain_data[[#This Row],[Final Amount]]&lt;0,"Return","Sale")</f>
        <v>Sale</v>
      </c>
      <c r="M1032">
        <f>IF(grocery_chain_data[[#This Row],[Final Amount]]&lt;0,0,grocery_chain_data[[#This Row],[Final Amount]])</f>
        <v>120</v>
      </c>
    </row>
    <row r="1033" spans="1:13" x14ac:dyDescent="0.3">
      <c r="A1033">
        <v>8305</v>
      </c>
      <c r="B1033" t="s">
        <v>8</v>
      </c>
      <c r="C1033" s="1">
        <v>45613</v>
      </c>
      <c r="D1033" s="1" t="str">
        <f t="shared" si="16"/>
        <v>Dairy</v>
      </c>
      <c r="E1033" t="s">
        <v>20</v>
      </c>
      <c r="F1033" s="2">
        <v>5</v>
      </c>
      <c r="G1033" s="3">
        <v>5</v>
      </c>
      <c r="H1033" s="3">
        <f>grocery_chain_data[[#This Row],[Quantity]]*grocery_chain_data[[#This Row],[Unit Price]]</f>
        <v>25</v>
      </c>
      <c r="I1033" s="3">
        <v>5</v>
      </c>
      <c r="J1033" s="3">
        <f>grocery_chain_data[[#This Row],[Total Amount]]-grocery_chain_data[[#This Row],[Discount Amount]]</f>
        <v>20</v>
      </c>
      <c r="K1033">
        <v>364</v>
      </c>
      <c r="L1033" t="str">
        <f>IF(grocery_chain_data[[#This Row],[Final Amount]]&lt;0,"Return","Sale")</f>
        <v>Sale</v>
      </c>
      <c r="M1033">
        <f>IF(grocery_chain_data[[#This Row],[Final Amount]]&lt;0,0,grocery_chain_data[[#This Row],[Final Amount]])</f>
        <v>20</v>
      </c>
    </row>
    <row r="1034" spans="1:13" x14ac:dyDescent="0.3">
      <c r="A1034">
        <v>7981</v>
      </c>
      <c r="B1034" t="s">
        <v>2</v>
      </c>
      <c r="C1034" s="1">
        <v>45274</v>
      </c>
      <c r="D1034" s="1" t="str">
        <f t="shared" si="16"/>
        <v>Meat &amp; Seafood</v>
      </c>
      <c r="E1034" t="s">
        <v>26</v>
      </c>
      <c r="F1034" s="2">
        <v>2</v>
      </c>
      <c r="G1034" s="3">
        <v>14</v>
      </c>
      <c r="H1034" s="3">
        <f>grocery_chain_data[[#This Row],[Quantity]]*grocery_chain_data[[#This Row],[Unit Price]]</f>
        <v>28</v>
      </c>
      <c r="I1034" s="3">
        <v>2</v>
      </c>
      <c r="J1034" s="3">
        <f>grocery_chain_data[[#This Row],[Total Amount]]-grocery_chain_data[[#This Row],[Discount Amount]]</f>
        <v>26</v>
      </c>
      <c r="K1034">
        <v>16</v>
      </c>
      <c r="L1034" t="str">
        <f>IF(grocery_chain_data[[#This Row],[Final Amount]]&lt;0,"Return","Sale")</f>
        <v>Sale</v>
      </c>
      <c r="M1034">
        <f>IF(grocery_chain_data[[#This Row],[Final Amount]]&lt;0,0,grocery_chain_data[[#This Row],[Final Amount]])</f>
        <v>26</v>
      </c>
    </row>
    <row r="1035" spans="1:13" x14ac:dyDescent="0.3">
      <c r="A1035">
        <v>8272</v>
      </c>
      <c r="B1035" t="s">
        <v>0</v>
      </c>
      <c r="C1035" s="1">
        <v>45418</v>
      </c>
      <c r="D1035" s="1" t="str">
        <f t="shared" si="16"/>
        <v>Dairy</v>
      </c>
      <c r="E1035" t="s">
        <v>3</v>
      </c>
      <c r="F1035" s="2">
        <v>1</v>
      </c>
      <c r="G1035" s="3">
        <v>4</v>
      </c>
      <c r="H1035" s="3">
        <f>grocery_chain_data[[#This Row],[Quantity]]*grocery_chain_data[[#This Row],[Unit Price]]</f>
        <v>4</v>
      </c>
      <c r="I1035" s="3">
        <v>3</v>
      </c>
      <c r="J1035" s="3">
        <f>grocery_chain_data[[#This Row],[Total Amount]]-grocery_chain_data[[#This Row],[Discount Amount]]</f>
        <v>1</v>
      </c>
      <c r="K1035">
        <v>292</v>
      </c>
      <c r="L1035" t="str">
        <f>IF(grocery_chain_data[[#This Row],[Final Amount]]&lt;0,"Return","Sale")</f>
        <v>Sale</v>
      </c>
      <c r="M1035">
        <f>IF(grocery_chain_data[[#This Row],[Final Amount]]&lt;0,0,grocery_chain_data[[#This Row],[Final Amount]])</f>
        <v>1</v>
      </c>
    </row>
    <row r="1036" spans="1:13" x14ac:dyDescent="0.3">
      <c r="A1036">
        <v>8325</v>
      </c>
      <c r="B1036" t="s">
        <v>0</v>
      </c>
      <c r="C1036" s="1">
        <v>45177</v>
      </c>
      <c r="D1036" s="1" t="str">
        <f t="shared" si="16"/>
        <v>Produce</v>
      </c>
      <c r="E1036" t="s">
        <v>17</v>
      </c>
      <c r="F1036" s="2">
        <v>3</v>
      </c>
      <c r="G1036" s="3">
        <v>10</v>
      </c>
      <c r="H1036" s="3">
        <f>grocery_chain_data[[#This Row],[Quantity]]*grocery_chain_data[[#This Row],[Unit Price]]</f>
        <v>30</v>
      </c>
      <c r="I1036" s="3">
        <v>6</v>
      </c>
      <c r="J1036" s="3">
        <f>grocery_chain_data[[#This Row],[Total Amount]]-grocery_chain_data[[#This Row],[Discount Amount]]</f>
        <v>24</v>
      </c>
      <c r="K1036">
        <v>248</v>
      </c>
      <c r="L1036" t="str">
        <f>IF(grocery_chain_data[[#This Row],[Final Amount]]&lt;0,"Return","Sale")</f>
        <v>Sale</v>
      </c>
      <c r="M1036">
        <f>IF(grocery_chain_data[[#This Row],[Final Amount]]&lt;0,0,grocery_chain_data[[#This Row],[Final Amount]])</f>
        <v>24</v>
      </c>
    </row>
    <row r="1037" spans="1:13" x14ac:dyDescent="0.3">
      <c r="A1037">
        <v>6776</v>
      </c>
      <c r="B1037" t="s">
        <v>5</v>
      </c>
      <c r="C1037" s="1">
        <v>45622</v>
      </c>
      <c r="D1037" s="1" t="str">
        <f t="shared" si="16"/>
        <v>Dairy</v>
      </c>
      <c r="E1037" t="s">
        <v>3</v>
      </c>
      <c r="F1037" s="2">
        <v>1</v>
      </c>
      <c r="G1037" s="3">
        <v>28</v>
      </c>
      <c r="H1037" s="3">
        <f>grocery_chain_data[[#This Row],[Quantity]]*grocery_chain_data[[#This Row],[Unit Price]]</f>
        <v>28</v>
      </c>
      <c r="I1037" s="3">
        <v>6</v>
      </c>
      <c r="J1037" s="3">
        <f>grocery_chain_data[[#This Row],[Total Amount]]-grocery_chain_data[[#This Row],[Discount Amount]]</f>
        <v>22</v>
      </c>
      <c r="K1037">
        <v>156</v>
      </c>
      <c r="L1037" t="str">
        <f>IF(grocery_chain_data[[#This Row],[Final Amount]]&lt;0,"Return","Sale")</f>
        <v>Sale</v>
      </c>
      <c r="M1037">
        <f>IF(grocery_chain_data[[#This Row],[Final Amount]]&lt;0,0,grocery_chain_data[[#This Row],[Final Amount]])</f>
        <v>22</v>
      </c>
    </row>
    <row r="1038" spans="1:13" x14ac:dyDescent="0.3">
      <c r="A1038">
        <v>8126</v>
      </c>
      <c r="B1038" t="s">
        <v>5</v>
      </c>
      <c r="C1038" s="1">
        <v>45358</v>
      </c>
      <c r="D1038" s="1" t="str">
        <f t="shared" si="16"/>
        <v>Produce</v>
      </c>
      <c r="E1038" t="s">
        <v>18</v>
      </c>
      <c r="F1038" s="2">
        <v>1</v>
      </c>
      <c r="G1038" s="3">
        <v>17</v>
      </c>
      <c r="H1038" s="3">
        <f>grocery_chain_data[[#This Row],[Quantity]]*grocery_chain_data[[#This Row],[Unit Price]]</f>
        <v>17</v>
      </c>
      <c r="I1038" s="3">
        <v>2</v>
      </c>
      <c r="J1038" s="3">
        <f>grocery_chain_data[[#This Row],[Total Amount]]-grocery_chain_data[[#This Row],[Discount Amount]]</f>
        <v>15</v>
      </c>
      <c r="K1038">
        <v>34</v>
      </c>
      <c r="L1038" t="str">
        <f>IF(grocery_chain_data[[#This Row],[Final Amount]]&lt;0,"Return","Sale")</f>
        <v>Sale</v>
      </c>
      <c r="M1038">
        <f>IF(grocery_chain_data[[#This Row],[Final Amount]]&lt;0,0,grocery_chain_data[[#This Row],[Final Amount]])</f>
        <v>15</v>
      </c>
    </row>
    <row r="1039" spans="1:13" x14ac:dyDescent="0.3">
      <c r="A1039">
        <v>1939</v>
      </c>
      <c r="B1039" t="s">
        <v>10</v>
      </c>
      <c r="C1039" s="1">
        <v>45203</v>
      </c>
      <c r="D1039" s="1" t="str">
        <f t="shared" si="16"/>
        <v>Produce</v>
      </c>
      <c r="E1039" t="s">
        <v>17</v>
      </c>
      <c r="F1039" s="2">
        <v>5</v>
      </c>
      <c r="G1039" s="3">
        <v>14</v>
      </c>
      <c r="H1039" s="3">
        <f>grocery_chain_data[[#This Row],[Quantity]]*grocery_chain_data[[#This Row],[Unit Price]]</f>
        <v>70</v>
      </c>
      <c r="I1039" s="3">
        <v>7</v>
      </c>
      <c r="J1039" s="3">
        <f>grocery_chain_data[[#This Row],[Total Amount]]-grocery_chain_data[[#This Row],[Discount Amount]]</f>
        <v>63</v>
      </c>
      <c r="K1039">
        <v>172</v>
      </c>
      <c r="L1039" t="str">
        <f>IF(grocery_chain_data[[#This Row],[Final Amount]]&lt;0,"Return","Sale")</f>
        <v>Sale</v>
      </c>
      <c r="M1039">
        <f>IF(grocery_chain_data[[#This Row],[Final Amount]]&lt;0,0,grocery_chain_data[[#This Row],[Final Amount]])</f>
        <v>63</v>
      </c>
    </row>
    <row r="1040" spans="1:13" x14ac:dyDescent="0.3">
      <c r="A1040">
        <v>7655</v>
      </c>
      <c r="B1040" t="s">
        <v>5</v>
      </c>
      <c r="C1040" s="1">
        <v>45427</v>
      </c>
      <c r="D1040" s="1" t="str">
        <f t="shared" si="16"/>
        <v>Produce</v>
      </c>
      <c r="E1040" t="s">
        <v>24</v>
      </c>
      <c r="F1040" s="2">
        <v>4</v>
      </c>
      <c r="G1040" s="3">
        <v>23</v>
      </c>
      <c r="H1040" s="3">
        <f>grocery_chain_data[[#This Row],[Quantity]]*grocery_chain_data[[#This Row],[Unit Price]]</f>
        <v>92</v>
      </c>
      <c r="I1040" s="3">
        <v>18</v>
      </c>
      <c r="J1040" s="3">
        <f>grocery_chain_data[[#This Row],[Total Amount]]-grocery_chain_data[[#This Row],[Discount Amount]]</f>
        <v>74</v>
      </c>
      <c r="K1040">
        <v>341</v>
      </c>
      <c r="L1040" t="str">
        <f>IF(grocery_chain_data[[#This Row],[Final Amount]]&lt;0,"Return","Sale")</f>
        <v>Sale</v>
      </c>
      <c r="M1040">
        <f>IF(grocery_chain_data[[#This Row],[Final Amount]]&lt;0,0,grocery_chain_data[[#This Row],[Final Amount]])</f>
        <v>74</v>
      </c>
    </row>
    <row r="1041" spans="1:13" x14ac:dyDescent="0.3">
      <c r="A1041">
        <v>9406</v>
      </c>
      <c r="B1041" t="s">
        <v>16</v>
      </c>
      <c r="C1041" s="1">
        <v>45767</v>
      </c>
      <c r="D1041" s="1" t="str">
        <f t="shared" si="16"/>
        <v>Dairy</v>
      </c>
      <c r="E1041" t="s">
        <v>3</v>
      </c>
      <c r="F1041" s="2">
        <v>4</v>
      </c>
      <c r="G1041" s="3">
        <v>8</v>
      </c>
      <c r="H1041" s="3">
        <f>grocery_chain_data[[#This Row],[Quantity]]*grocery_chain_data[[#This Row],[Unit Price]]</f>
        <v>32</v>
      </c>
      <c r="I1041" s="3">
        <v>1</v>
      </c>
      <c r="J1041" s="3">
        <f>grocery_chain_data[[#This Row],[Total Amount]]-grocery_chain_data[[#This Row],[Discount Amount]]</f>
        <v>31</v>
      </c>
      <c r="K1041">
        <v>202</v>
      </c>
      <c r="L1041" t="str">
        <f>IF(grocery_chain_data[[#This Row],[Final Amount]]&lt;0,"Return","Sale")</f>
        <v>Sale</v>
      </c>
      <c r="M1041">
        <f>IF(grocery_chain_data[[#This Row],[Final Amount]]&lt;0,0,grocery_chain_data[[#This Row],[Final Amount]])</f>
        <v>31</v>
      </c>
    </row>
    <row r="1042" spans="1:13" x14ac:dyDescent="0.3">
      <c r="A1042">
        <v>3621</v>
      </c>
      <c r="B1042" t="s">
        <v>10</v>
      </c>
      <c r="C1042" s="1">
        <v>45169</v>
      </c>
      <c r="D1042" s="1" t="str">
        <f t="shared" si="16"/>
        <v>Bakery</v>
      </c>
      <c r="E1042" t="s">
        <v>22</v>
      </c>
      <c r="F1042" s="2">
        <v>2</v>
      </c>
      <c r="G1042" s="3">
        <v>22</v>
      </c>
      <c r="H1042" s="3">
        <f>grocery_chain_data[[#This Row],[Quantity]]*grocery_chain_data[[#This Row],[Unit Price]]</f>
        <v>44</v>
      </c>
      <c r="I1042" s="3">
        <v>4</v>
      </c>
      <c r="J1042" s="3">
        <f>grocery_chain_data[[#This Row],[Total Amount]]-grocery_chain_data[[#This Row],[Discount Amount]]</f>
        <v>40</v>
      </c>
      <c r="K1042">
        <v>292</v>
      </c>
      <c r="L1042" t="str">
        <f>IF(grocery_chain_data[[#This Row],[Final Amount]]&lt;0,"Return","Sale")</f>
        <v>Sale</v>
      </c>
      <c r="M1042">
        <f>IF(grocery_chain_data[[#This Row],[Final Amount]]&lt;0,0,grocery_chain_data[[#This Row],[Final Amount]])</f>
        <v>40</v>
      </c>
    </row>
    <row r="1043" spans="1:13" x14ac:dyDescent="0.3">
      <c r="A1043">
        <v>3339</v>
      </c>
      <c r="B1043" t="s">
        <v>2</v>
      </c>
      <c r="C1043" s="1">
        <v>45804</v>
      </c>
      <c r="D1043" s="1" t="str">
        <f t="shared" si="16"/>
        <v>Dairy</v>
      </c>
      <c r="E1043" t="s">
        <v>23</v>
      </c>
      <c r="F1043" s="2">
        <v>5</v>
      </c>
      <c r="G1043" s="3">
        <v>17</v>
      </c>
      <c r="H1043" s="3">
        <f>grocery_chain_data[[#This Row],[Quantity]]*grocery_chain_data[[#This Row],[Unit Price]]</f>
        <v>85</v>
      </c>
      <c r="I1043" s="3">
        <v>3</v>
      </c>
      <c r="J1043" s="3">
        <f>grocery_chain_data[[#This Row],[Total Amount]]-grocery_chain_data[[#This Row],[Discount Amount]]</f>
        <v>82</v>
      </c>
      <c r="K1043">
        <v>387</v>
      </c>
      <c r="L1043" t="str">
        <f>IF(grocery_chain_data[[#This Row],[Final Amount]]&lt;0,"Return","Sale")</f>
        <v>Sale</v>
      </c>
      <c r="M1043">
        <f>IF(grocery_chain_data[[#This Row],[Final Amount]]&lt;0,0,grocery_chain_data[[#This Row],[Final Amount]])</f>
        <v>82</v>
      </c>
    </row>
    <row r="1044" spans="1:13" x14ac:dyDescent="0.3">
      <c r="A1044">
        <v>8179</v>
      </c>
      <c r="B1044" t="s">
        <v>10</v>
      </c>
      <c r="C1044" s="1">
        <v>45172</v>
      </c>
      <c r="D1044" s="1" t="str">
        <f t="shared" si="16"/>
        <v>Produce</v>
      </c>
      <c r="E1044" t="s">
        <v>18</v>
      </c>
      <c r="F1044" s="2">
        <v>1</v>
      </c>
      <c r="G1044" s="3">
        <v>20</v>
      </c>
      <c r="H1044" s="3">
        <f>grocery_chain_data[[#This Row],[Quantity]]*grocery_chain_data[[#This Row],[Unit Price]]</f>
        <v>20</v>
      </c>
      <c r="I1044" s="3">
        <v>2</v>
      </c>
      <c r="J1044" s="3">
        <f>grocery_chain_data[[#This Row],[Total Amount]]-grocery_chain_data[[#This Row],[Discount Amount]]</f>
        <v>18</v>
      </c>
      <c r="K1044">
        <v>272</v>
      </c>
      <c r="L1044" t="str">
        <f>IF(grocery_chain_data[[#This Row],[Final Amount]]&lt;0,"Return","Sale")</f>
        <v>Sale</v>
      </c>
      <c r="M1044">
        <f>IF(grocery_chain_data[[#This Row],[Final Amount]]&lt;0,0,grocery_chain_data[[#This Row],[Final Amount]])</f>
        <v>18</v>
      </c>
    </row>
    <row r="1045" spans="1:13" x14ac:dyDescent="0.3">
      <c r="A1045">
        <v>3068</v>
      </c>
      <c r="B1045" t="s">
        <v>21</v>
      </c>
      <c r="C1045" s="1">
        <v>45197</v>
      </c>
      <c r="D1045" s="1" t="str">
        <f t="shared" si="16"/>
        <v>Meat &amp; Seafood</v>
      </c>
      <c r="E1045" t="s">
        <v>15</v>
      </c>
      <c r="F1045" s="2">
        <v>1</v>
      </c>
      <c r="G1045" s="3">
        <v>24</v>
      </c>
      <c r="H1045" s="3">
        <f>grocery_chain_data[[#This Row],[Quantity]]*grocery_chain_data[[#This Row],[Unit Price]]</f>
        <v>24</v>
      </c>
      <c r="I1045" s="3">
        <v>2</v>
      </c>
      <c r="J1045" s="3">
        <f>grocery_chain_data[[#This Row],[Total Amount]]-grocery_chain_data[[#This Row],[Discount Amount]]</f>
        <v>22</v>
      </c>
      <c r="K1045">
        <v>310</v>
      </c>
      <c r="L1045" t="str">
        <f>IF(grocery_chain_data[[#This Row],[Final Amount]]&lt;0,"Return","Sale")</f>
        <v>Sale</v>
      </c>
      <c r="M1045">
        <f>IF(grocery_chain_data[[#This Row],[Final Amount]]&lt;0,0,grocery_chain_data[[#This Row],[Final Amount]])</f>
        <v>22</v>
      </c>
    </row>
    <row r="1046" spans="1:13" x14ac:dyDescent="0.3">
      <c r="A1046">
        <v>4866</v>
      </c>
      <c r="B1046" t="s">
        <v>13</v>
      </c>
      <c r="C1046" s="1">
        <v>45749</v>
      </c>
      <c r="D1046" s="1" t="str">
        <f t="shared" si="16"/>
        <v>Produce</v>
      </c>
      <c r="E1046" t="s">
        <v>18</v>
      </c>
      <c r="F1046" s="2">
        <v>3</v>
      </c>
      <c r="G1046" s="3">
        <v>14</v>
      </c>
      <c r="H1046" s="3">
        <f>grocery_chain_data[[#This Row],[Quantity]]*grocery_chain_data[[#This Row],[Unit Price]]</f>
        <v>42</v>
      </c>
      <c r="I1046" s="3">
        <v>2</v>
      </c>
      <c r="J1046" s="3">
        <f>grocery_chain_data[[#This Row],[Total Amount]]-grocery_chain_data[[#This Row],[Discount Amount]]</f>
        <v>40</v>
      </c>
      <c r="K1046">
        <v>212</v>
      </c>
      <c r="L1046" t="str">
        <f>IF(grocery_chain_data[[#This Row],[Final Amount]]&lt;0,"Return","Sale")</f>
        <v>Sale</v>
      </c>
      <c r="M1046">
        <f>IF(grocery_chain_data[[#This Row],[Final Amount]]&lt;0,0,grocery_chain_data[[#This Row],[Final Amount]])</f>
        <v>40</v>
      </c>
    </row>
    <row r="1047" spans="1:13" x14ac:dyDescent="0.3">
      <c r="A1047">
        <v>7001</v>
      </c>
      <c r="B1047" t="s">
        <v>12</v>
      </c>
      <c r="C1047" s="1">
        <v>45426</v>
      </c>
      <c r="D1047" s="1" t="str">
        <f t="shared" si="16"/>
        <v>Meat &amp; Seafood</v>
      </c>
      <c r="E1047" t="s">
        <v>26</v>
      </c>
      <c r="F1047" s="2">
        <v>1</v>
      </c>
      <c r="G1047" s="3">
        <v>17</v>
      </c>
      <c r="H1047" s="3">
        <f>grocery_chain_data[[#This Row],[Quantity]]*grocery_chain_data[[#This Row],[Unit Price]]</f>
        <v>17</v>
      </c>
      <c r="I1047" s="3">
        <v>3</v>
      </c>
      <c r="J1047" s="3">
        <f>grocery_chain_data[[#This Row],[Total Amount]]-grocery_chain_data[[#This Row],[Discount Amount]]</f>
        <v>14</v>
      </c>
      <c r="K1047">
        <v>146</v>
      </c>
      <c r="L1047" t="str">
        <f>IF(grocery_chain_data[[#This Row],[Final Amount]]&lt;0,"Return","Sale")</f>
        <v>Sale</v>
      </c>
      <c r="M1047">
        <f>IF(grocery_chain_data[[#This Row],[Final Amount]]&lt;0,0,grocery_chain_data[[#This Row],[Final Amount]])</f>
        <v>14</v>
      </c>
    </row>
    <row r="1048" spans="1:13" x14ac:dyDescent="0.3">
      <c r="A1048">
        <v>7272</v>
      </c>
      <c r="B1048" t="s">
        <v>12</v>
      </c>
      <c r="C1048" s="1">
        <v>45585</v>
      </c>
      <c r="D1048" s="1" t="str">
        <f t="shared" si="16"/>
        <v>Dairy</v>
      </c>
      <c r="E1048" t="s">
        <v>20</v>
      </c>
      <c r="F1048" s="2">
        <v>3</v>
      </c>
      <c r="G1048" s="3">
        <v>29</v>
      </c>
      <c r="H1048" s="3">
        <f>grocery_chain_data[[#This Row],[Quantity]]*grocery_chain_data[[#This Row],[Unit Price]]</f>
        <v>87</v>
      </c>
      <c r="I1048" s="3">
        <v>3</v>
      </c>
      <c r="J1048" s="3">
        <f>grocery_chain_data[[#This Row],[Total Amount]]-grocery_chain_data[[#This Row],[Discount Amount]]</f>
        <v>84</v>
      </c>
      <c r="K1048">
        <v>347</v>
      </c>
      <c r="L1048" t="str">
        <f>IF(grocery_chain_data[[#This Row],[Final Amount]]&lt;0,"Return","Sale")</f>
        <v>Sale</v>
      </c>
      <c r="M1048">
        <f>IF(grocery_chain_data[[#This Row],[Final Amount]]&lt;0,0,grocery_chain_data[[#This Row],[Final Amount]])</f>
        <v>84</v>
      </c>
    </row>
    <row r="1049" spans="1:13" x14ac:dyDescent="0.3">
      <c r="A1049">
        <v>1530</v>
      </c>
      <c r="B1049" t="s">
        <v>16</v>
      </c>
      <c r="C1049" s="1">
        <v>45614</v>
      </c>
      <c r="D1049" s="1" t="str">
        <f t="shared" si="16"/>
        <v>Produce</v>
      </c>
      <c r="E1049" t="s">
        <v>18</v>
      </c>
      <c r="F1049" s="2">
        <v>1</v>
      </c>
      <c r="G1049" s="3">
        <v>10</v>
      </c>
      <c r="H1049" s="3">
        <f>grocery_chain_data[[#This Row],[Quantity]]*grocery_chain_data[[#This Row],[Unit Price]]</f>
        <v>10</v>
      </c>
      <c r="I1049" s="3">
        <v>2</v>
      </c>
      <c r="J1049" s="3">
        <f>grocery_chain_data[[#This Row],[Total Amount]]-grocery_chain_data[[#This Row],[Discount Amount]]</f>
        <v>8</v>
      </c>
      <c r="K1049">
        <v>50</v>
      </c>
      <c r="L1049" t="str">
        <f>IF(grocery_chain_data[[#This Row],[Final Amount]]&lt;0,"Return","Sale")</f>
        <v>Sale</v>
      </c>
      <c r="M1049">
        <f>IF(grocery_chain_data[[#This Row],[Final Amount]]&lt;0,0,grocery_chain_data[[#This Row],[Final Amount]])</f>
        <v>8</v>
      </c>
    </row>
    <row r="1050" spans="1:13" x14ac:dyDescent="0.3">
      <c r="A1050">
        <v>3513</v>
      </c>
      <c r="B1050" t="s">
        <v>8</v>
      </c>
      <c r="C1050" s="1">
        <v>45672</v>
      </c>
      <c r="D1050" s="1" t="str">
        <f t="shared" si="16"/>
        <v>Pantry</v>
      </c>
      <c r="E1050" t="s">
        <v>1</v>
      </c>
      <c r="F1050" s="2">
        <v>4</v>
      </c>
      <c r="G1050" s="3">
        <v>28</v>
      </c>
      <c r="H1050" s="3">
        <f>grocery_chain_data[[#This Row],[Quantity]]*grocery_chain_data[[#This Row],[Unit Price]]</f>
        <v>112</v>
      </c>
      <c r="I1050" s="3">
        <v>2</v>
      </c>
      <c r="J1050" s="3">
        <f>grocery_chain_data[[#This Row],[Total Amount]]-grocery_chain_data[[#This Row],[Discount Amount]]</f>
        <v>110</v>
      </c>
      <c r="K1050">
        <v>460</v>
      </c>
      <c r="L1050" t="str">
        <f>IF(grocery_chain_data[[#This Row],[Final Amount]]&lt;0,"Return","Sale")</f>
        <v>Sale</v>
      </c>
      <c r="M1050">
        <f>IF(grocery_chain_data[[#This Row],[Final Amount]]&lt;0,0,grocery_chain_data[[#This Row],[Final Amount]])</f>
        <v>110</v>
      </c>
    </row>
    <row r="1051" spans="1:13" x14ac:dyDescent="0.3">
      <c r="A1051">
        <v>8371</v>
      </c>
      <c r="B1051" t="s">
        <v>21</v>
      </c>
      <c r="C1051" s="1">
        <v>45433</v>
      </c>
      <c r="D1051" s="1" t="str">
        <f t="shared" si="16"/>
        <v>Produce</v>
      </c>
      <c r="E1051" t="s">
        <v>24</v>
      </c>
      <c r="F1051" s="2">
        <v>5</v>
      </c>
      <c r="G1051" s="3">
        <v>12</v>
      </c>
      <c r="H1051" s="3">
        <f>grocery_chain_data[[#This Row],[Quantity]]*grocery_chain_data[[#This Row],[Unit Price]]</f>
        <v>60</v>
      </c>
      <c r="I1051" s="3">
        <v>2</v>
      </c>
      <c r="J1051" s="3">
        <f>grocery_chain_data[[#This Row],[Total Amount]]-grocery_chain_data[[#This Row],[Discount Amount]]</f>
        <v>58</v>
      </c>
      <c r="K1051">
        <v>58</v>
      </c>
      <c r="L1051" t="str">
        <f>IF(grocery_chain_data[[#This Row],[Final Amount]]&lt;0,"Return","Sale")</f>
        <v>Sale</v>
      </c>
      <c r="M1051">
        <f>IF(grocery_chain_data[[#This Row],[Final Amount]]&lt;0,0,grocery_chain_data[[#This Row],[Final Amount]])</f>
        <v>58</v>
      </c>
    </row>
    <row r="1052" spans="1:13" x14ac:dyDescent="0.3">
      <c r="A1052">
        <v>7095</v>
      </c>
      <c r="B1052" t="s">
        <v>2</v>
      </c>
      <c r="C1052" s="1">
        <v>45489</v>
      </c>
      <c r="D1052" s="1" t="str">
        <f t="shared" si="16"/>
        <v>Bakery</v>
      </c>
      <c r="E1052" t="s">
        <v>22</v>
      </c>
      <c r="F1052" s="2">
        <v>4</v>
      </c>
      <c r="G1052" s="3">
        <v>2</v>
      </c>
      <c r="H1052" s="3">
        <f>grocery_chain_data[[#This Row],[Quantity]]*grocery_chain_data[[#This Row],[Unit Price]]</f>
        <v>8</v>
      </c>
      <c r="I1052" s="3">
        <v>2</v>
      </c>
      <c r="J1052" s="3">
        <f>grocery_chain_data[[#This Row],[Total Amount]]-grocery_chain_data[[#This Row],[Discount Amount]]</f>
        <v>6</v>
      </c>
      <c r="K1052">
        <v>324</v>
      </c>
      <c r="L1052" t="str">
        <f>IF(grocery_chain_data[[#This Row],[Final Amount]]&lt;0,"Return","Sale")</f>
        <v>Sale</v>
      </c>
      <c r="M1052">
        <f>IF(grocery_chain_data[[#This Row],[Final Amount]]&lt;0,0,grocery_chain_data[[#This Row],[Final Amount]])</f>
        <v>6</v>
      </c>
    </row>
    <row r="1053" spans="1:13" x14ac:dyDescent="0.3">
      <c r="A1053">
        <v>2259</v>
      </c>
      <c r="B1053" t="s">
        <v>0</v>
      </c>
      <c r="C1053" s="1">
        <v>45590</v>
      </c>
      <c r="D1053" s="1" t="str">
        <f t="shared" si="16"/>
        <v>Produce</v>
      </c>
      <c r="E1053" t="s">
        <v>4</v>
      </c>
      <c r="F1053" s="2">
        <v>2</v>
      </c>
      <c r="G1053" s="3">
        <v>10</v>
      </c>
      <c r="H1053" s="3">
        <f>grocery_chain_data[[#This Row],[Quantity]]*grocery_chain_data[[#This Row],[Unit Price]]</f>
        <v>20</v>
      </c>
      <c r="I1053" s="3">
        <v>4</v>
      </c>
      <c r="J1053" s="3">
        <f>grocery_chain_data[[#This Row],[Total Amount]]-grocery_chain_data[[#This Row],[Discount Amount]]</f>
        <v>16</v>
      </c>
      <c r="K1053">
        <v>208</v>
      </c>
      <c r="L1053" t="str">
        <f>IF(grocery_chain_data[[#This Row],[Final Amount]]&lt;0,"Return","Sale")</f>
        <v>Sale</v>
      </c>
      <c r="M1053">
        <f>IF(grocery_chain_data[[#This Row],[Final Amount]]&lt;0,0,grocery_chain_data[[#This Row],[Final Amount]])</f>
        <v>16</v>
      </c>
    </row>
    <row r="1054" spans="1:13" x14ac:dyDescent="0.3">
      <c r="A1054">
        <v>3255</v>
      </c>
      <c r="B1054" t="s">
        <v>2</v>
      </c>
      <c r="C1054" s="1">
        <v>45556</v>
      </c>
      <c r="D1054" s="1" t="str">
        <f t="shared" si="16"/>
        <v>Dairy</v>
      </c>
      <c r="E1054" t="s">
        <v>20</v>
      </c>
      <c r="F1054" s="2">
        <v>3</v>
      </c>
      <c r="G1054" s="3">
        <v>17</v>
      </c>
      <c r="H1054" s="3">
        <f>grocery_chain_data[[#This Row],[Quantity]]*grocery_chain_data[[#This Row],[Unit Price]]</f>
        <v>51</v>
      </c>
      <c r="I1054" s="3">
        <v>5</v>
      </c>
      <c r="J1054" s="3">
        <f>grocery_chain_data[[#This Row],[Total Amount]]-grocery_chain_data[[#This Row],[Discount Amount]]</f>
        <v>46</v>
      </c>
      <c r="K1054">
        <v>86</v>
      </c>
      <c r="L1054" t="str">
        <f>IF(grocery_chain_data[[#This Row],[Final Amount]]&lt;0,"Return","Sale")</f>
        <v>Sale</v>
      </c>
      <c r="M1054">
        <f>IF(grocery_chain_data[[#This Row],[Final Amount]]&lt;0,0,grocery_chain_data[[#This Row],[Final Amount]])</f>
        <v>46</v>
      </c>
    </row>
    <row r="1055" spans="1:13" x14ac:dyDescent="0.3">
      <c r="A1055">
        <v>7012</v>
      </c>
      <c r="B1055" t="s">
        <v>2</v>
      </c>
      <c r="C1055" s="1">
        <v>45454</v>
      </c>
      <c r="D1055" s="1" t="str">
        <f t="shared" si="16"/>
        <v>Dairy</v>
      </c>
      <c r="E1055" t="s">
        <v>19</v>
      </c>
      <c r="F1055" s="2">
        <v>1</v>
      </c>
      <c r="G1055" s="3">
        <v>25</v>
      </c>
      <c r="H1055" s="3">
        <f>grocery_chain_data[[#This Row],[Quantity]]*grocery_chain_data[[#This Row],[Unit Price]]</f>
        <v>25</v>
      </c>
      <c r="I1055" s="3">
        <v>0</v>
      </c>
      <c r="J1055" s="3">
        <f>grocery_chain_data[[#This Row],[Total Amount]]-grocery_chain_data[[#This Row],[Discount Amount]]</f>
        <v>25</v>
      </c>
      <c r="K1055">
        <v>492</v>
      </c>
      <c r="L1055" t="str">
        <f>IF(grocery_chain_data[[#This Row],[Final Amount]]&lt;0,"Return","Sale")</f>
        <v>Sale</v>
      </c>
      <c r="M1055">
        <f>IF(grocery_chain_data[[#This Row],[Final Amount]]&lt;0,0,grocery_chain_data[[#This Row],[Final Amount]])</f>
        <v>25</v>
      </c>
    </row>
    <row r="1056" spans="1:13" x14ac:dyDescent="0.3">
      <c r="A1056">
        <v>6150</v>
      </c>
      <c r="B1056" t="s">
        <v>5</v>
      </c>
      <c r="C1056" s="1">
        <v>45649</v>
      </c>
      <c r="D1056" s="1" t="str">
        <f t="shared" si="16"/>
        <v>Dairy</v>
      </c>
      <c r="E1056" t="s">
        <v>19</v>
      </c>
      <c r="F1056" s="2">
        <v>4</v>
      </c>
      <c r="G1056" s="3">
        <v>9</v>
      </c>
      <c r="H1056" s="3">
        <f>grocery_chain_data[[#This Row],[Quantity]]*grocery_chain_data[[#This Row],[Unit Price]]</f>
        <v>36</v>
      </c>
      <c r="I1056" s="3">
        <v>5</v>
      </c>
      <c r="J1056" s="3">
        <f>grocery_chain_data[[#This Row],[Total Amount]]-grocery_chain_data[[#This Row],[Discount Amount]]</f>
        <v>31</v>
      </c>
      <c r="K1056">
        <v>128</v>
      </c>
      <c r="L1056" t="str">
        <f>IF(grocery_chain_data[[#This Row],[Final Amount]]&lt;0,"Return","Sale")</f>
        <v>Sale</v>
      </c>
      <c r="M1056">
        <f>IF(grocery_chain_data[[#This Row],[Final Amount]]&lt;0,0,grocery_chain_data[[#This Row],[Final Amount]])</f>
        <v>31</v>
      </c>
    </row>
    <row r="1057" spans="1:13" x14ac:dyDescent="0.3">
      <c r="A1057">
        <v>5566</v>
      </c>
      <c r="B1057" t="s">
        <v>21</v>
      </c>
      <c r="C1057" s="1">
        <v>45338</v>
      </c>
      <c r="D1057" s="1" t="str">
        <f t="shared" si="16"/>
        <v>Produce</v>
      </c>
      <c r="E1057" t="s">
        <v>24</v>
      </c>
      <c r="F1057" s="2">
        <v>3</v>
      </c>
      <c r="G1057" s="3">
        <v>2</v>
      </c>
      <c r="H1057" s="3">
        <f>grocery_chain_data[[#This Row],[Quantity]]*grocery_chain_data[[#This Row],[Unit Price]]</f>
        <v>6</v>
      </c>
      <c r="I1057" s="3">
        <v>1</v>
      </c>
      <c r="J1057" s="3">
        <f>grocery_chain_data[[#This Row],[Total Amount]]-grocery_chain_data[[#This Row],[Discount Amount]]</f>
        <v>5</v>
      </c>
      <c r="K1057">
        <v>378</v>
      </c>
      <c r="L1057" t="str">
        <f>IF(grocery_chain_data[[#This Row],[Final Amount]]&lt;0,"Return","Sale")</f>
        <v>Sale</v>
      </c>
      <c r="M1057">
        <f>IF(grocery_chain_data[[#This Row],[Final Amount]]&lt;0,0,grocery_chain_data[[#This Row],[Final Amount]])</f>
        <v>5</v>
      </c>
    </row>
    <row r="1058" spans="1:13" x14ac:dyDescent="0.3">
      <c r="A1058">
        <v>2858</v>
      </c>
      <c r="B1058" t="s">
        <v>0</v>
      </c>
      <c r="C1058" s="1">
        <v>45165</v>
      </c>
      <c r="D1058" s="1" t="str">
        <f t="shared" si="16"/>
        <v>Meat &amp; Seafood</v>
      </c>
      <c r="E1058" t="s">
        <v>26</v>
      </c>
      <c r="F1058" s="2">
        <v>2</v>
      </c>
      <c r="G1058" s="3">
        <v>22</v>
      </c>
      <c r="H1058" s="3">
        <f>grocery_chain_data[[#This Row],[Quantity]]*grocery_chain_data[[#This Row],[Unit Price]]</f>
        <v>44</v>
      </c>
      <c r="I1058" s="3">
        <v>9</v>
      </c>
      <c r="J1058" s="3">
        <f>grocery_chain_data[[#This Row],[Total Amount]]-grocery_chain_data[[#This Row],[Discount Amount]]</f>
        <v>35</v>
      </c>
      <c r="K1058">
        <v>143</v>
      </c>
      <c r="L1058" t="str">
        <f>IF(grocery_chain_data[[#This Row],[Final Amount]]&lt;0,"Return","Sale")</f>
        <v>Sale</v>
      </c>
      <c r="M1058">
        <f>IF(grocery_chain_data[[#This Row],[Final Amount]]&lt;0,0,grocery_chain_data[[#This Row],[Final Amount]])</f>
        <v>35</v>
      </c>
    </row>
    <row r="1059" spans="1:13" x14ac:dyDescent="0.3">
      <c r="A1059">
        <v>4048</v>
      </c>
      <c r="B1059" t="s">
        <v>2</v>
      </c>
      <c r="C1059" s="1">
        <v>45532</v>
      </c>
      <c r="D1059" s="1" t="str">
        <f t="shared" si="16"/>
        <v>Pantry</v>
      </c>
      <c r="E1059" t="s">
        <v>6</v>
      </c>
      <c r="F1059" s="2">
        <v>3</v>
      </c>
      <c r="G1059" s="3">
        <v>29</v>
      </c>
      <c r="H1059" s="3">
        <f>grocery_chain_data[[#This Row],[Quantity]]*grocery_chain_data[[#This Row],[Unit Price]]</f>
        <v>87</v>
      </c>
      <c r="I1059" s="3">
        <v>13</v>
      </c>
      <c r="J1059" s="3">
        <f>grocery_chain_data[[#This Row],[Total Amount]]-grocery_chain_data[[#This Row],[Discount Amount]]</f>
        <v>74</v>
      </c>
      <c r="K1059">
        <v>362</v>
      </c>
      <c r="L1059" t="str">
        <f>IF(grocery_chain_data[[#This Row],[Final Amount]]&lt;0,"Return","Sale")</f>
        <v>Sale</v>
      </c>
      <c r="M1059">
        <f>IF(grocery_chain_data[[#This Row],[Final Amount]]&lt;0,0,grocery_chain_data[[#This Row],[Final Amount]])</f>
        <v>74</v>
      </c>
    </row>
    <row r="1060" spans="1:13" x14ac:dyDescent="0.3">
      <c r="A1060">
        <v>9482</v>
      </c>
      <c r="B1060" t="s">
        <v>21</v>
      </c>
      <c r="C1060" s="1">
        <v>45445</v>
      </c>
      <c r="D1060" s="1" t="str">
        <f t="shared" si="16"/>
        <v>Pantry</v>
      </c>
      <c r="E1060" t="s">
        <v>6</v>
      </c>
      <c r="F1060" s="2">
        <v>3</v>
      </c>
      <c r="G1060" s="3">
        <v>7</v>
      </c>
      <c r="H1060" s="3">
        <f>grocery_chain_data[[#This Row],[Quantity]]*grocery_chain_data[[#This Row],[Unit Price]]</f>
        <v>21</v>
      </c>
      <c r="I1060" s="3">
        <v>5</v>
      </c>
      <c r="J1060" s="3">
        <f>grocery_chain_data[[#This Row],[Total Amount]]-grocery_chain_data[[#This Row],[Discount Amount]]</f>
        <v>16</v>
      </c>
      <c r="K1060">
        <v>491</v>
      </c>
      <c r="L1060" t="str">
        <f>IF(grocery_chain_data[[#This Row],[Final Amount]]&lt;0,"Return","Sale")</f>
        <v>Sale</v>
      </c>
      <c r="M1060">
        <f>IF(grocery_chain_data[[#This Row],[Final Amount]]&lt;0,0,grocery_chain_data[[#This Row],[Final Amount]])</f>
        <v>16</v>
      </c>
    </row>
    <row r="1061" spans="1:13" x14ac:dyDescent="0.3">
      <c r="A1061">
        <v>2929</v>
      </c>
      <c r="B1061" t="s">
        <v>5</v>
      </c>
      <c r="C1061" s="1">
        <v>45348</v>
      </c>
      <c r="D1061" s="1" t="str">
        <f t="shared" si="16"/>
        <v>Produce</v>
      </c>
      <c r="E1061" t="s">
        <v>18</v>
      </c>
      <c r="F1061" s="2">
        <v>5</v>
      </c>
      <c r="G1061" s="3">
        <v>15</v>
      </c>
      <c r="H1061" s="3">
        <f>grocery_chain_data[[#This Row],[Quantity]]*grocery_chain_data[[#This Row],[Unit Price]]</f>
        <v>75</v>
      </c>
      <c r="I1061" s="3">
        <v>0</v>
      </c>
      <c r="J1061" s="3">
        <f>grocery_chain_data[[#This Row],[Total Amount]]-grocery_chain_data[[#This Row],[Discount Amount]]</f>
        <v>75</v>
      </c>
      <c r="K1061">
        <v>461</v>
      </c>
      <c r="L1061" t="str">
        <f>IF(grocery_chain_data[[#This Row],[Final Amount]]&lt;0,"Return","Sale")</f>
        <v>Sale</v>
      </c>
      <c r="M1061">
        <f>IF(grocery_chain_data[[#This Row],[Final Amount]]&lt;0,0,grocery_chain_data[[#This Row],[Final Amount]])</f>
        <v>75</v>
      </c>
    </row>
    <row r="1062" spans="1:13" x14ac:dyDescent="0.3">
      <c r="A1062">
        <v>5264</v>
      </c>
      <c r="B1062" t="s">
        <v>5</v>
      </c>
      <c r="C1062" s="1">
        <v>45691</v>
      </c>
      <c r="D1062" s="1" t="str">
        <f t="shared" si="16"/>
        <v>Produce</v>
      </c>
      <c r="E1062" t="s">
        <v>4</v>
      </c>
      <c r="F1062" s="2">
        <v>4</v>
      </c>
      <c r="G1062" s="3">
        <v>23</v>
      </c>
      <c r="H1062" s="3">
        <f>grocery_chain_data[[#This Row],[Quantity]]*grocery_chain_data[[#This Row],[Unit Price]]</f>
        <v>92</v>
      </c>
      <c r="I1062" s="3">
        <v>0</v>
      </c>
      <c r="J1062" s="3">
        <f>grocery_chain_data[[#This Row],[Total Amount]]-grocery_chain_data[[#This Row],[Discount Amount]]</f>
        <v>92</v>
      </c>
      <c r="K1062">
        <v>275</v>
      </c>
      <c r="L1062" t="str">
        <f>IF(grocery_chain_data[[#This Row],[Final Amount]]&lt;0,"Return","Sale")</f>
        <v>Sale</v>
      </c>
      <c r="M1062">
        <f>IF(grocery_chain_data[[#This Row],[Final Amount]]&lt;0,0,grocery_chain_data[[#This Row],[Final Amount]])</f>
        <v>92</v>
      </c>
    </row>
    <row r="1063" spans="1:13" x14ac:dyDescent="0.3">
      <c r="A1063">
        <v>8311</v>
      </c>
      <c r="B1063" t="s">
        <v>0</v>
      </c>
      <c r="C1063" s="1">
        <v>45311</v>
      </c>
      <c r="D1063" s="1" t="str">
        <f t="shared" si="16"/>
        <v>Produce</v>
      </c>
      <c r="E1063" t="s">
        <v>18</v>
      </c>
      <c r="F1063" s="2">
        <v>4</v>
      </c>
      <c r="G1063" s="3">
        <v>20</v>
      </c>
      <c r="H1063" s="3">
        <f>grocery_chain_data[[#This Row],[Quantity]]*grocery_chain_data[[#This Row],[Unit Price]]</f>
        <v>80</v>
      </c>
      <c r="I1063" s="3">
        <v>2</v>
      </c>
      <c r="J1063" s="3">
        <f>grocery_chain_data[[#This Row],[Total Amount]]-grocery_chain_data[[#This Row],[Discount Amount]]</f>
        <v>78</v>
      </c>
      <c r="K1063">
        <v>180</v>
      </c>
      <c r="L1063" t="str">
        <f>IF(grocery_chain_data[[#This Row],[Final Amount]]&lt;0,"Return","Sale")</f>
        <v>Sale</v>
      </c>
      <c r="M1063">
        <f>IF(grocery_chain_data[[#This Row],[Final Amount]]&lt;0,0,grocery_chain_data[[#This Row],[Final Amount]])</f>
        <v>78</v>
      </c>
    </row>
    <row r="1064" spans="1:13" x14ac:dyDescent="0.3">
      <c r="A1064">
        <v>5678</v>
      </c>
      <c r="B1064" t="s">
        <v>5</v>
      </c>
      <c r="C1064" s="1">
        <v>45684</v>
      </c>
      <c r="D1064" s="1" t="str">
        <f t="shared" si="16"/>
        <v>Meat &amp; Seafood</v>
      </c>
      <c r="E1064" t="s">
        <v>26</v>
      </c>
      <c r="F1064" s="2">
        <v>4</v>
      </c>
      <c r="G1064" s="3">
        <v>12</v>
      </c>
      <c r="H1064" s="3">
        <f>grocery_chain_data[[#This Row],[Quantity]]*grocery_chain_data[[#This Row],[Unit Price]]</f>
        <v>48</v>
      </c>
      <c r="I1064" s="3">
        <v>2</v>
      </c>
      <c r="J1064" s="3">
        <f>grocery_chain_data[[#This Row],[Total Amount]]-grocery_chain_data[[#This Row],[Discount Amount]]</f>
        <v>46</v>
      </c>
      <c r="K1064">
        <v>98</v>
      </c>
      <c r="L1064" t="str">
        <f>IF(grocery_chain_data[[#This Row],[Final Amount]]&lt;0,"Return","Sale")</f>
        <v>Sale</v>
      </c>
      <c r="M1064">
        <f>IF(grocery_chain_data[[#This Row],[Final Amount]]&lt;0,0,grocery_chain_data[[#This Row],[Final Amount]])</f>
        <v>46</v>
      </c>
    </row>
    <row r="1065" spans="1:13" x14ac:dyDescent="0.3">
      <c r="A1065">
        <v>9047</v>
      </c>
      <c r="B1065" t="s">
        <v>13</v>
      </c>
      <c r="C1065" s="1">
        <v>45300</v>
      </c>
      <c r="D1065" s="1" t="str">
        <f t="shared" si="16"/>
        <v>Beverages</v>
      </c>
      <c r="E1065" t="s">
        <v>7</v>
      </c>
      <c r="F1065" s="2">
        <v>2</v>
      </c>
      <c r="G1065" s="3">
        <v>4</v>
      </c>
      <c r="H1065" s="3">
        <f>grocery_chain_data[[#This Row],[Quantity]]*grocery_chain_data[[#This Row],[Unit Price]]</f>
        <v>8</v>
      </c>
      <c r="I1065" s="3">
        <v>0</v>
      </c>
      <c r="J1065" s="3">
        <f>grocery_chain_data[[#This Row],[Total Amount]]-grocery_chain_data[[#This Row],[Discount Amount]]</f>
        <v>8</v>
      </c>
      <c r="K1065">
        <v>314</v>
      </c>
      <c r="L1065" t="str">
        <f>IF(grocery_chain_data[[#This Row],[Final Amount]]&lt;0,"Return","Sale")</f>
        <v>Sale</v>
      </c>
      <c r="M1065">
        <f>IF(grocery_chain_data[[#This Row],[Final Amount]]&lt;0,0,grocery_chain_data[[#This Row],[Final Amount]])</f>
        <v>8</v>
      </c>
    </row>
    <row r="1066" spans="1:13" x14ac:dyDescent="0.3">
      <c r="A1066">
        <v>3009</v>
      </c>
      <c r="B1066" t="s">
        <v>21</v>
      </c>
      <c r="C1066" s="1">
        <v>45250</v>
      </c>
      <c r="D1066" s="1" t="str">
        <f t="shared" si="16"/>
        <v>Produce</v>
      </c>
      <c r="E1066" t="s">
        <v>25</v>
      </c>
      <c r="F1066" s="2">
        <v>3</v>
      </c>
      <c r="G1066" s="3">
        <v>2</v>
      </c>
      <c r="H1066" s="3">
        <f>grocery_chain_data[[#This Row],[Quantity]]*grocery_chain_data[[#This Row],[Unit Price]]</f>
        <v>6</v>
      </c>
      <c r="I1066" s="3">
        <v>2</v>
      </c>
      <c r="J1066" s="3">
        <f>grocery_chain_data[[#This Row],[Total Amount]]-grocery_chain_data[[#This Row],[Discount Amount]]</f>
        <v>4</v>
      </c>
      <c r="K1066">
        <v>252</v>
      </c>
      <c r="L1066" t="str">
        <f>IF(grocery_chain_data[[#This Row],[Final Amount]]&lt;0,"Return","Sale")</f>
        <v>Sale</v>
      </c>
      <c r="M1066">
        <f>IF(grocery_chain_data[[#This Row],[Final Amount]]&lt;0,0,grocery_chain_data[[#This Row],[Final Amount]])</f>
        <v>4</v>
      </c>
    </row>
    <row r="1067" spans="1:13" x14ac:dyDescent="0.3">
      <c r="A1067">
        <v>2213</v>
      </c>
      <c r="B1067" t="s">
        <v>8</v>
      </c>
      <c r="C1067" s="1">
        <v>45496</v>
      </c>
      <c r="D1067" s="1" t="str">
        <f t="shared" si="16"/>
        <v>Pantry</v>
      </c>
      <c r="E1067" t="s">
        <v>1</v>
      </c>
      <c r="F1067" s="2">
        <v>5</v>
      </c>
      <c r="G1067" s="3">
        <v>16</v>
      </c>
      <c r="H1067" s="3">
        <f>grocery_chain_data[[#This Row],[Quantity]]*grocery_chain_data[[#This Row],[Unit Price]]</f>
        <v>80</v>
      </c>
      <c r="I1067" s="3">
        <v>0</v>
      </c>
      <c r="J1067" s="3">
        <f>grocery_chain_data[[#This Row],[Total Amount]]-grocery_chain_data[[#This Row],[Discount Amount]]</f>
        <v>80</v>
      </c>
      <c r="K1067">
        <v>87</v>
      </c>
      <c r="L1067" t="str">
        <f>IF(grocery_chain_data[[#This Row],[Final Amount]]&lt;0,"Return","Sale")</f>
        <v>Sale</v>
      </c>
      <c r="M1067">
        <f>IF(grocery_chain_data[[#This Row],[Final Amount]]&lt;0,0,grocery_chain_data[[#This Row],[Final Amount]])</f>
        <v>80</v>
      </c>
    </row>
    <row r="1068" spans="1:13" x14ac:dyDescent="0.3">
      <c r="A1068">
        <v>3828</v>
      </c>
      <c r="B1068" t="s">
        <v>5</v>
      </c>
      <c r="C1068" s="1">
        <v>45843</v>
      </c>
      <c r="D1068" s="1" t="str">
        <f t="shared" si="16"/>
        <v>Dairy</v>
      </c>
      <c r="E1068" t="s">
        <v>20</v>
      </c>
      <c r="F1068" s="2">
        <v>1</v>
      </c>
      <c r="G1068" s="3">
        <v>5</v>
      </c>
      <c r="H1068" s="3">
        <f>grocery_chain_data[[#This Row],[Quantity]]*grocery_chain_data[[#This Row],[Unit Price]]</f>
        <v>5</v>
      </c>
      <c r="I1068" s="3">
        <v>4</v>
      </c>
      <c r="J1068" s="3">
        <f>grocery_chain_data[[#This Row],[Total Amount]]-grocery_chain_data[[#This Row],[Discount Amount]]</f>
        <v>1</v>
      </c>
      <c r="K1068">
        <v>477</v>
      </c>
      <c r="L1068" t="str">
        <f>IF(grocery_chain_data[[#This Row],[Final Amount]]&lt;0,"Return","Sale")</f>
        <v>Sale</v>
      </c>
      <c r="M1068">
        <f>IF(grocery_chain_data[[#This Row],[Final Amount]]&lt;0,0,grocery_chain_data[[#This Row],[Final Amount]])</f>
        <v>1</v>
      </c>
    </row>
    <row r="1069" spans="1:13" x14ac:dyDescent="0.3">
      <c r="A1069">
        <v>8292</v>
      </c>
      <c r="B1069" t="s">
        <v>12</v>
      </c>
      <c r="C1069" s="1">
        <v>45213</v>
      </c>
      <c r="D1069" s="1" t="str">
        <f t="shared" si="16"/>
        <v>Produce</v>
      </c>
      <c r="E1069" t="s">
        <v>18</v>
      </c>
      <c r="F1069" s="2">
        <v>5</v>
      </c>
      <c r="G1069" s="3">
        <v>19</v>
      </c>
      <c r="H1069" s="3">
        <f>grocery_chain_data[[#This Row],[Quantity]]*grocery_chain_data[[#This Row],[Unit Price]]</f>
        <v>95</v>
      </c>
      <c r="I1069" s="3">
        <v>5</v>
      </c>
      <c r="J1069" s="3">
        <f>grocery_chain_data[[#This Row],[Total Amount]]-grocery_chain_data[[#This Row],[Discount Amount]]</f>
        <v>90</v>
      </c>
      <c r="K1069">
        <v>348</v>
      </c>
      <c r="L1069" t="str">
        <f>IF(grocery_chain_data[[#This Row],[Final Amount]]&lt;0,"Return","Sale")</f>
        <v>Sale</v>
      </c>
      <c r="M1069">
        <f>IF(grocery_chain_data[[#This Row],[Final Amount]]&lt;0,0,grocery_chain_data[[#This Row],[Final Amount]])</f>
        <v>90</v>
      </c>
    </row>
    <row r="1070" spans="1:13" x14ac:dyDescent="0.3">
      <c r="A1070">
        <v>6236</v>
      </c>
      <c r="B1070" t="s">
        <v>13</v>
      </c>
      <c r="C1070" s="1">
        <v>45663</v>
      </c>
      <c r="D1070" s="1" t="str">
        <f t="shared" si="16"/>
        <v>Dairy</v>
      </c>
      <c r="E1070" t="s">
        <v>3</v>
      </c>
      <c r="F1070" s="2">
        <v>4</v>
      </c>
      <c r="G1070" s="3">
        <v>9</v>
      </c>
      <c r="H1070" s="3">
        <f>grocery_chain_data[[#This Row],[Quantity]]*grocery_chain_data[[#This Row],[Unit Price]]</f>
        <v>36</v>
      </c>
      <c r="I1070" s="3">
        <v>4</v>
      </c>
      <c r="J1070" s="3">
        <f>grocery_chain_data[[#This Row],[Total Amount]]-grocery_chain_data[[#This Row],[Discount Amount]]</f>
        <v>32</v>
      </c>
      <c r="K1070">
        <v>348</v>
      </c>
      <c r="L1070" t="str">
        <f>IF(grocery_chain_data[[#This Row],[Final Amount]]&lt;0,"Return","Sale")</f>
        <v>Sale</v>
      </c>
      <c r="M1070">
        <f>IF(grocery_chain_data[[#This Row],[Final Amount]]&lt;0,0,grocery_chain_data[[#This Row],[Final Amount]])</f>
        <v>32</v>
      </c>
    </row>
    <row r="1071" spans="1:13" x14ac:dyDescent="0.3">
      <c r="A1071">
        <v>6692</v>
      </c>
      <c r="B1071" t="s">
        <v>16</v>
      </c>
      <c r="C1071" s="1">
        <v>45696</v>
      </c>
      <c r="D1071" s="1" t="str">
        <f t="shared" si="16"/>
        <v>Dairy</v>
      </c>
      <c r="E1071" t="s">
        <v>19</v>
      </c>
      <c r="F1071" s="2">
        <v>2</v>
      </c>
      <c r="G1071" s="3">
        <v>2</v>
      </c>
      <c r="H1071" s="3">
        <f>grocery_chain_data[[#This Row],[Quantity]]*grocery_chain_data[[#This Row],[Unit Price]]</f>
        <v>4</v>
      </c>
      <c r="I1071" s="3">
        <v>3</v>
      </c>
      <c r="J1071" s="3">
        <f>grocery_chain_data[[#This Row],[Total Amount]]-grocery_chain_data[[#This Row],[Discount Amount]]</f>
        <v>1</v>
      </c>
      <c r="K1071">
        <v>470</v>
      </c>
      <c r="L1071" t="str">
        <f>IF(grocery_chain_data[[#This Row],[Final Amount]]&lt;0,"Return","Sale")</f>
        <v>Sale</v>
      </c>
      <c r="M1071">
        <f>IF(grocery_chain_data[[#This Row],[Final Amount]]&lt;0,0,grocery_chain_data[[#This Row],[Final Amount]])</f>
        <v>1</v>
      </c>
    </row>
    <row r="1072" spans="1:13" x14ac:dyDescent="0.3">
      <c r="A1072">
        <v>2063</v>
      </c>
      <c r="B1072" t="s">
        <v>13</v>
      </c>
      <c r="C1072" s="1">
        <v>45572</v>
      </c>
      <c r="D1072" s="1" t="str">
        <f t="shared" si="16"/>
        <v>Dairy</v>
      </c>
      <c r="E1072" t="s">
        <v>23</v>
      </c>
      <c r="F1072" s="2">
        <v>3</v>
      </c>
      <c r="G1072" s="3">
        <v>3</v>
      </c>
      <c r="H1072" s="3">
        <f>grocery_chain_data[[#This Row],[Quantity]]*grocery_chain_data[[#This Row],[Unit Price]]</f>
        <v>9</v>
      </c>
      <c r="I1072" s="3">
        <v>0</v>
      </c>
      <c r="J1072" s="3">
        <f>grocery_chain_data[[#This Row],[Total Amount]]-grocery_chain_data[[#This Row],[Discount Amount]]</f>
        <v>9</v>
      </c>
      <c r="K1072">
        <v>292</v>
      </c>
      <c r="L1072" t="str">
        <f>IF(grocery_chain_data[[#This Row],[Final Amount]]&lt;0,"Return","Sale")</f>
        <v>Sale</v>
      </c>
      <c r="M1072">
        <f>IF(grocery_chain_data[[#This Row],[Final Amount]]&lt;0,0,grocery_chain_data[[#This Row],[Final Amount]])</f>
        <v>9</v>
      </c>
    </row>
    <row r="1073" spans="1:13" x14ac:dyDescent="0.3">
      <c r="A1073">
        <v>9882</v>
      </c>
      <c r="B1073" t="s">
        <v>21</v>
      </c>
      <c r="C1073" s="1">
        <v>45370</v>
      </c>
      <c r="D1073" s="1" t="str">
        <f t="shared" si="16"/>
        <v>Bakery</v>
      </c>
      <c r="E1073" t="s">
        <v>22</v>
      </c>
      <c r="F1073" s="2">
        <v>2</v>
      </c>
      <c r="G1073" s="3">
        <v>7</v>
      </c>
      <c r="H1073" s="3">
        <f>grocery_chain_data[[#This Row],[Quantity]]*grocery_chain_data[[#This Row],[Unit Price]]</f>
        <v>14</v>
      </c>
      <c r="I1073" s="3">
        <v>4</v>
      </c>
      <c r="J1073" s="3">
        <f>grocery_chain_data[[#This Row],[Total Amount]]-grocery_chain_data[[#This Row],[Discount Amount]]</f>
        <v>10</v>
      </c>
      <c r="K1073">
        <v>168</v>
      </c>
      <c r="L1073" t="str">
        <f>IF(grocery_chain_data[[#This Row],[Final Amount]]&lt;0,"Return","Sale")</f>
        <v>Sale</v>
      </c>
      <c r="M1073">
        <f>IF(grocery_chain_data[[#This Row],[Final Amount]]&lt;0,0,grocery_chain_data[[#This Row],[Final Amount]])</f>
        <v>10</v>
      </c>
    </row>
    <row r="1074" spans="1:13" x14ac:dyDescent="0.3">
      <c r="A1074">
        <v>5914</v>
      </c>
      <c r="B1074" t="s">
        <v>0</v>
      </c>
      <c r="C1074" s="1">
        <v>45806</v>
      </c>
      <c r="D1074" s="1" t="str">
        <f t="shared" si="16"/>
        <v>Produce</v>
      </c>
      <c r="E1074" t="s">
        <v>25</v>
      </c>
      <c r="F1074" s="2">
        <v>4</v>
      </c>
      <c r="G1074" s="3">
        <v>24</v>
      </c>
      <c r="H1074" s="3">
        <f>grocery_chain_data[[#This Row],[Quantity]]*grocery_chain_data[[#This Row],[Unit Price]]</f>
        <v>96</v>
      </c>
      <c r="I1074" s="3">
        <v>15</v>
      </c>
      <c r="J1074" s="3">
        <f>grocery_chain_data[[#This Row],[Total Amount]]-grocery_chain_data[[#This Row],[Discount Amount]]</f>
        <v>81</v>
      </c>
      <c r="K1074">
        <v>303</v>
      </c>
      <c r="L1074" t="str">
        <f>IF(grocery_chain_data[[#This Row],[Final Amount]]&lt;0,"Return","Sale")</f>
        <v>Sale</v>
      </c>
      <c r="M1074">
        <f>IF(grocery_chain_data[[#This Row],[Final Amount]]&lt;0,0,grocery_chain_data[[#This Row],[Final Amount]])</f>
        <v>81</v>
      </c>
    </row>
    <row r="1075" spans="1:13" x14ac:dyDescent="0.3">
      <c r="A1075">
        <v>3580</v>
      </c>
      <c r="B1075" t="s">
        <v>21</v>
      </c>
      <c r="C1075" s="1">
        <v>45697</v>
      </c>
      <c r="D1075" s="1" t="str">
        <f t="shared" si="16"/>
        <v>Produce</v>
      </c>
      <c r="E1075" t="s">
        <v>25</v>
      </c>
      <c r="F1075" s="2">
        <v>2</v>
      </c>
      <c r="G1075" s="3">
        <v>29</v>
      </c>
      <c r="H1075" s="3">
        <f>grocery_chain_data[[#This Row],[Quantity]]*grocery_chain_data[[#This Row],[Unit Price]]</f>
        <v>58</v>
      </c>
      <c r="I1075" s="3">
        <v>9</v>
      </c>
      <c r="J1075" s="3">
        <f>grocery_chain_data[[#This Row],[Total Amount]]-grocery_chain_data[[#This Row],[Discount Amount]]</f>
        <v>49</v>
      </c>
      <c r="K1075">
        <v>426</v>
      </c>
      <c r="L1075" t="str">
        <f>IF(grocery_chain_data[[#This Row],[Final Amount]]&lt;0,"Return","Sale")</f>
        <v>Sale</v>
      </c>
      <c r="M1075">
        <f>IF(grocery_chain_data[[#This Row],[Final Amount]]&lt;0,0,grocery_chain_data[[#This Row],[Final Amount]])</f>
        <v>49</v>
      </c>
    </row>
    <row r="1076" spans="1:13" x14ac:dyDescent="0.3">
      <c r="A1076">
        <v>3852</v>
      </c>
      <c r="B1076" t="s">
        <v>2</v>
      </c>
      <c r="C1076" s="1">
        <v>45761</v>
      </c>
      <c r="D1076" s="1" t="str">
        <f t="shared" si="16"/>
        <v>Bakery</v>
      </c>
      <c r="E1076" t="s">
        <v>22</v>
      </c>
      <c r="F1076" s="2">
        <v>5</v>
      </c>
      <c r="G1076" s="3">
        <v>19</v>
      </c>
      <c r="H1076" s="3">
        <f>grocery_chain_data[[#This Row],[Quantity]]*grocery_chain_data[[#This Row],[Unit Price]]</f>
        <v>95</v>
      </c>
      <c r="I1076" s="3">
        <v>0</v>
      </c>
      <c r="J1076" s="3">
        <f>grocery_chain_data[[#This Row],[Total Amount]]-grocery_chain_data[[#This Row],[Discount Amount]]</f>
        <v>95</v>
      </c>
      <c r="K1076">
        <v>391</v>
      </c>
      <c r="L1076" t="str">
        <f>IF(grocery_chain_data[[#This Row],[Final Amount]]&lt;0,"Return","Sale")</f>
        <v>Sale</v>
      </c>
      <c r="M1076">
        <f>IF(grocery_chain_data[[#This Row],[Final Amount]]&lt;0,0,grocery_chain_data[[#This Row],[Final Amount]])</f>
        <v>95</v>
      </c>
    </row>
    <row r="1077" spans="1:13" x14ac:dyDescent="0.3">
      <c r="A1077">
        <v>6922</v>
      </c>
      <c r="B1077" t="s">
        <v>10</v>
      </c>
      <c r="C1077" s="1">
        <v>45540</v>
      </c>
      <c r="D1077" s="1" t="str">
        <f t="shared" si="16"/>
        <v>Meat &amp; Seafood</v>
      </c>
      <c r="E1077" t="s">
        <v>26</v>
      </c>
      <c r="F1077" s="2">
        <v>1</v>
      </c>
      <c r="G1077" s="3">
        <v>29</v>
      </c>
      <c r="H1077" s="3">
        <f>grocery_chain_data[[#This Row],[Quantity]]*grocery_chain_data[[#This Row],[Unit Price]]</f>
        <v>29</v>
      </c>
      <c r="I1077" s="3">
        <v>3</v>
      </c>
      <c r="J1077" s="3">
        <f>grocery_chain_data[[#This Row],[Total Amount]]-grocery_chain_data[[#This Row],[Discount Amount]]</f>
        <v>26</v>
      </c>
      <c r="K1077">
        <v>469</v>
      </c>
      <c r="L1077" t="str">
        <f>IF(grocery_chain_data[[#This Row],[Final Amount]]&lt;0,"Return","Sale")</f>
        <v>Sale</v>
      </c>
      <c r="M1077">
        <f>IF(grocery_chain_data[[#This Row],[Final Amount]]&lt;0,0,grocery_chain_data[[#This Row],[Final Amount]])</f>
        <v>26</v>
      </c>
    </row>
    <row r="1078" spans="1:13" x14ac:dyDescent="0.3">
      <c r="A1078">
        <v>4673</v>
      </c>
      <c r="B1078" t="s">
        <v>16</v>
      </c>
      <c r="C1078" s="1">
        <v>45239</v>
      </c>
      <c r="D1078" s="1" t="str">
        <f t="shared" si="16"/>
        <v>Dairy</v>
      </c>
      <c r="E1078" t="s">
        <v>20</v>
      </c>
      <c r="F1078" s="2">
        <v>1</v>
      </c>
      <c r="G1078" s="3">
        <v>28</v>
      </c>
      <c r="H1078" s="3">
        <f>grocery_chain_data[[#This Row],[Quantity]]*grocery_chain_data[[#This Row],[Unit Price]]</f>
        <v>28</v>
      </c>
      <c r="I1078" s="3">
        <v>4</v>
      </c>
      <c r="J1078" s="3">
        <f>grocery_chain_data[[#This Row],[Total Amount]]-grocery_chain_data[[#This Row],[Discount Amount]]</f>
        <v>24</v>
      </c>
      <c r="K1078">
        <v>226</v>
      </c>
      <c r="L1078" t="str">
        <f>IF(grocery_chain_data[[#This Row],[Final Amount]]&lt;0,"Return","Sale")</f>
        <v>Sale</v>
      </c>
      <c r="M1078">
        <f>IF(grocery_chain_data[[#This Row],[Final Amount]]&lt;0,0,grocery_chain_data[[#This Row],[Final Amount]])</f>
        <v>24</v>
      </c>
    </row>
    <row r="1079" spans="1:13" x14ac:dyDescent="0.3">
      <c r="A1079">
        <v>4292</v>
      </c>
      <c r="B1079" t="s">
        <v>8</v>
      </c>
      <c r="C1079" s="1">
        <v>45760</v>
      </c>
      <c r="D1079" s="1" t="str">
        <f t="shared" si="16"/>
        <v>Meat &amp; Seafood</v>
      </c>
      <c r="E1079" t="s">
        <v>26</v>
      </c>
      <c r="F1079" s="2">
        <v>1</v>
      </c>
      <c r="G1079" s="3">
        <v>17</v>
      </c>
      <c r="H1079" s="3">
        <f>grocery_chain_data[[#This Row],[Quantity]]*grocery_chain_data[[#This Row],[Unit Price]]</f>
        <v>17</v>
      </c>
      <c r="I1079" s="3">
        <v>2</v>
      </c>
      <c r="J1079" s="3">
        <f>grocery_chain_data[[#This Row],[Total Amount]]-grocery_chain_data[[#This Row],[Discount Amount]]</f>
        <v>15</v>
      </c>
      <c r="K1079">
        <v>150</v>
      </c>
      <c r="L1079" t="str">
        <f>IF(grocery_chain_data[[#This Row],[Final Amount]]&lt;0,"Return","Sale")</f>
        <v>Sale</v>
      </c>
      <c r="M1079">
        <f>IF(grocery_chain_data[[#This Row],[Final Amount]]&lt;0,0,grocery_chain_data[[#This Row],[Final Amount]])</f>
        <v>15</v>
      </c>
    </row>
    <row r="1080" spans="1:13" x14ac:dyDescent="0.3">
      <c r="A1080">
        <v>3275</v>
      </c>
      <c r="B1080" t="s">
        <v>0</v>
      </c>
      <c r="C1080" s="1">
        <v>45328</v>
      </c>
      <c r="D1080" s="1" t="str">
        <f t="shared" si="16"/>
        <v>Dairy</v>
      </c>
      <c r="E1080" t="s">
        <v>3</v>
      </c>
      <c r="F1080" s="2">
        <v>2</v>
      </c>
      <c r="G1080" s="3">
        <v>26</v>
      </c>
      <c r="H1080" s="3">
        <f>grocery_chain_data[[#This Row],[Quantity]]*grocery_chain_data[[#This Row],[Unit Price]]</f>
        <v>52</v>
      </c>
      <c r="I1080" s="3">
        <v>5</v>
      </c>
      <c r="J1080" s="3">
        <f>grocery_chain_data[[#This Row],[Total Amount]]-grocery_chain_data[[#This Row],[Discount Amount]]</f>
        <v>47</v>
      </c>
      <c r="K1080">
        <v>403</v>
      </c>
      <c r="L1080" t="str">
        <f>IF(grocery_chain_data[[#This Row],[Final Amount]]&lt;0,"Return","Sale")</f>
        <v>Sale</v>
      </c>
      <c r="M1080">
        <f>IF(grocery_chain_data[[#This Row],[Final Amount]]&lt;0,0,grocery_chain_data[[#This Row],[Final Amount]])</f>
        <v>47</v>
      </c>
    </row>
    <row r="1081" spans="1:13" x14ac:dyDescent="0.3">
      <c r="A1081">
        <v>9094</v>
      </c>
      <c r="B1081" t="s">
        <v>8</v>
      </c>
      <c r="C1081" s="1">
        <v>45165</v>
      </c>
      <c r="D1081" s="1" t="str">
        <f t="shared" si="16"/>
        <v>Dairy</v>
      </c>
      <c r="E1081" t="s">
        <v>3</v>
      </c>
      <c r="F1081" s="2">
        <v>5</v>
      </c>
      <c r="G1081" s="3">
        <v>19</v>
      </c>
      <c r="H1081" s="3">
        <f>grocery_chain_data[[#This Row],[Quantity]]*grocery_chain_data[[#This Row],[Unit Price]]</f>
        <v>95</v>
      </c>
      <c r="I1081" s="3">
        <v>9</v>
      </c>
      <c r="J1081" s="3">
        <f>grocery_chain_data[[#This Row],[Total Amount]]-grocery_chain_data[[#This Row],[Discount Amount]]</f>
        <v>86</v>
      </c>
      <c r="K1081">
        <v>173</v>
      </c>
      <c r="L1081" t="str">
        <f>IF(grocery_chain_data[[#This Row],[Final Amount]]&lt;0,"Return","Sale")</f>
        <v>Sale</v>
      </c>
      <c r="M1081">
        <f>IF(grocery_chain_data[[#This Row],[Final Amount]]&lt;0,0,grocery_chain_data[[#This Row],[Final Amount]])</f>
        <v>86</v>
      </c>
    </row>
    <row r="1082" spans="1:13" x14ac:dyDescent="0.3">
      <c r="A1082">
        <v>6912</v>
      </c>
      <c r="B1082" t="s">
        <v>2</v>
      </c>
      <c r="C1082" s="1">
        <v>45575</v>
      </c>
      <c r="D1082" s="1" t="str">
        <f t="shared" si="16"/>
        <v>Dairy</v>
      </c>
      <c r="E1082" t="s">
        <v>23</v>
      </c>
      <c r="F1082" s="2">
        <v>1</v>
      </c>
      <c r="G1082" s="3">
        <v>4</v>
      </c>
      <c r="H1082" s="3">
        <f>grocery_chain_data[[#This Row],[Quantity]]*grocery_chain_data[[#This Row],[Unit Price]]</f>
        <v>4</v>
      </c>
      <c r="I1082" s="3">
        <v>4</v>
      </c>
      <c r="J1082" s="3">
        <f>grocery_chain_data[[#This Row],[Total Amount]]-grocery_chain_data[[#This Row],[Discount Amount]]</f>
        <v>0</v>
      </c>
      <c r="K1082">
        <v>304</v>
      </c>
      <c r="L1082" t="str">
        <f>IF(grocery_chain_data[[#This Row],[Final Amount]]&lt;0,"Return","Sale")</f>
        <v>Sale</v>
      </c>
      <c r="M1082">
        <f>IF(grocery_chain_data[[#This Row],[Final Amount]]&lt;0,0,grocery_chain_data[[#This Row],[Final Amount]])</f>
        <v>0</v>
      </c>
    </row>
    <row r="1083" spans="1:13" x14ac:dyDescent="0.3">
      <c r="A1083">
        <v>7044</v>
      </c>
      <c r="B1083" t="s">
        <v>21</v>
      </c>
      <c r="C1083" s="1">
        <v>45508</v>
      </c>
      <c r="D1083" s="1" t="str">
        <f t="shared" si="16"/>
        <v>Dairy</v>
      </c>
      <c r="E1083" t="s">
        <v>20</v>
      </c>
      <c r="F1083" s="2">
        <v>5</v>
      </c>
      <c r="G1083" s="3">
        <v>8</v>
      </c>
      <c r="H1083" s="3">
        <f>grocery_chain_data[[#This Row],[Quantity]]*grocery_chain_data[[#This Row],[Unit Price]]</f>
        <v>40</v>
      </c>
      <c r="I1083" s="3">
        <v>0</v>
      </c>
      <c r="J1083" s="3">
        <f>grocery_chain_data[[#This Row],[Total Amount]]-grocery_chain_data[[#This Row],[Discount Amount]]</f>
        <v>40</v>
      </c>
      <c r="K1083">
        <v>215</v>
      </c>
      <c r="L1083" t="str">
        <f>IF(grocery_chain_data[[#This Row],[Final Amount]]&lt;0,"Return","Sale")</f>
        <v>Sale</v>
      </c>
      <c r="M1083">
        <f>IF(grocery_chain_data[[#This Row],[Final Amount]]&lt;0,0,grocery_chain_data[[#This Row],[Final Amount]])</f>
        <v>40</v>
      </c>
    </row>
    <row r="1084" spans="1:13" x14ac:dyDescent="0.3">
      <c r="A1084">
        <v>3126</v>
      </c>
      <c r="B1084" t="s">
        <v>10</v>
      </c>
      <c r="C1084" s="1">
        <v>45620</v>
      </c>
      <c r="D1084" s="1" t="str">
        <f t="shared" si="16"/>
        <v>Meat &amp; Seafood</v>
      </c>
      <c r="E1084" t="s">
        <v>9</v>
      </c>
      <c r="F1084" s="2">
        <v>2</v>
      </c>
      <c r="G1084" s="3">
        <v>24</v>
      </c>
      <c r="H1084" s="3">
        <f>grocery_chain_data[[#This Row],[Quantity]]*grocery_chain_data[[#This Row],[Unit Price]]</f>
        <v>48</v>
      </c>
      <c r="I1084" s="3">
        <v>7</v>
      </c>
      <c r="J1084" s="3">
        <f>grocery_chain_data[[#This Row],[Total Amount]]-grocery_chain_data[[#This Row],[Discount Amount]]</f>
        <v>41</v>
      </c>
      <c r="K1084">
        <v>30</v>
      </c>
      <c r="L1084" t="str">
        <f>IF(grocery_chain_data[[#This Row],[Final Amount]]&lt;0,"Return","Sale")</f>
        <v>Sale</v>
      </c>
      <c r="M1084">
        <f>IF(grocery_chain_data[[#This Row],[Final Amount]]&lt;0,0,grocery_chain_data[[#This Row],[Final Amount]])</f>
        <v>41</v>
      </c>
    </row>
    <row r="1085" spans="1:13" x14ac:dyDescent="0.3">
      <c r="A1085">
        <v>2412</v>
      </c>
      <c r="B1085" t="s">
        <v>8</v>
      </c>
      <c r="C1085" s="1">
        <v>45196</v>
      </c>
      <c r="D1085" s="1" t="str">
        <f t="shared" si="16"/>
        <v>Beverages</v>
      </c>
      <c r="E1085" t="s">
        <v>7</v>
      </c>
      <c r="F1085" s="2">
        <v>3</v>
      </c>
      <c r="G1085" s="3">
        <v>18</v>
      </c>
      <c r="H1085" s="3">
        <f>grocery_chain_data[[#This Row],[Quantity]]*grocery_chain_data[[#This Row],[Unit Price]]</f>
        <v>54</v>
      </c>
      <c r="I1085" s="3">
        <v>11</v>
      </c>
      <c r="J1085" s="3">
        <f>grocery_chain_data[[#This Row],[Total Amount]]-grocery_chain_data[[#This Row],[Discount Amount]]</f>
        <v>43</v>
      </c>
      <c r="K1085">
        <v>277</v>
      </c>
      <c r="L1085" t="str">
        <f>IF(grocery_chain_data[[#This Row],[Final Amount]]&lt;0,"Return","Sale")</f>
        <v>Sale</v>
      </c>
      <c r="M1085">
        <f>IF(grocery_chain_data[[#This Row],[Final Amount]]&lt;0,0,grocery_chain_data[[#This Row],[Final Amount]])</f>
        <v>43</v>
      </c>
    </row>
    <row r="1086" spans="1:13" x14ac:dyDescent="0.3">
      <c r="A1086">
        <v>6067</v>
      </c>
      <c r="B1086" t="s">
        <v>10</v>
      </c>
      <c r="C1086" s="1">
        <v>45454</v>
      </c>
      <c r="D1086" s="1" t="str">
        <f t="shared" si="16"/>
        <v>Pantry</v>
      </c>
      <c r="E1086" t="s">
        <v>6</v>
      </c>
      <c r="F1086" s="2">
        <v>3</v>
      </c>
      <c r="G1086" s="3">
        <v>12</v>
      </c>
      <c r="H1086" s="3">
        <f>grocery_chain_data[[#This Row],[Quantity]]*grocery_chain_data[[#This Row],[Unit Price]]</f>
        <v>36</v>
      </c>
      <c r="I1086" s="3">
        <v>2</v>
      </c>
      <c r="J1086" s="3">
        <f>grocery_chain_data[[#This Row],[Total Amount]]-grocery_chain_data[[#This Row],[Discount Amount]]</f>
        <v>34</v>
      </c>
      <c r="K1086">
        <v>4</v>
      </c>
      <c r="L1086" t="str">
        <f>IF(grocery_chain_data[[#This Row],[Final Amount]]&lt;0,"Return","Sale")</f>
        <v>Sale</v>
      </c>
      <c r="M1086">
        <f>IF(grocery_chain_data[[#This Row],[Final Amount]]&lt;0,0,grocery_chain_data[[#This Row],[Final Amount]])</f>
        <v>34</v>
      </c>
    </row>
    <row r="1087" spans="1:13" x14ac:dyDescent="0.3">
      <c r="A1087">
        <v>8842</v>
      </c>
      <c r="B1087" t="s">
        <v>2</v>
      </c>
      <c r="C1087" s="1">
        <v>45553</v>
      </c>
      <c r="D1087" s="1" t="str">
        <f t="shared" si="16"/>
        <v>Dairy</v>
      </c>
      <c r="E1087" t="s">
        <v>3</v>
      </c>
      <c r="F1087" s="2">
        <v>3</v>
      </c>
      <c r="G1087" s="3">
        <v>7</v>
      </c>
      <c r="H1087" s="3">
        <f>grocery_chain_data[[#This Row],[Quantity]]*grocery_chain_data[[#This Row],[Unit Price]]</f>
        <v>21</v>
      </c>
      <c r="I1087" s="3">
        <v>2</v>
      </c>
      <c r="J1087" s="3">
        <f>grocery_chain_data[[#This Row],[Total Amount]]-grocery_chain_data[[#This Row],[Discount Amount]]</f>
        <v>19</v>
      </c>
      <c r="K1087">
        <v>102</v>
      </c>
      <c r="L1087" t="str">
        <f>IF(grocery_chain_data[[#This Row],[Final Amount]]&lt;0,"Return","Sale")</f>
        <v>Sale</v>
      </c>
      <c r="M1087">
        <f>IF(grocery_chain_data[[#This Row],[Final Amount]]&lt;0,0,grocery_chain_data[[#This Row],[Final Amount]])</f>
        <v>19</v>
      </c>
    </row>
    <row r="1088" spans="1:13" x14ac:dyDescent="0.3">
      <c r="A1088">
        <v>7730</v>
      </c>
      <c r="B1088" t="s">
        <v>10</v>
      </c>
      <c r="C1088" s="1">
        <v>45742</v>
      </c>
      <c r="D1088" s="1" t="str">
        <f t="shared" si="16"/>
        <v>Pantry</v>
      </c>
      <c r="E1088" t="s">
        <v>6</v>
      </c>
      <c r="F1088" s="2">
        <v>5</v>
      </c>
      <c r="G1088" s="3">
        <v>17</v>
      </c>
      <c r="H1088" s="3">
        <f>grocery_chain_data[[#This Row],[Quantity]]*grocery_chain_data[[#This Row],[Unit Price]]</f>
        <v>85</v>
      </c>
      <c r="I1088" s="3">
        <v>9</v>
      </c>
      <c r="J1088" s="3">
        <f>grocery_chain_data[[#This Row],[Total Amount]]-grocery_chain_data[[#This Row],[Discount Amount]]</f>
        <v>76</v>
      </c>
      <c r="K1088">
        <v>171</v>
      </c>
      <c r="L1088" t="str">
        <f>IF(grocery_chain_data[[#This Row],[Final Amount]]&lt;0,"Return","Sale")</f>
        <v>Sale</v>
      </c>
      <c r="M1088">
        <f>IF(grocery_chain_data[[#This Row],[Final Amount]]&lt;0,0,grocery_chain_data[[#This Row],[Final Amount]])</f>
        <v>76</v>
      </c>
    </row>
    <row r="1089" spans="1:13" x14ac:dyDescent="0.3">
      <c r="A1089">
        <v>7708</v>
      </c>
      <c r="B1089" t="s">
        <v>16</v>
      </c>
      <c r="C1089" s="1">
        <v>45784</v>
      </c>
      <c r="D1089" s="1" t="str">
        <f t="shared" si="16"/>
        <v>Meat &amp; Seafood</v>
      </c>
      <c r="E1089" t="s">
        <v>26</v>
      </c>
      <c r="F1089" s="2">
        <v>4</v>
      </c>
      <c r="G1089" s="3">
        <v>26</v>
      </c>
      <c r="H1089" s="3">
        <f>grocery_chain_data[[#This Row],[Quantity]]*grocery_chain_data[[#This Row],[Unit Price]]</f>
        <v>104</v>
      </c>
      <c r="I1089" s="3">
        <v>11</v>
      </c>
      <c r="J1089" s="3">
        <f>grocery_chain_data[[#This Row],[Total Amount]]-grocery_chain_data[[#This Row],[Discount Amount]]</f>
        <v>93</v>
      </c>
      <c r="K1089">
        <v>466</v>
      </c>
      <c r="L1089" t="str">
        <f>IF(grocery_chain_data[[#This Row],[Final Amount]]&lt;0,"Return","Sale")</f>
        <v>Sale</v>
      </c>
      <c r="M1089">
        <f>IF(grocery_chain_data[[#This Row],[Final Amount]]&lt;0,0,grocery_chain_data[[#This Row],[Final Amount]])</f>
        <v>93</v>
      </c>
    </row>
    <row r="1090" spans="1:13" x14ac:dyDescent="0.3">
      <c r="A1090">
        <v>2208</v>
      </c>
      <c r="B1090" t="s">
        <v>21</v>
      </c>
      <c r="C1090" s="1">
        <v>45242</v>
      </c>
      <c r="D1090" s="1" t="str">
        <f t="shared" ref="D1090:D1153" si="17">IF(E1090="Pasta","Pantry",
IF(E1090="Cheese","Dairy",
IF(E1090="Onions","Produce",
IF(E1090="Cereal","Pantry",
IF(E1090="Orange Juice","Beverages",
IF(E1090="Ground Beef","Meat &amp; Seafood",
IF(E1090="Apples","Produce",
IF(E1090="Milk","Dairy",
IF(E1090="Bananas","Produce",
IF(E1090="Bread","Bakery",
IF(E1090="Carrots","Produce",
IF(E1090="Chicken Breast","Meat &amp; Seafood",
IF(E1090="Eggs","Dairy",
IF(E1090="Potatoes","Produce",
IF(E1090="Rice","Produce",
IF(E1090="Salmon","Meat &amp; Seafood",
IF(E1090="Tomatoes","Produce",
IF(E1090="Yogurt","Dairy",
"Others"))))))))))))))))))</f>
        <v>Meat &amp; Seafood</v>
      </c>
      <c r="E1090" t="s">
        <v>9</v>
      </c>
      <c r="F1090" s="2">
        <v>2</v>
      </c>
      <c r="G1090" s="3">
        <v>15</v>
      </c>
      <c r="H1090" s="3">
        <f>grocery_chain_data[[#This Row],[Quantity]]*grocery_chain_data[[#This Row],[Unit Price]]</f>
        <v>30</v>
      </c>
      <c r="I1090" s="3">
        <v>3</v>
      </c>
      <c r="J1090" s="3">
        <f>grocery_chain_data[[#This Row],[Total Amount]]-grocery_chain_data[[#This Row],[Discount Amount]]</f>
        <v>27</v>
      </c>
      <c r="K1090">
        <v>109</v>
      </c>
      <c r="L1090" t="str">
        <f>IF(grocery_chain_data[[#This Row],[Final Amount]]&lt;0,"Return","Sale")</f>
        <v>Sale</v>
      </c>
      <c r="M1090">
        <f>IF(grocery_chain_data[[#This Row],[Final Amount]]&lt;0,0,grocery_chain_data[[#This Row],[Final Amount]])</f>
        <v>27</v>
      </c>
    </row>
    <row r="1091" spans="1:13" x14ac:dyDescent="0.3">
      <c r="A1091">
        <v>6194</v>
      </c>
      <c r="B1091" t="s">
        <v>16</v>
      </c>
      <c r="C1091" s="1">
        <v>45643</v>
      </c>
      <c r="D1091" s="1" t="str">
        <f t="shared" si="17"/>
        <v>Dairy</v>
      </c>
      <c r="E1091" t="s">
        <v>23</v>
      </c>
      <c r="F1091" s="2">
        <v>4</v>
      </c>
      <c r="G1091" s="3">
        <v>6</v>
      </c>
      <c r="H1091" s="3">
        <f>grocery_chain_data[[#This Row],[Quantity]]*grocery_chain_data[[#This Row],[Unit Price]]</f>
        <v>24</v>
      </c>
      <c r="I1091" s="3">
        <v>1</v>
      </c>
      <c r="J1091" s="3">
        <f>grocery_chain_data[[#This Row],[Total Amount]]-grocery_chain_data[[#This Row],[Discount Amount]]</f>
        <v>23</v>
      </c>
      <c r="K1091">
        <v>3</v>
      </c>
      <c r="L1091" t="str">
        <f>IF(grocery_chain_data[[#This Row],[Final Amount]]&lt;0,"Return","Sale")</f>
        <v>Sale</v>
      </c>
      <c r="M1091">
        <f>IF(grocery_chain_data[[#This Row],[Final Amount]]&lt;0,0,grocery_chain_data[[#This Row],[Final Amount]])</f>
        <v>23</v>
      </c>
    </row>
    <row r="1092" spans="1:13" x14ac:dyDescent="0.3">
      <c r="A1092">
        <v>2215</v>
      </c>
      <c r="B1092" t="s">
        <v>13</v>
      </c>
      <c r="C1092" s="1">
        <v>45494</v>
      </c>
      <c r="D1092" s="1" t="str">
        <f t="shared" si="17"/>
        <v>Meat &amp; Seafood</v>
      </c>
      <c r="E1092" t="s">
        <v>26</v>
      </c>
      <c r="F1092" s="2">
        <v>2</v>
      </c>
      <c r="G1092" s="3">
        <v>9</v>
      </c>
      <c r="H1092" s="3">
        <f>grocery_chain_data[[#This Row],[Quantity]]*grocery_chain_data[[#This Row],[Unit Price]]</f>
        <v>18</v>
      </c>
      <c r="I1092" s="3">
        <v>5</v>
      </c>
      <c r="J1092" s="3">
        <f>grocery_chain_data[[#This Row],[Total Amount]]-grocery_chain_data[[#This Row],[Discount Amount]]</f>
        <v>13</v>
      </c>
      <c r="K1092">
        <v>99</v>
      </c>
      <c r="L1092" t="str">
        <f>IF(grocery_chain_data[[#This Row],[Final Amount]]&lt;0,"Return","Sale")</f>
        <v>Sale</v>
      </c>
      <c r="M1092">
        <f>IF(grocery_chain_data[[#This Row],[Final Amount]]&lt;0,0,grocery_chain_data[[#This Row],[Final Amount]])</f>
        <v>13</v>
      </c>
    </row>
    <row r="1093" spans="1:13" x14ac:dyDescent="0.3">
      <c r="A1093">
        <v>8632</v>
      </c>
      <c r="B1093" t="s">
        <v>21</v>
      </c>
      <c r="C1093" s="1">
        <v>45673</v>
      </c>
      <c r="D1093" s="1" t="str">
        <f t="shared" si="17"/>
        <v>Produce</v>
      </c>
      <c r="E1093" t="s">
        <v>17</v>
      </c>
      <c r="F1093" s="2">
        <v>2</v>
      </c>
      <c r="G1093" s="3">
        <v>7</v>
      </c>
      <c r="H1093" s="3">
        <f>grocery_chain_data[[#This Row],[Quantity]]*grocery_chain_data[[#This Row],[Unit Price]]</f>
        <v>14</v>
      </c>
      <c r="I1093" s="3">
        <v>2</v>
      </c>
      <c r="J1093" s="3">
        <f>grocery_chain_data[[#This Row],[Total Amount]]-grocery_chain_data[[#This Row],[Discount Amount]]</f>
        <v>12</v>
      </c>
      <c r="K1093">
        <v>134</v>
      </c>
      <c r="L1093" t="str">
        <f>IF(grocery_chain_data[[#This Row],[Final Amount]]&lt;0,"Return","Sale")</f>
        <v>Sale</v>
      </c>
      <c r="M1093">
        <f>IF(grocery_chain_data[[#This Row],[Final Amount]]&lt;0,0,grocery_chain_data[[#This Row],[Final Amount]])</f>
        <v>12</v>
      </c>
    </row>
    <row r="1094" spans="1:13" x14ac:dyDescent="0.3">
      <c r="A1094">
        <v>9476</v>
      </c>
      <c r="B1094" t="s">
        <v>2</v>
      </c>
      <c r="C1094" s="1">
        <v>45412</v>
      </c>
      <c r="D1094" s="1" t="str">
        <f t="shared" si="17"/>
        <v>Produce</v>
      </c>
      <c r="E1094" t="s">
        <v>11</v>
      </c>
      <c r="F1094" s="2">
        <v>2</v>
      </c>
      <c r="G1094" s="3">
        <v>2</v>
      </c>
      <c r="H1094" s="3">
        <f>grocery_chain_data[[#This Row],[Quantity]]*grocery_chain_data[[#This Row],[Unit Price]]</f>
        <v>4</v>
      </c>
      <c r="I1094" s="3">
        <v>1</v>
      </c>
      <c r="J1094" s="3">
        <f>grocery_chain_data[[#This Row],[Total Amount]]-grocery_chain_data[[#This Row],[Discount Amount]]</f>
        <v>3</v>
      </c>
      <c r="K1094">
        <v>431</v>
      </c>
      <c r="L1094" t="str">
        <f>IF(grocery_chain_data[[#This Row],[Final Amount]]&lt;0,"Return","Sale")</f>
        <v>Sale</v>
      </c>
      <c r="M1094">
        <f>IF(grocery_chain_data[[#This Row],[Final Amount]]&lt;0,0,grocery_chain_data[[#This Row],[Final Amount]])</f>
        <v>3</v>
      </c>
    </row>
    <row r="1095" spans="1:13" x14ac:dyDescent="0.3">
      <c r="A1095">
        <v>3102</v>
      </c>
      <c r="B1095" t="s">
        <v>5</v>
      </c>
      <c r="C1095" s="1">
        <v>45826</v>
      </c>
      <c r="D1095" s="1" t="str">
        <f t="shared" si="17"/>
        <v>Meat &amp; Seafood</v>
      </c>
      <c r="E1095" t="s">
        <v>26</v>
      </c>
      <c r="F1095" s="2">
        <v>3</v>
      </c>
      <c r="G1095" s="3">
        <v>28</v>
      </c>
      <c r="H1095" s="3">
        <f>grocery_chain_data[[#This Row],[Quantity]]*grocery_chain_data[[#This Row],[Unit Price]]</f>
        <v>84</v>
      </c>
      <c r="I1095" s="3">
        <v>17</v>
      </c>
      <c r="J1095" s="3">
        <f>grocery_chain_data[[#This Row],[Total Amount]]-grocery_chain_data[[#This Row],[Discount Amount]]</f>
        <v>67</v>
      </c>
      <c r="K1095">
        <v>156</v>
      </c>
      <c r="L1095" t="str">
        <f>IF(grocery_chain_data[[#This Row],[Final Amount]]&lt;0,"Return","Sale")</f>
        <v>Sale</v>
      </c>
      <c r="M1095">
        <f>IF(grocery_chain_data[[#This Row],[Final Amount]]&lt;0,0,grocery_chain_data[[#This Row],[Final Amount]])</f>
        <v>67</v>
      </c>
    </row>
    <row r="1096" spans="1:13" x14ac:dyDescent="0.3">
      <c r="A1096">
        <v>3981</v>
      </c>
      <c r="B1096" t="s">
        <v>16</v>
      </c>
      <c r="C1096" s="1">
        <v>45741</v>
      </c>
      <c r="D1096" s="1" t="str">
        <f t="shared" si="17"/>
        <v>Produce</v>
      </c>
      <c r="E1096" t="s">
        <v>11</v>
      </c>
      <c r="F1096" s="2">
        <v>5</v>
      </c>
      <c r="G1096" s="3">
        <v>29</v>
      </c>
      <c r="H1096" s="3">
        <f>grocery_chain_data[[#This Row],[Quantity]]*grocery_chain_data[[#This Row],[Unit Price]]</f>
        <v>145</v>
      </c>
      <c r="I1096" s="3">
        <v>0</v>
      </c>
      <c r="J1096" s="3">
        <f>grocery_chain_data[[#This Row],[Total Amount]]-grocery_chain_data[[#This Row],[Discount Amount]]</f>
        <v>145</v>
      </c>
      <c r="K1096">
        <v>319</v>
      </c>
      <c r="L1096" t="str">
        <f>IF(grocery_chain_data[[#This Row],[Final Amount]]&lt;0,"Return","Sale")</f>
        <v>Sale</v>
      </c>
      <c r="M1096">
        <f>IF(grocery_chain_data[[#This Row],[Final Amount]]&lt;0,0,grocery_chain_data[[#This Row],[Final Amount]])</f>
        <v>145</v>
      </c>
    </row>
    <row r="1097" spans="1:13" x14ac:dyDescent="0.3">
      <c r="A1097">
        <v>3114</v>
      </c>
      <c r="B1097" t="s">
        <v>0</v>
      </c>
      <c r="C1097" s="1">
        <v>45481</v>
      </c>
      <c r="D1097" s="1" t="str">
        <f t="shared" si="17"/>
        <v>Dairy</v>
      </c>
      <c r="E1097" t="s">
        <v>20</v>
      </c>
      <c r="F1097" s="2">
        <v>2</v>
      </c>
      <c r="G1097" s="3">
        <v>24</v>
      </c>
      <c r="H1097" s="3">
        <f>grocery_chain_data[[#This Row],[Quantity]]*grocery_chain_data[[#This Row],[Unit Price]]</f>
        <v>48</v>
      </c>
      <c r="I1097" s="3">
        <v>0</v>
      </c>
      <c r="J1097" s="3">
        <f>grocery_chain_data[[#This Row],[Total Amount]]-grocery_chain_data[[#This Row],[Discount Amount]]</f>
        <v>48</v>
      </c>
      <c r="K1097">
        <v>98</v>
      </c>
      <c r="L1097" t="str">
        <f>IF(grocery_chain_data[[#This Row],[Final Amount]]&lt;0,"Return","Sale")</f>
        <v>Sale</v>
      </c>
      <c r="M1097">
        <f>IF(grocery_chain_data[[#This Row],[Final Amount]]&lt;0,0,grocery_chain_data[[#This Row],[Final Amount]])</f>
        <v>48</v>
      </c>
    </row>
    <row r="1098" spans="1:13" x14ac:dyDescent="0.3">
      <c r="A1098">
        <v>9238</v>
      </c>
      <c r="B1098" t="s">
        <v>16</v>
      </c>
      <c r="C1098" s="1">
        <v>45852</v>
      </c>
      <c r="D1098" s="1" t="str">
        <f t="shared" si="17"/>
        <v>Dairy</v>
      </c>
      <c r="E1098" t="s">
        <v>3</v>
      </c>
      <c r="F1098" s="2">
        <v>2</v>
      </c>
      <c r="G1098" s="3">
        <v>28</v>
      </c>
      <c r="H1098" s="3">
        <f>grocery_chain_data[[#This Row],[Quantity]]*grocery_chain_data[[#This Row],[Unit Price]]</f>
        <v>56</v>
      </c>
      <c r="I1098" s="3">
        <v>2</v>
      </c>
      <c r="J1098" s="3">
        <f>grocery_chain_data[[#This Row],[Total Amount]]-grocery_chain_data[[#This Row],[Discount Amount]]</f>
        <v>54</v>
      </c>
      <c r="K1098">
        <v>390</v>
      </c>
      <c r="L1098" t="str">
        <f>IF(grocery_chain_data[[#This Row],[Final Amount]]&lt;0,"Return","Sale")</f>
        <v>Sale</v>
      </c>
      <c r="M1098">
        <f>IF(grocery_chain_data[[#This Row],[Final Amount]]&lt;0,0,grocery_chain_data[[#This Row],[Final Amount]])</f>
        <v>54</v>
      </c>
    </row>
    <row r="1099" spans="1:13" x14ac:dyDescent="0.3">
      <c r="A1099">
        <v>1907</v>
      </c>
      <c r="B1099" t="s">
        <v>5</v>
      </c>
      <c r="C1099" s="1">
        <v>45790</v>
      </c>
      <c r="D1099" s="1" t="str">
        <f t="shared" si="17"/>
        <v>Meat &amp; Seafood</v>
      </c>
      <c r="E1099" t="s">
        <v>9</v>
      </c>
      <c r="F1099" s="2">
        <v>1</v>
      </c>
      <c r="G1099" s="3">
        <v>19</v>
      </c>
      <c r="H1099" s="3">
        <f>grocery_chain_data[[#This Row],[Quantity]]*grocery_chain_data[[#This Row],[Unit Price]]</f>
        <v>19</v>
      </c>
      <c r="I1099" s="3">
        <v>5</v>
      </c>
      <c r="J1099" s="3">
        <f>grocery_chain_data[[#This Row],[Total Amount]]-grocery_chain_data[[#This Row],[Discount Amount]]</f>
        <v>14</v>
      </c>
      <c r="K1099">
        <v>143</v>
      </c>
      <c r="L1099" t="str">
        <f>IF(grocery_chain_data[[#This Row],[Final Amount]]&lt;0,"Return","Sale")</f>
        <v>Sale</v>
      </c>
      <c r="M1099">
        <f>IF(grocery_chain_data[[#This Row],[Final Amount]]&lt;0,0,grocery_chain_data[[#This Row],[Final Amount]])</f>
        <v>14</v>
      </c>
    </row>
    <row r="1100" spans="1:13" x14ac:dyDescent="0.3">
      <c r="A1100">
        <v>3034</v>
      </c>
      <c r="B1100" t="s">
        <v>10</v>
      </c>
      <c r="C1100" s="1">
        <v>45547</v>
      </c>
      <c r="D1100" s="1" t="str">
        <f t="shared" si="17"/>
        <v>Bakery</v>
      </c>
      <c r="E1100" t="s">
        <v>22</v>
      </c>
      <c r="F1100" s="2">
        <v>4</v>
      </c>
      <c r="G1100" s="3">
        <v>24</v>
      </c>
      <c r="H1100" s="3">
        <f>grocery_chain_data[[#This Row],[Quantity]]*grocery_chain_data[[#This Row],[Unit Price]]</f>
        <v>96</v>
      </c>
      <c r="I1100" s="3">
        <v>19</v>
      </c>
      <c r="J1100" s="3">
        <f>grocery_chain_data[[#This Row],[Total Amount]]-grocery_chain_data[[#This Row],[Discount Amount]]</f>
        <v>77</v>
      </c>
      <c r="K1100">
        <v>314</v>
      </c>
      <c r="L1100" t="str">
        <f>IF(grocery_chain_data[[#This Row],[Final Amount]]&lt;0,"Return","Sale")</f>
        <v>Sale</v>
      </c>
      <c r="M1100">
        <f>IF(grocery_chain_data[[#This Row],[Final Amount]]&lt;0,0,grocery_chain_data[[#This Row],[Final Amount]])</f>
        <v>77</v>
      </c>
    </row>
    <row r="1101" spans="1:13" x14ac:dyDescent="0.3">
      <c r="A1101">
        <v>3507</v>
      </c>
      <c r="B1101" t="s">
        <v>2</v>
      </c>
      <c r="C1101" s="1">
        <v>45381</v>
      </c>
      <c r="D1101" s="1" t="str">
        <f t="shared" si="17"/>
        <v>Produce</v>
      </c>
      <c r="E1101" t="s">
        <v>24</v>
      </c>
      <c r="F1101" s="2">
        <v>3</v>
      </c>
      <c r="G1101" s="3">
        <v>15</v>
      </c>
      <c r="H1101" s="3">
        <f>grocery_chain_data[[#This Row],[Quantity]]*grocery_chain_data[[#This Row],[Unit Price]]</f>
        <v>45</v>
      </c>
      <c r="I1101" s="3">
        <v>7</v>
      </c>
      <c r="J1101" s="3">
        <f>grocery_chain_data[[#This Row],[Total Amount]]-grocery_chain_data[[#This Row],[Discount Amount]]</f>
        <v>38</v>
      </c>
      <c r="K1101">
        <v>237</v>
      </c>
      <c r="L1101" t="str">
        <f>IF(grocery_chain_data[[#This Row],[Final Amount]]&lt;0,"Return","Sale")</f>
        <v>Sale</v>
      </c>
      <c r="M1101">
        <f>IF(grocery_chain_data[[#This Row],[Final Amount]]&lt;0,0,grocery_chain_data[[#This Row],[Final Amount]])</f>
        <v>38</v>
      </c>
    </row>
    <row r="1102" spans="1:13" x14ac:dyDescent="0.3">
      <c r="A1102">
        <v>3697</v>
      </c>
      <c r="B1102" t="s">
        <v>16</v>
      </c>
      <c r="C1102" s="1">
        <v>45270</v>
      </c>
      <c r="D1102" s="1" t="str">
        <f t="shared" si="17"/>
        <v>Produce</v>
      </c>
      <c r="E1102" t="s">
        <v>25</v>
      </c>
      <c r="F1102" s="2">
        <v>4</v>
      </c>
      <c r="G1102" s="3">
        <v>15</v>
      </c>
      <c r="H1102" s="3">
        <f>grocery_chain_data[[#This Row],[Quantity]]*grocery_chain_data[[#This Row],[Unit Price]]</f>
        <v>60</v>
      </c>
      <c r="I1102" s="3">
        <v>0</v>
      </c>
      <c r="J1102" s="3">
        <f>grocery_chain_data[[#This Row],[Total Amount]]-grocery_chain_data[[#This Row],[Discount Amount]]</f>
        <v>60</v>
      </c>
      <c r="K1102">
        <v>297</v>
      </c>
      <c r="L1102" t="str">
        <f>IF(grocery_chain_data[[#This Row],[Final Amount]]&lt;0,"Return","Sale")</f>
        <v>Sale</v>
      </c>
      <c r="M1102">
        <f>IF(grocery_chain_data[[#This Row],[Final Amount]]&lt;0,0,grocery_chain_data[[#This Row],[Final Amount]])</f>
        <v>60</v>
      </c>
    </row>
    <row r="1103" spans="1:13" x14ac:dyDescent="0.3">
      <c r="A1103">
        <v>6286</v>
      </c>
      <c r="B1103" t="s">
        <v>13</v>
      </c>
      <c r="C1103" s="1">
        <v>45871</v>
      </c>
      <c r="D1103" s="1" t="str">
        <f t="shared" si="17"/>
        <v>Meat &amp; Seafood</v>
      </c>
      <c r="E1103" t="s">
        <v>9</v>
      </c>
      <c r="F1103" s="2">
        <v>2</v>
      </c>
      <c r="G1103" s="3">
        <v>14</v>
      </c>
      <c r="H1103" s="3">
        <f>grocery_chain_data[[#This Row],[Quantity]]*grocery_chain_data[[#This Row],[Unit Price]]</f>
        <v>28</v>
      </c>
      <c r="I1103" s="3">
        <v>6</v>
      </c>
      <c r="J1103" s="3">
        <f>grocery_chain_data[[#This Row],[Total Amount]]-grocery_chain_data[[#This Row],[Discount Amount]]</f>
        <v>22</v>
      </c>
      <c r="K1103">
        <v>120</v>
      </c>
      <c r="L1103" t="str">
        <f>IF(grocery_chain_data[[#This Row],[Final Amount]]&lt;0,"Return","Sale")</f>
        <v>Sale</v>
      </c>
      <c r="M1103">
        <f>IF(grocery_chain_data[[#This Row],[Final Amount]]&lt;0,0,grocery_chain_data[[#This Row],[Final Amount]])</f>
        <v>22</v>
      </c>
    </row>
    <row r="1104" spans="1:13" x14ac:dyDescent="0.3">
      <c r="A1104">
        <v>4694</v>
      </c>
      <c r="B1104" t="s">
        <v>12</v>
      </c>
      <c r="C1104" s="1">
        <v>45413</v>
      </c>
      <c r="D1104" s="1" t="str">
        <f t="shared" si="17"/>
        <v>Produce</v>
      </c>
      <c r="E1104" t="s">
        <v>14</v>
      </c>
      <c r="F1104" s="2">
        <v>5</v>
      </c>
      <c r="G1104" s="3">
        <v>6</v>
      </c>
      <c r="H1104" s="3">
        <f>grocery_chain_data[[#This Row],[Quantity]]*grocery_chain_data[[#This Row],[Unit Price]]</f>
        <v>30</v>
      </c>
      <c r="I1104" s="3">
        <v>4</v>
      </c>
      <c r="J1104" s="3">
        <f>grocery_chain_data[[#This Row],[Total Amount]]-grocery_chain_data[[#This Row],[Discount Amount]]</f>
        <v>26</v>
      </c>
      <c r="K1104">
        <v>431</v>
      </c>
      <c r="L1104" t="str">
        <f>IF(grocery_chain_data[[#This Row],[Final Amount]]&lt;0,"Return","Sale")</f>
        <v>Sale</v>
      </c>
      <c r="M1104">
        <f>IF(grocery_chain_data[[#This Row],[Final Amount]]&lt;0,0,grocery_chain_data[[#This Row],[Final Amount]])</f>
        <v>26</v>
      </c>
    </row>
    <row r="1105" spans="1:13" x14ac:dyDescent="0.3">
      <c r="A1105">
        <v>9501</v>
      </c>
      <c r="B1105" t="s">
        <v>2</v>
      </c>
      <c r="C1105" s="1">
        <v>45840</v>
      </c>
      <c r="D1105" s="1" t="str">
        <f t="shared" si="17"/>
        <v>Dairy</v>
      </c>
      <c r="E1105" t="s">
        <v>20</v>
      </c>
      <c r="F1105" s="2">
        <v>1</v>
      </c>
      <c r="G1105" s="3">
        <v>10</v>
      </c>
      <c r="H1105" s="3">
        <f>grocery_chain_data[[#This Row],[Quantity]]*grocery_chain_data[[#This Row],[Unit Price]]</f>
        <v>10</v>
      </c>
      <c r="I1105" s="3">
        <v>2</v>
      </c>
      <c r="J1105" s="3">
        <f>grocery_chain_data[[#This Row],[Total Amount]]-grocery_chain_data[[#This Row],[Discount Amount]]</f>
        <v>8</v>
      </c>
      <c r="K1105">
        <v>265</v>
      </c>
      <c r="L1105" t="str">
        <f>IF(grocery_chain_data[[#This Row],[Final Amount]]&lt;0,"Return","Sale")</f>
        <v>Sale</v>
      </c>
      <c r="M1105">
        <f>IF(grocery_chain_data[[#This Row],[Final Amount]]&lt;0,0,grocery_chain_data[[#This Row],[Final Amount]])</f>
        <v>8</v>
      </c>
    </row>
    <row r="1106" spans="1:13" x14ac:dyDescent="0.3">
      <c r="A1106">
        <v>5653</v>
      </c>
      <c r="B1106" t="s">
        <v>13</v>
      </c>
      <c r="C1106" s="1">
        <v>45802</v>
      </c>
      <c r="D1106" s="1" t="str">
        <f t="shared" si="17"/>
        <v>Produce</v>
      </c>
      <c r="E1106" t="s">
        <v>24</v>
      </c>
      <c r="F1106" s="2">
        <v>5</v>
      </c>
      <c r="G1106" s="3">
        <v>11</v>
      </c>
      <c r="H1106" s="3">
        <f>grocery_chain_data[[#This Row],[Quantity]]*grocery_chain_data[[#This Row],[Unit Price]]</f>
        <v>55</v>
      </c>
      <c r="I1106" s="3">
        <v>5</v>
      </c>
      <c r="J1106" s="3">
        <f>grocery_chain_data[[#This Row],[Total Amount]]-grocery_chain_data[[#This Row],[Discount Amount]]</f>
        <v>50</v>
      </c>
      <c r="K1106">
        <v>230</v>
      </c>
      <c r="L1106" t="str">
        <f>IF(grocery_chain_data[[#This Row],[Final Amount]]&lt;0,"Return","Sale")</f>
        <v>Sale</v>
      </c>
      <c r="M1106">
        <f>IF(grocery_chain_data[[#This Row],[Final Amount]]&lt;0,0,grocery_chain_data[[#This Row],[Final Amount]])</f>
        <v>50</v>
      </c>
    </row>
    <row r="1107" spans="1:13" x14ac:dyDescent="0.3">
      <c r="A1107">
        <v>2292</v>
      </c>
      <c r="B1107" t="s">
        <v>8</v>
      </c>
      <c r="C1107" s="1">
        <v>45339</v>
      </c>
      <c r="D1107" s="1" t="str">
        <f t="shared" si="17"/>
        <v>Produce</v>
      </c>
      <c r="E1107" t="s">
        <v>25</v>
      </c>
      <c r="F1107" s="2">
        <v>3</v>
      </c>
      <c r="G1107" s="3">
        <v>9</v>
      </c>
      <c r="H1107" s="3">
        <f>grocery_chain_data[[#This Row],[Quantity]]*grocery_chain_data[[#This Row],[Unit Price]]</f>
        <v>27</v>
      </c>
      <c r="I1107" s="3">
        <v>3</v>
      </c>
      <c r="J1107" s="3">
        <f>grocery_chain_data[[#This Row],[Total Amount]]-grocery_chain_data[[#This Row],[Discount Amount]]</f>
        <v>24</v>
      </c>
      <c r="K1107">
        <v>12</v>
      </c>
      <c r="L1107" t="str">
        <f>IF(grocery_chain_data[[#This Row],[Final Amount]]&lt;0,"Return","Sale")</f>
        <v>Sale</v>
      </c>
      <c r="M1107">
        <f>IF(grocery_chain_data[[#This Row],[Final Amount]]&lt;0,0,grocery_chain_data[[#This Row],[Final Amount]])</f>
        <v>24</v>
      </c>
    </row>
    <row r="1108" spans="1:13" x14ac:dyDescent="0.3">
      <c r="A1108">
        <v>4216</v>
      </c>
      <c r="B1108" t="s">
        <v>21</v>
      </c>
      <c r="C1108" s="1">
        <v>45638</v>
      </c>
      <c r="D1108" s="1" t="str">
        <f t="shared" si="17"/>
        <v>Bakery</v>
      </c>
      <c r="E1108" t="s">
        <v>22</v>
      </c>
      <c r="F1108" s="2">
        <v>3</v>
      </c>
      <c r="G1108" s="3">
        <v>27</v>
      </c>
      <c r="H1108" s="3">
        <f>grocery_chain_data[[#This Row],[Quantity]]*grocery_chain_data[[#This Row],[Unit Price]]</f>
        <v>81</v>
      </c>
      <c r="I1108" s="3">
        <v>12</v>
      </c>
      <c r="J1108" s="3">
        <f>grocery_chain_data[[#This Row],[Total Amount]]-grocery_chain_data[[#This Row],[Discount Amount]]</f>
        <v>69</v>
      </c>
      <c r="K1108">
        <v>150</v>
      </c>
      <c r="L1108" t="str">
        <f>IF(grocery_chain_data[[#This Row],[Final Amount]]&lt;0,"Return","Sale")</f>
        <v>Sale</v>
      </c>
      <c r="M1108">
        <f>IF(grocery_chain_data[[#This Row],[Final Amount]]&lt;0,0,grocery_chain_data[[#This Row],[Final Amount]])</f>
        <v>69</v>
      </c>
    </row>
    <row r="1109" spans="1:13" x14ac:dyDescent="0.3">
      <c r="A1109">
        <v>5496</v>
      </c>
      <c r="B1109" t="s">
        <v>21</v>
      </c>
      <c r="C1109" s="1">
        <v>45242</v>
      </c>
      <c r="D1109" s="1" t="str">
        <f t="shared" si="17"/>
        <v>Meat &amp; Seafood</v>
      </c>
      <c r="E1109" t="s">
        <v>26</v>
      </c>
      <c r="F1109" s="2">
        <v>1</v>
      </c>
      <c r="G1109" s="3">
        <v>11</v>
      </c>
      <c r="H1109" s="3">
        <f>grocery_chain_data[[#This Row],[Quantity]]*grocery_chain_data[[#This Row],[Unit Price]]</f>
        <v>11</v>
      </c>
      <c r="I1109" s="3">
        <v>2</v>
      </c>
      <c r="J1109" s="3">
        <f>grocery_chain_data[[#This Row],[Total Amount]]-grocery_chain_data[[#This Row],[Discount Amount]]</f>
        <v>9</v>
      </c>
      <c r="K1109">
        <v>279</v>
      </c>
      <c r="L1109" t="str">
        <f>IF(grocery_chain_data[[#This Row],[Final Amount]]&lt;0,"Return","Sale")</f>
        <v>Sale</v>
      </c>
      <c r="M1109">
        <f>IF(grocery_chain_data[[#This Row],[Final Amount]]&lt;0,0,grocery_chain_data[[#This Row],[Final Amount]])</f>
        <v>9</v>
      </c>
    </row>
    <row r="1110" spans="1:13" x14ac:dyDescent="0.3">
      <c r="A1110">
        <v>5961</v>
      </c>
      <c r="B1110" t="s">
        <v>21</v>
      </c>
      <c r="C1110" s="1">
        <v>45622</v>
      </c>
      <c r="D1110" s="1" t="str">
        <f t="shared" si="17"/>
        <v>Pantry</v>
      </c>
      <c r="E1110" t="s">
        <v>6</v>
      </c>
      <c r="F1110" s="2">
        <v>3</v>
      </c>
      <c r="G1110" s="3">
        <v>10</v>
      </c>
      <c r="H1110" s="3">
        <f>grocery_chain_data[[#This Row],[Quantity]]*grocery_chain_data[[#This Row],[Unit Price]]</f>
        <v>30</v>
      </c>
      <c r="I1110" s="3">
        <v>6</v>
      </c>
      <c r="J1110" s="3">
        <f>grocery_chain_data[[#This Row],[Total Amount]]-grocery_chain_data[[#This Row],[Discount Amount]]</f>
        <v>24</v>
      </c>
      <c r="K1110">
        <v>417</v>
      </c>
      <c r="L1110" t="str">
        <f>IF(grocery_chain_data[[#This Row],[Final Amount]]&lt;0,"Return","Sale")</f>
        <v>Sale</v>
      </c>
      <c r="M1110">
        <f>IF(grocery_chain_data[[#This Row],[Final Amount]]&lt;0,0,grocery_chain_data[[#This Row],[Final Amount]])</f>
        <v>24</v>
      </c>
    </row>
    <row r="1111" spans="1:13" x14ac:dyDescent="0.3">
      <c r="A1111">
        <v>9740</v>
      </c>
      <c r="B1111" t="s">
        <v>5</v>
      </c>
      <c r="C1111" s="1">
        <v>45217</v>
      </c>
      <c r="D1111" s="1" t="str">
        <f t="shared" si="17"/>
        <v>Pantry</v>
      </c>
      <c r="E1111" t="s">
        <v>1</v>
      </c>
      <c r="F1111" s="2">
        <v>1</v>
      </c>
      <c r="G1111" s="3">
        <v>23</v>
      </c>
      <c r="H1111" s="3">
        <f>grocery_chain_data[[#This Row],[Quantity]]*grocery_chain_data[[#This Row],[Unit Price]]</f>
        <v>23</v>
      </c>
      <c r="I1111" s="3">
        <v>2</v>
      </c>
      <c r="J1111" s="3">
        <f>grocery_chain_data[[#This Row],[Total Amount]]-grocery_chain_data[[#This Row],[Discount Amount]]</f>
        <v>21</v>
      </c>
      <c r="K1111">
        <v>144</v>
      </c>
      <c r="L1111" t="str">
        <f>IF(grocery_chain_data[[#This Row],[Final Amount]]&lt;0,"Return","Sale")</f>
        <v>Sale</v>
      </c>
      <c r="M1111">
        <f>IF(grocery_chain_data[[#This Row],[Final Amount]]&lt;0,0,grocery_chain_data[[#This Row],[Final Amount]])</f>
        <v>21</v>
      </c>
    </row>
    <row r="1112" spans="1:13" x14ac:dyDescent="0.3">
      <c r="A1112">
        <v>9234</v>
      </c>
      <c r="B1112" t="s">
        <v>8</v>
      </c>
      <c r="C1112" s="1">
        <v>45642</v>
      </c>
      <c r="D1112" s="1" t="str">
        <f t="shared" si="17"/>
        <v>Produce</v>
      </c>
      <c r="E1112" t="s">
        <v>18</v>
      </c>
      <c r="F1112" s="2">
        <v>4</v>
      </c>
      <c r="G1112" s="3">
        <v>20</v>
      </c>
      <c r="H1112" s="3">
        <f>grocery_chain_data[[#This Row],[Quantity]]*grocery_chain_data[[#This Row],[Unit Price]]</f>
        <v>80</v>
      </c>
      <c r="I1112" s="3">
        <v>8</v>
      </c>
      <c r="J1112" s="3">
        <f>grocery_chain_data[[#This Row],[Total Amount]]-grocery_chain_data[[#This Row],[Discount Amount]]</f>
        <v>72</v>
      </c>
      <c r="K1112">
        <v>389</v>
      </c>
      <c r="L1112" t="str">
        <f>IF(grocery_chain_data[[#This Row],[Final Amount]]&lt;0,"Return","Sale")</f>
        <v>Sale</v>
      </c>
      <c r="M1112">
        <f>IF(grocery_chain_data[[#This Row],[Final Amount]]&lt;0,0,grocery_chain_data[[#This Row],[Final Amount]])</f>
        <v>72</v>
      </c>
    </row>
    <row r="1113" spans="1:13" x14ac:dyDescent="0.3">
      <c r="A1113">
        <v>3762</v>
      </c>
      <c r="B1113" t="s">
        <v>27</v>
      </c>
      <c r="C1113" s="1">
        <v>45604</v>
      </c>
      <c r="D1113" s="1" t="str">
        <f t="shared" si="17"/>
        <v>Dairy</v>
      </c>
      <c r="E1113" t="s">
        <v>23</v>
      </c>
      <c r="F1113" s="2">
        <v>4</v>
      </c>
      <c r="G1113" s="3">
        <v>8</v>
      </c>
      <c r="H1113" s="3">
        <f>grocery_chain_data[[#This Row],[Quantity]]*grocery_chain_data[[#This Row],[Unit Price]]</f>
        <v>32</v>
      </c>
      <c r="I1113" s="3">
        <v>0</v>
      </c>
      <c r="J1113" s="3">
        <f>grocery_chain_data[[#This Row],[Total Amount]]-grocery_chain_data[[#This Row],[Discount Amount]]</f>
        <v>32</v>
      </c>
      <c r="K1113">
        <v>300</v>
      </c>
      <c r="L1113" t="str">
        <f>IF(grocery_chain_data[[#This Row],[Final Amount]]&lt;0,"Return","Sale")</f>
        <v>Sale</v>
      </c>
      <c r="M1113">
        <f>IF(grocery_chain_data[[#This Row],[Final Amount]]&lt;0,0,grocery_chain_data[[#This Row],[Final Amount]])</f>
        <v>32</v>
      </c>
    </row>
    <row r="1114" spans="1:13" x14ac:dyDescent="0.3">
      <c r="A1114">
        <v>3526</v>
      </c>
      <c r="B1114" t="s">
        <v>10</v>
      </c>
      <c r="C1114" s="1">
        <v>45277</v>
      </c>
      <c r="D1114" s="1" t="str">
        <f t="shared" si="17"/>
        <v>Bakery</v>
      </c>
      <c r="E1114" t="s">
        <v>22</v>
      </c>
      <c r="F1114" s="2">
        <v>3</v>
      </c>
      <c r="G1114" s="3">
        <v>26</v>
      </c>
      <c r="H1114" s="3">
        <f>grocery_chain_data[[#This Row],[Quantity]]*grocery_chain_data[[#This Row],[Unit Price]]</f>
        <v>78</v>
      </c>
      <c r="I1114" s="3">
        <v>15</v>
      </c>
      <c r="J1114" s="3">
        <f>grocery_chain_data[[#This Row],[Total Amount]]-grocery_chain_data[[#This Row],[Discount Amount]]</f>
        <v>63</v>
      </c>
      <c r="K1114">
        <v>219</v>
      </c>
      <c r="L1114" t="str">
        <f>IF(grocery_chain_data[[#This Row],[Final Amount]]&lt;0,"Return","Sale")</f>
        <v>Sale</v>
      </c>
      <c r="M1114">
        <f>IF(grocery_chain_data[[#This Row],[Final Amount]]&lt;0,0,grocery_chain_data[[#This Row],[Final Amount]])</f>
        <v>63</v>
      </c>
    </row>
    <row r="1115" spans="1:13" x14ac:dyDescent="0.3">
      <c r="A1115">
        <v>6531</v>
      </c>
      <c r="B1115" t="s">
        <v>10</v>
      </c>
      <c r="C1115" s="1">
        <v>45799</v>
      </c>
      <c r="D1115" s="1" t="str">
        <f t="shared" si="17"/>
        <v>Produce</v>
      </c>
      <c r="E1115" t="s">
        <v>4</v>
      </c>
      <c r="F1115" s="2">
        <v>1</v>
      </c>
      <c r="G1115" s="3">
        <v>12</v>
      </c>
      <c r="H1115" s="3">
        <f>grocery_chain_data[[#This Row],[Quantity]]*grocery_chain_data[[#This Row],[Unit Price]]</f>
        <v>12</v>
      </c>
      <c r="I1115" s="3">
        <v>2</v>
      </c>
      <c r="J1115" s="3">
        <f>grocery_chain_data[[#This Row],[Total Amount]]-grocery_chain_data[[#This Row],[Discount Amount]]</f>
        <v>10</v>
      </c>
      <c r="K1115">
        <v>295</v>
      </c>
      <c r="L1115" t="str">
        <f>IF(grocery_chain_data[[#This Row],[Final Amount]]&lt;0,"Return","Sale")</f>
        <v>Sale</v>
      </c>
      <c r="M1115">
        <f>IF(grocery_chain_data[[#This Row],[Final Amount]]&lt;0,0,grocery_chain_data[[#This Row],[Final Amount]])</f>
        <v>10</v>
      </c>
    </row>
    <row r="1116" spans="1:13" x14ac:dyDescent="0.3">
      <c r="A1116">
        <v>1674</v>
      </c>
      <c r="B1116" t="s">
        <v>13</v>
      </c>
      <c r="C1116" s="1">
        <v>45785</v>
      </c>
      <c r="D1116" s="1" t="str">
        <f t="shared" si="17"/>
        <v>Beverages</v>
      </c>
      <c r="E1116" t="s">
        <v>7</v>
      </c>
      <c r="F1116" s="2">
        <v>3</v>
      </c>
      <c r="G1116" s="3">
        <v>8</v>
      </c>
      <c r="H1116" s="3">
        <f>grocery_chain_data[[#This Row],[Quantity]]*grocery_chain_data[[#This Row],[Unit Price]]</f>
        <v>24</v>
      </c>
      <c r="I1116" s="3">
        <v>0</v>
      </c>
      <c r="J1116" s="3">
        <f>grocery_chain_data[[#This Row],[Total Amount]]-grocery_chain_data[[#This Row],[Discount Amount]]</f>
        <v>24</v>
      </c>
      <c r="K1116">
        <v>217</v>
      </c>
      <c r="L1116" t="str">
        <f>IF(grocery_chain_data[[#This Row],[Final Amount]]&lt;0,"Return","Sale")</f>
        <v>Sale</v>
      </c>
      <c r="M1116">
        <f>IF(grocery_chain_data[[#This Row],[Final Amount]]&lt;0,0,grocery_chain_data[[#This Row],[Final Amount]])</f>
        <v>24</v>
      </c>
    </row>
    <row r="1117" spans="1:13" x14ac:dyDescent="0.3">
      <c r="A1117">
        <v>1464</v>
      </c>
      <c r="B1117" t="s">
        <v>2</v>
      </c>
      <c r="C1117" s="1">
        <v>45208</v>
      </c>
      <c r="D1117" s="1" t="str">
        <f t="shared" si="17"/>
        <v>Pantry</v>
      </c>
      <c r="E1117" t="s">
        <v>6</v>
      </c>
      <c r="F1117" s="2">
        <v>5</v>
      </c>
      <c r="G1117" s="3">
        <v>2</v>
      </c>
      <c r="H1117" s="3">
        <f>grocery_chain_data[[#This Row],[Quantity]]*grocery_chain_data[[#This Row],[Unit Price]]</f>
        <v>10</v>
      </c>
      <c r="I1117" s="3">
        <v>2</v>
      </c>
      <c r="J1117" s="3">
        <f>grocery_chain_data[[#This Row],[Total Amount]]-grocery_chain_data[[#This Row],[Discount Amount]]</f>
        <v>8</v>
      </c>
      <c r="K1117">
        <v>402</v>
      </c>
      <c r="L1117" t="str">
        <f>IF(grocery_chain_data[[#This Row],[Final Amount]]&lt;0,"Return","Sale")</f>
        <v>Sale</v>
      </c>
      <c r="M1117">
        <f>IF(grocery_chain_data[[#This Row],[Final Amount]]&lt;0,0,grocery_chain_data[[#This Row],[Final Amount]])</f>
        <v>8</v>
      </c>
    </row>
    <row r="1118" spans="1:13" x14ac:dyDescent="0.3">
      <c r="A1118">
        <v>1744</v>
      </c>
      <c r="B1118" t="s">
        <v>5</v>
      </c>
      <c r="C1118" s="1">
        <v>45643</v>
      </c>
      <c r="D1118" s="1" t="str">
        <f t="shared" si="17"/>
        <v>Produce</v>
      </c>
      <c r="E1118" t="s">
        <v>14</v>
      </c>
      <c r="F1118" s="2">
        <v>4</v>
      </c>
      <c r="G1118" s="3">
        <v>7</v>
      </c>
      <c r="H1118" s="3">
        <f>grocery_chain_data[[#This Row],[Quantity]]*grocery_chain_data[[#This Row],[Unit Price]]</f>
        <v>28</v>
      </c>
      <c r="I1118" s="3">
        <v>3</v>
      </c>
      <c r="J1118" s="3">
        <f>grocery_chain_data[[#This Row],[Total Amount]]-grocery_chain_data[[#This Row],[Discount Amount]]</f>
        <v>25</v>
      </c>
      <c r="K1118">
        <v>200</v>
      </c>
      <c r="L1118" t="str">
        <f>IF(grocery_chain_data[[#This Row],[Final Amount]]&lt;0,"Return","Sale")</f>
        <v>Sale</v>
      </c>
      <c r="M1118">
        <f>IF(grocery_chain_data[[#This Row],[Final Amount]]&lt;0,0,grocery_chain_data[[#This Row],[Final Amount]])</f>
        <v>25</v>
      </c>
    </row>
    <row r="1119" spans="1:13" x14ac:dyDescent="0.3">
      <c r="A1119">
        <v>5336</v>
      </c>
      <c r="B1119" t="s">
        <v>10</v>
      </c>
      <c r="C1119" s="1">
        <v>45650</v>
      </c>
      <c r="D1119" s="1" t="str">
        <f t="shared" si="17"/>
        <v>Pantry</v>
      </c>
      <c r="E1119" t="s">
        <v>6</v>
      </c>
      <c r="F1119" s="2">
        <v>5</v>
      </c>
      <c r="G1119" s="3">
        <v>29</v>
      </c>
      <c r="H1119" s="3">
        <f>grocery_chain_data[[#This Row],[Quantity]]*grocery_chain_data[[#This Row],[Unit Price]]</f>
        <v>145</v>
      </c>
      <c r="I1119" s="3">
        <v>2</v>
      </c>
      <c r="J1119" s="3">
        <f>grocery_chain_data[[#This Row],[Total Amount]]-grocery_chain_data[[#This Row],[Discount Amount]]</f>
        <v>143</v>
      </c>
      <c r="K1119">
        <v>327</v>
      </c>
      <c r="L1119" t="str">
        <f>IF(grocery_chain_data[[#This Row],[Final Amount]]&lt;0,"Return","Sale")</f>
        <v>Sale</v>
      </c>
      <c r="M1119">
        <f>IF(grocery_chain_data[[#This Row],[Final Amount]]&lt;0,0,grocery_chain_data[[#This Row],[Final Amount]])</f>
        <v>143</v>
      </c>
    </row>
    <row r="1120" spans="1:13" x14ac:dyDescent="0.3">
      <c r="A1120">
        <v>4453</v>
      </c>
      <c r="B1120" t="s">
        <v>2</v>
      </c>
      <c r="C1120" s="1">
        <v>45740</v>
      </c>
      <c r="D1120" s="1" t="str">
        <f t="shared" si="17"/>
        <v>Dairy</v>
      </c>
      <c r="E1120" t="s">
        <v>19</v>
      </c>
      <c r="F1120" s="2">
        <v>5</v>
      </c>
      <c r="G1120" s="3">
        <v>15</v>
      </c>
      <c r="H1120" s="3">
        <f>grocery_chain_data[[#This Row],[Quantity]]*grocery_chain_data[[#This Row],[Unit Price]]</f>
        <v>75</v>
      </c>
      <c r="I1120" s="3">
        <v>5</v>
      </c>
      <c r="J1120" s="3">
        <f>grocery_chain_data[[#This Row],[Total Amount]]-grocery_chain_data[[#This Row],[Discount Amount]]</f>
        <v>70</v>
      </c>
      <c r="K1120">
        <v>95</v>
      </c>
      <c r="L1120" t="str">
        <f>IF(grocery_chain_data[[#This Row],[Final Amount]]&lt;0,"Return","Sale")</f>
        <v>Sale</v>
      </c>
      <c r="M1120">
        <f>IF(grocery_chain_data[[#This Row],[Final Amount]]&lt;0,0,grocery_chain_data[[#This Row],[Final Amount]])</f>
        <v>70</v>
      </c>
    </row>
    <row r="1121" spans="1:13" x14ac:dyDescent="0.3">
      <c r="A1121">
        <v>7825</v>
      </c>
      <c r="B1121" t="s">
        <v>8</v>
      </c>
      <c r="C1121" s="1">
        <v>45625</v>
      </c>
      <c r="D1121" s="1" t="str">
        <f t="shared" si="17"/>
        <v>Dairy</v>
      </c>
      <c r="E1121" t="s">
        <v>23</v>
      </c>
      <c r="F1121" s="2">
        <v>2</v>
      </c>
      <c r="G1121" s="3">
        <v>9</v>
      </c>
      <c r="H1121" s="3">
        <f>grocery_chain_data[[#This Row],[Quantity]]*grocery_chain_data[[#This Row],[Unit Price]]</f>
        <v>18</v>
      </c>
      <c r="I1121" s="3">
        <v>2</v>
      </c>
      <c r="J1121" s="3">
        <f>grocery_chain_data[[#This Row],[Total Amount]]-grocery_chain_data[[#This Row],[Discount Amount]]</f>
        <v>16</v>
      </c>
      <c r="K1121">
        <v>268</v>
      </c>
      <c r="L1121" t="str">
        <f>IF(grocery_chain_data[[#This Row],[Final Amount]]&lt;0,"Return","Sale")</f>
        <v>Sale</v>
      </c>
      <c r="M1121">
        <f>IF(grocery_chain_data[[#This Row],[Final Amount]]&lt;0,0,grocery_chain_data[[#This Row],[Final Amount]])</f>
        <v>16</v>
      </c>
    </row>
    <row r="1122" spans="1:13" x14ac:dyDescent="0.3">
      <c r="A1122">
        <v>1496</v>
      </c>
      <c r="B1122" t="s">
        <v>13</v>
      </c>
      <c r="C1122" s="1">
        <v>45531</v>
      </c>
      <c r="D1122" s="1" t="str">
        <f t="shared" si="17"/>
        <v>Produce</v>
      </c>
      <c r="E1122" t="s">
        <v>24</v>
      </c>
      <c r="F1122" s="2">
        <v>1</v>
      </c>
      <c r="G1122" s="3">
        <v>6</v>
      </c>
      <c r="H1122" s="3">
        <f>grocery_chain_data[[#This Row],[Quantity]]*grocery_chain_data[[#This Row],[Unit Price]]</f>
        <v>6</v>
      </c>
      <c r="I1122" s="3">
        <v>1</v>
      </c>
      <c r="J1122" s="3">
        <f>grocery_chain_data[[#This Row],[Total Amount]]-grocery_chain_data[[#This Row],[Discount Amount]]</f>
        <v>5</v>
      </c>
      <c r="K1122">
        <v>440</v>
      </c>
      <c r="L1122" t="str">
        <f>IF(grocery_chain_data[[#This Row],[Final Amount]]&lt;0,"Return","Sale")</f>
        <v>Sale</v>
      </c>
      <c r="M1122">
        <f>IF(grocery_chain_data[[#This Row],[Final Amount]]&lt;0,0,grocery_chain_data[[#This Row],[Final Amount]])</f>
        <v>5</v>
      </c>
    </row>
    <row r="1123" spans="1:13" x14ac:dyDescent="0.3">
      <c r="A1123">
        <v>9938</v>
      </c>
      <c r="B1123" t="s">
        <v>5</v>
      </c>
      <c r="C1123" s="1">
        <v>45369</v>
      </c>
      <c r="D1123" s="1" t="str">
        <f t="shared" si="17"/>
        <v>Dairy</v>
      </c>
      <c r="E1123" t="s">
        <v>20</v>
      </c>
      <c r="F1123" s="2">
        <v>5</v>
      </c>
      <c r="G1123" s="3">
        <v>13</v>
      </c>
      <c r="H1123" s="3">
        <f>grocery_chain_data[[#This Row],[Quantity]]*grocery_chain_data[[#This Row],[Unit Price]]</f>
        <v>65</v>
      </c>
      <c r="I1123" s="3">
        <v>7</v>
      </c>
      <c r="J1123" s="3">
        <f>grocery_chain_data[[#This Row],[Total Amount]]-grocery_chain_data[[#This Row],[Discount Amount]]</f>
        <v>58</v>
      </c>
      <c r="K1123">
        <v>380</v>
      </c>
      <c r="L1123" t="str">
        <f>IF(grocery_chain_data[[#This Row],[Final Amount]]&lt;0,"Return","Sale")</f>
        <v>Sale</v>
      </c>
      <c r="M1123">
        <f>IF(grocery_chain_data[[#This Row],[Final Amount]]&lt;0,0,grocery_chain_data[[#This Row],[Final Amount]])</f>
        <v>58</v>
      </c>
    </row>
    <row r="1124" spans="1:13" x14ac:dyDescent="0.3">
      <c r="A1124">
        <v>5949</v>
      </c>
      <c r="B1124" t="s">
        <v>21</v>
      </c>
      <c r="C1124" s="1">
        <v>45520</v>
      </c>
      <c r="D1124" s="1" t="str">
        <f t="shared" si="17"/>
        <v>Dairy</v>
      </c>
      <c r="E1124" t="s">
        <v>23</v>
      </c>
      <c r="F1124" s="2">
        <v>3</v>
      </c>
      <c r="G1124" s="3">
        <v>14</v>
      </c>
      <c r="H1124" s="3">
        <f>grocery_chain_data[[#This Row],[Quantity]]*grocery_chain_data[[#This Row],[Unit Price]]</f>
        <v>42</v>
      </c>
      <c r="I1124" s="3">
        <v>8</v>
      </c>
      <c r="J1124" s="3">
        <f>grocery_chain_data[[#This Row],[Total Amount]]-grocery_chain_data[[#This Row],[Discount Amount]]</f>
        <v>34</v>
      </c>
      <c r="K1124">
        <v>363</v>
      </c>
      <c r="L1124" t="str">
        <f>IF(grocery_chain_data[[#This Row],[Final Amount]]&lt;0,"Return","Sale")</f>
        <v>Sale</v>
      </c>
      <c r="M1124">
        <f>IF(grocery_chain_data[[#This Row],[Final Amount]]&lt;0,0,grocery_chain_data[[#This Row],[Final Amount]])</f>
        <v>34</v>
      </c>
    </row>
    <row r="1125" spans="1:13" x14ac:dyDescent="0.3">
      <c r="A1125">
        <v>5012</v>
      </c>
      <c r="B1125" t="s">
        <v>12</v>
      </c>
      <c r="C1125" s="1">
        <v>45770</v>
      </c>
      <c r="D1125" s="1" t="str">
        <f t="shared" si="17"/>
        <v>Dairy</v>
      </c>
      <c r="E1125" t="s">
        <v>23</v>
      </c>
      <c r="F1125" s="2">
        <v>5</v>
      </c>
      <c r="G1125" s="3">
        <v>22</v>
      </c>
      <c r="H1125" s="3">
        <f>grocery_chain_data[[#This Row],[Quantity]]*grocery_chain_data[[#This Row],[Unit Price]]</f>
        <v>110</v>
      </c>
      <c r="I1125" s="3">
        <v>22</v>
      </c>
      <c r="J1125" s="3">
        <f>grocery_chain_data[[#This Row],[Total Amount]]-grocery_chain_data[[#This Row],[Discount Amount]]</f>
        <v>88</v>
      </c>
      <c r="K1125">
        <v>234</v>
      </c>
      <c r="L1125" t="str">
        <f>IF(grocery_chain_data[[#This Row],[Final Amount]]&lt;0,"Return","Sale")</f>
        <v>Sale</v>
      </c>
      <c r="M1125">
        <f>IF(grocery_chain_data[[#This Row],[Final Amount]]&lt;0,0,grocery_chain_data[[#This Row],[Final Amount]])</f>
        <v>88</v>
      </c>
    </row>
    <row r="1126" spans="1:13" x14ac:dyDescent="0.3">
      <c r="A1126">
        <v>7653</v>
      </c>
      <c r="B1126" t="s">
        <v>13</v>
      </c>
      <c r="C1126" s="1">
        <v>45376</v>
      </c>
      <c r="D1126" s="1" t="str">
        <f t="shared" si="17"/>
        <v>Meat &amp; Seafood</v>
      </c>
      <c r="E1126" t="s">
        <v>15</v>
      </c>
      <c r="F1126" s="2">
        <v>1</v>
      </c>
      <c r="G1126" s="3">
        <v>25</v>
      </c>
      <c r="H1126" s="3">
        <f>grocery_chain_data[[#This Row],[Quantity]]*grocery_chain_data[[#This Row],[Unit Price]]</f>
        <v>25</v>
      </c>
      <c r="I1126" s="3">
        <v>2</v>
      </c>
      <c r="J1126" s="3">
        <f>grocery_chain_data[[#This Row],[Total Amount]]-grocery_chain_data[[#This Row],[Discount Amount]]</f>
        <v>23</v>
      </c>
      <c r="K1126">
        <v>309</v>
      </c>
      <c r="L1126" t="str">
        <f>IF(grocery_chain_data[[#This Row],[Final Amount]]&lt;0,"Return","Sale")</f>
        <v>Sale</v>
      </c>
      <c r="M1126">
        <f>IF(grocery_chain_data[[#This Row],[Final Amount]]&lt;0,0,grocery_chain_data[[#This Row],[Final Amount]])</f>
        <v>23</v>
      </c>
    </row>
    <row r="1127" spans="1:13" x14ac:dyDescent="0.3">
      <c r="A1127">
        <v>8430</v>
      </c>
      <c r="B1127" t="s">
        <v>10</v>
      </c>
      <c r="C1127" s="1">
        <v>45201</v>
      </c>
      <c r="D1127" s="1" t="str">
        <f t="shared" si="17"/>
        <v>Meat &amp; Seafood</v>
      </c>
      <c r="E1127" t="s">
        <v>15</v>
      </c>
      <c r="F1127" s="2">
        <v>5</v>
      </c>
      <c r="G1127" s="3">
        <v>2</v>
      </c>
      <c r="H1127" s="3">
        <f>grocery_chain_data[[#This Row],[Quantity]]*grocery_chain_data[[#This Row],[Unit Price]]</f>
        <v>10</v>
      </c>
      <c r="I1127" s="3">
        <v>0</v>
      </c>
      <c r="J1127" s="3">
        <f>grocery_chain_data[[#This Row],[Total Amount]]-grocery_chain_data[[#This Row],[Discount Amount]]</f>
        <v>10</v>
      </c>
      <c r="K1127">
        <v>46</v>
      </c>
      <c r="L1127" t="str">
        <f>IF(grocery_chain_data[[#This Row],[Final Amount]]&lt;0,"Return","Sale")</f>
        <v>Sale</v>
      </c>
      <c r="M1127">
        <f>IF(grocery_chain_data[[#This Row],[Final Amount]]&lt;0,0,grocery_chain_data[[#This Row],[Final Amount]])</f>
        <v>10</v>
      </c>
    </row>
    <row r="1128" spans="1:13" x14ac:dyDescent="0.3">
      <c r="A1128">
        <v>1981</v>
      </c>
      <c r="B1128" t="s">
        <v>10</v>
      </c>
      <c r="C1128" s="1">
        <v>45267</v>
      </c>
      <c r="D1128" s="1" t="str">
        <f t="shared" si="17"/>
        <v>Produce</v>
      </c>
      <c r="E1128" t="s">
        <v>17</v>
      </c>
      <c r="F1128" s="2">
        <v>4</v>
      </c>
      <c r="G1128" s="3">
        <v>19</v>
      </c>
      <c r="H1128" s="3">
        <f>grocery_chain_data[[#This Row],[Quantity]]*grocery_chain_data[[#This Row],[Unit Price]]</f>
        <v>76</v>
      </c>
      <c r="I1128" s="3">
        <v>8</v>
      </c>
      <c r="J1128" s="3">
        <f>grocery_chain_data[[#This Row],[Total Amount]]-grocery_chain_data[[#This Row],[Discount Amount]]</f>
        <v>68</v>
      </c>
      <c r="K1128">
        <v>414</v>
      </c>
      <c r="L1128" t="str">
        <f>IF(grocery_chain_data[[#This Row],[Final Amount]]&lt;0,"Return","Sale")</f>
        <v>Sale</v>
      </c>
      <c r="M1128">
        <f>IF(grocery_chain_data[[#This Row],[Final Amount]]&lt;0,0,grocery_chain_data[[#This Row],[Final Amount]])</f>
        <v>68</v>
      </c>
    </row>
    <row r="1129" spans="1:13" x14ac:dyDescent="0.3">
      <c r="A1129">
        <v>8202</v>
      </c>
      <c r="B1129" t="s">
        <v>21</v>
      </c>
      <c r="C1129" s="1">
        <v>45467</v>
      </c>
      <c r="D1129" s="1" t="str">
        <f t="shared" si="17"/>
        <v>Dairy</v>
      </c>
      <c r="E1129" t="s">
        <v>3</v>
      </c>
      <c r="F1129" s="2">
        <v>4</v>
      </c>
      <c r="G1129" s="3">
        <v>12</v>
      </c>
      <c r="H1129" s="3">
        <f>grocery_chain_data[[#This Row],[Quantity]]*grocery_chain_data[[#This Row],[Unit Price]]</f>
        <v>48</v>
      </c>
      <c r="I1129" s="3">
        <v>0</v>
      </c>
      <c r="J1129" s="3">
        <f>grocery_chain_data[[#This Row],[Total Amount]]-grocery_chain_data[[#This Row],[Discount Amount]]</f>
        <v>48</v>
      </c>
      <c r="K1129">
        <v>337</v>
      </c>
      <c r="L1129" t="str">
        <f>IF(grocery_chain_data[[#This Row],[Final Amount]]&lt;0,"Return","Sale")</f>
        <v>Sale</v>
      </c>
      <c r="M1129">
        <f>IF(grocery_chain_data[[#This Row],[Final Amount]]&lt;0,0,grocery_chain_data[[#This Row],[Final Amount]])</f>
        <v>48</v>
      </c>
    </row>
    <row r="1130" spans="1:13" x14ac:dyDescent="0.3">
      <c r="A1130">
        <v>8933</v>
      </c>
      <c r="B1130" t="s">
        <v>0</v>
      </c>
      <c r="C1130" s="1">
        <v>45505</v>
      </c>
      <c r="D1130" s="1" t="str">
        <f t="shared" si="17"/>
        <v>Dairy</v>
      </c>
      <c r="E1130" t="s">
        <v>19</v>
      </c>
      <c r="F1130" s="2">
        <v>2</v>
      </c>
      <c r="G1130" s="3">
        <v>27</v>
      </c>
      <c r="H1130" s="3">
        <f>grocery_chain_data[[#This Row],[Quantity]]*grocery_chain_data[[#This Row],[Unit Price]]</f>
        <v>54</v>
      </c>
      <c r="I1130" s="3">
        <v>0</v>
      </c>
      <c r="J1130" s="3">
        <f>grocery_chain_data[[#This Row],[Total Amount]]-grocery_chain_data[[#This Row],[Discount Amount]]</f>
        <v>54</v>
      </c>
      <c r="K1130">
        <v>80</v>
      </c>
      <c r="L1130" t="str">
        <f>IF(grocery_chain_data[[#This Row],[Final Amount]]&lt;0,"Return","Sale")</f>
        <v>Sale</v>
      </c>
      <c r="M1130">
        <f>IF(grocery_chain_data[[#This Row],[Final Amount]]&lt;0,0,grocery_chain_data[[#This Row],[Final Amount]])</f>
        <v>54</v>
      </c>
    </row>
    <row r="1131" spans="1:13" x14ac:dyDescent="0.3">
      <c r="A1131">
        <v>4342</v>
      </c>
      <c r="B1131" t="s">
        <v>2</v>
      </c>
      <c r="C1131" s="1">
        <v>45409</v>
      </c>
      <c r="D1131" s="1" t="str">
        <f t="shared" si="17"/>
        <v>Bakery</v>
      </c>
      <c r="E1131" t="s">
        <v>22</v>
      </c>
      <c r="F1131" s="2">
        <v>2</v>
      </c>
      <c r="G1131" s="3">
        <v>27</v>
      </c>
      <c r="H1131" s="3">
        <f>grocery_chain_data[[#This Row],[Quantity]]*grocery_chain_data[[#This Row],[Unit Price]]</f>
        <v>54</v>
      </c>
      <c r="I1131" s="3">
        <v>8</v>
      </c>
      <c r="J1131" s="3">
        <f>grocery_chain_data[[#This Row],[Total Amount]]-grocery_chain_data[[#This Row],[Discount Amount]]</f>
        <v>46</v>
      </c>
      <c r="K1131">
        <v>210</v>
      </c>
      <c r="L1131" t="str">
        <f>IF(grocery_chain_data[[#This Row],[Final Amount]]&lt;0,"Return","Sale")</f>
        <v>Sale</v>
      </c>
      <c r="M1131">
        <f>IF(grocery_chain_data[[#This Row],[Final Amount]]&lt;0,0,grocery_chain_data[[#This Row],[Final Amount]])</f>
        <v>46</v>
      </c>
    </row>
    <row r="1132" spans="1:13" x14ac:dyDescent="0.3">
      <c r="A1132">
        <v>3353</v>
      </c>
      <c r="B1132" t="s">
        <v>0</v>
      </c>
      <c r="C1132" s="1">
        <v>45387</v>
      </c>
      <c r="D1132" s="1" t="str">
        <f t="shared" si="17"/>
        <v>Produce</v>
      </c>
      <c r="E1132" t="s">
        <v>24</v>
      </c>
      <c r="F1132" s="2">
        <v>3</v>
      </c>
      <c r="G1132" s="3">
        <v>13</v>
      </c>
      <c r="H1132" s="3">
        <f>grocery_chain_data[[#This Row],[Quantity]]*grocery_chain_data[[#This Row],[Unit Price]]</f>
        <v>39</v>
      </c>
      <c r="I1132" s="3">
        <v>8</v>
      </c>
      <c r="J1132" s="3">
        <f>grocery_chain_data[[#This Row],[Total Amount]]-grocery_chain_data[[#This Row],[Discount Amount]]</f>
        <v>31</v>
      </c>
      <c r="K1132">
        <v>84</v>
      </c>
      <c r="L1132" t="str">
        <f>IF(grocery_chain_data[[#This Row],[Final Amount]]&lt;0,"Return","Sale")</f>
        <v>Sale</v>
      </c>
      <c r="M1132">
        <f>IF(grocery_chain_data[[#This Row],[Final Amount]]&lt;0,0,grocery_chain_data[[#This Row],[Final Amount]])</f>
        <v>31</v>
      </c>
    </row>
    <row r="1133" spans="1:13" x14ac:dyDescent="0.3">
      <c r="A1133">
        <v>6231</v>
      </c>
      <c r="B1133" t="s">
        <v>2</v>
      </c>
      <c r="C1133" s="1">
        <v>45715</v>
      </c>
      <c r="D1133" s="1" t="str">
        <f t="shared" si="17"/>
        <v>Meat &amp; Seafood</v>
      </c>
      <c r="E1133" t="s">
        <v>15</v>
      </c>
      <c r="F1133" s="2">
        <v>1</v>
      </c>
      <c r="G1133" s="3">
        <v>3</v>
      </c>
      <c r="H1133" s="3">
        <f>grocery_chain_data[[#This Row],[Quantity]]*grocery_chain_data[[#This Row],[Unit Price]]</f>
        <v>3</v>
      </c>
      <c r="I1133" s="3">
        <v>0</v>
      </c>
      <c r="J1133" s="3">
        <f>grocery_chain_data[[#This Row],[Total Amount]]-grocery_chain_data[[#This Row],[Discount Amount]]</f>
        <v>3</v>
      </c>
      <c r="K1133">
        <v>355</v>
      </c>
      <c r="L1133" t="str">
        <f>IF(grocery_chain_data[[#This Row],[Final Amount]]&lt;0,"Return","Sale")</f>
        <v>Sale</v>
      </c>
      <c r="M1133">
        <f>IF(grocery_chain_data[[#This Row],[Final Amount]]&lt;0,0,grocery_chain_data[[#This Row],[Final Amount]])</f>
        <v>3</v>
      </c>
    </row>
    <row r="1134" spans="1:13" x14ac:dyDescent="0.3">
      <c r="A1134">
        <v>6658</v>
      </c>
      <c r="B1134" t="s">
        <v>27</v>
      </c>
      <c r="C1134" s="1">
        <v>45454</v>
      </c>
      <c r="D1134" s="1" t="str">
        <f t="shared" si="17"/>
        <v>Dairy</v>
      </c>
      <c r="E1134" t="s">
        <v>23</v>
      </c>
      <c r="F1134" s="2">
        <v>4</v>
      </c>
      <c r="G1134" s="3">
        <v>2</v>
      </c>
      <c r="H1134" s="3">
        <f>grocery_chain_data[[#This Row],[Quantity]]*grocery_chain_data[[#This Row],[Unit Price]]</f>
        <v>8</v>
      </c>
      <c r="I1134" s="3">
        <v>0</v>
      </c>
      <c r="J1134" s="3">
        <f>grocery_chain_data[[#This Row],[Total Amount]]-grocery_chain_data[[#This Row],[Discount Amount]]</f>
        <v>8</v>
      </c>
      <c r="K1134">
        <v>128</v>
      </c>
      <c r="L1134" t="str">
        <f>IF(grocery_chain_data[[#This Row],[Final Amount]]&lt;0,"Return","Sale")</f>
        <v>Sale</v>
      </c>
      <c r="M1134">
        <f>IF(grocery_chain_data[[#This Row],[Final Amount]]&lt;0,0,grocery_chain_data[[#This Row],[Final Amount]])</f>
        <v>8</v>
      </c>
    </row>
    <row r="1135" spans="1:13" x14ac:dyDescent="0.3">
      <c r="A1135">
        <v>3142</v>
      </c>
      <c r="B1135" t="s">
        <v>5</v>
      </c>
      <c r="C1135" s="1">
        <v>45735</v>
      </c>
      <c r="D1135" s="1" t="str">
        <f t="shared" si="17"/>
        <v>Meat &amp; Seafood</v>
      </c>
      <c r="E1135" t="s">
        <v>15</v>
      </c>
      <c r="F1135" s="2">
        <v>4</v>
      </c>
      <c r="G1135" s="3">
        <v>14</v>
      </c>
      <c r="H1135" s="3">
        <f>grocery_chain_data[[#This Row],[Quantity]]*grocery_chain_data[[#This Row],[Unit Price]]</f>
        <v>56</v>
      </c>
      <c r="I1135" s="3">
        <v>0</v>
      </c>
      <c r="J1135" s="3">
        <f>grocery_chain_data[[#This Row],[Total Amount]]-grocery_chain_data[[#This Row],[Discount Amount]]</f>
        <v>56</v>
      </c>
      <c r="K1135">
        <v>42</v>
      </c>
      <c r="L1135" t="str">
        <f>IF(grocery_chain_data[[#This Row],[Final Amount]]&lt;0,"Return","Sale")</f>
        <v>Sale</v>
      </c>
      <c r="M1135">
        <f>IF(grocery_chain_data[[#This Row],[Final Amount]]&lt;0,0,grocery_chain_data[[#This Row],[Final Amount]])</f>
        <v>56</v>
      </c>
    </row>
    <row r="1136" spans="1:13" x14ac:dyDescent="0.3">
      <c r="A1136">
        <v>7070</v>
      </c>
      <c r="B1136" t="s">
        <v>10</v>
      </c>
      <c r="C1136" s="1">
        <v>45544</v>
      </c>
      <c r="D1136" s="1" t="str">
        <f t="shared" si="17"/>
        <v>Produce</v>
      </c>
      <c r="E1136" t="s">
        <v>25</v>
      </c>
      <c r="F1136" s="2">
        <v>3</v>
      </c>
      <c r="G1136" s="3">
        <v>25</v>
      </c>
      <c r="H1136" s="3">
        <f>grocery_chain_data[[#This Row],[Quantity]]*grocery_chain_data[[#This Row],[Unit Price]]</f>
        <v>75</v>
      </c>
      <c r="I1136" s="3">
        <v>1</v>
      </c>
      <c r="J1136" s="3">
        <f>grocery_chain_data[[#This Row],[Total Amount]]-grocery_chain_data[[#This Row],[Discount Amount]]</f>
        <v>74</v>
      </c>
      <c r="K1136">
        <v>87</v>
      </c>
      <c r="L1136" t="str">
        <f>IF(grocery_chain_data[[#This Row],[Final Amount]]&lt;0,"Return","Sale")</f>
        <v>Sale</v>
      </c>
      <c r="M1136">
        <f>IF(grocery_chain_data[[#This Row],[Final Amount]]&lt;0,0,grocery_chain_data[[#This Row],[Final Amount]])</f>
        <v>74</v>
      </c>
    </row>
    <row r="1137" spans="1:13" x14ac:dyDescent="0.3">
      <c r="A1137">
        <v>2739</v>
      </c>
      <c r="B1137" t="s">
        <v>12</v>
      </c>
      <c r="C1137" s="1">
        <v>45392</v>
      </c>
      <c r="D1137" s="1" t="str">
        <f t="shared" si="17"/>
        <v>Produce</v>
      </c>
      <c r="E1137" t="s">
        <v>4</v>
      </c>
      <c r="F1137" s="2">
        <v>4</v>
      </c>
      <c r="G1137" s="3">
        <v>6</v>
      </c>
      <c r="H1137" s="3">
        <f>grocery_chain_data[[#This Row],[Quantity]]*grocery_chain_data[[#This Row],[Unit Price]]</f>
        <v>24</v>
      </c>
      <c r="I1137" s="3">
        <v>0</v>
      </c>
      <c r="J1137" s="3">
        <f>grocery_chain_data[[#This Row],[Total Amount]]-grocery_chain_data[[#This Row],[Discount Amount]]</f>
        <v>24</v>
      </c>
      <c r="K1137">
        <v>343</v>
      </c>
      <c r="L1137" t="str">
        <f>IF(grocery_chain_data[[#This Row],[Final Amount]]&lt;0,"Return","Sale")</f>
        <v>Sale</v>
      </c>
      <c r="M1137">
        <f>IF(grocery_chain_data[[#This Row],[Final Amount]]&lt;0,0,grocery_chain_data[[#This Row],[Final Amount]])</f>
        <v>24</v>
      </c>
    </row>
    <row r="1138" spans="1:13" x14ac:dyDescent="0.3">
      <c r="A1138">
        <v>4960</v>
      </c>
      <c r="B1138" t="s">
        <v>12</v>
      </c>
      <c r="C1138" s="1">
        <v>45507</v>
      </c>
      <c r="D1138" s="1" t="str">
        <f t="shared" si="17"/>
        <v>Meat &amp; Seafood</v>
      </c>
      <c r="E1138" t="s">
        <v>15</v>
      </c>
      <c r="F1138" s="2">
        <v>3</v>
      </c>
      <c r="G1138" s="3">
        <v>6</v>
      </c>
      <c r="H1138" s="3">
        <f>grocery_chain_data[[#This Row],[Quantity]]*grocery_chain_data[[#This Row],[Unit Price]]</f>
        <v>18</v>
      </c>
      <c r="I1138" s="3">
        <v>0</v>
      </c>
      <c r="J1138" s="3">
        <f>grocery_chain_data[[#This Row],[Total Amount]]-grocery_chain_data[[#This Row],[Discount Amount]]</f>
        <v>18</v>
      </c>
      <c r="K1138">
        <v>365</v>
      </c>
      <c r="L1138" t="str">
        <f>IF(grocery_chain_data[[#This Row],[Final Amount]]&lt;0,"Return","Sale")</f>
        <v>Sale</v>
      </c>
      <c r="M1138">
        <f>IF(grocery_chain_data[[#This Row],[Final Amount]]&lt;0,0,grocery_chain_data[[#This Row],[Final Amount]])</f>
        <v>18</v>
      </c>
    </row>
    <row r="1139" spans="1:13" x14ac:dyDescent="0.3">
      <c r="A1139">
        <v>3007</v>
      </c>
      <c r="B1139" t="s">
        <v>2</v>
      </c>
      <c r="C1139" s="1">
        <v>45352</v>
      </c>
      <c r="D1139" s="1" t="str">
        <f t="shared" si="17"/>
        <v>Meat &amp; Seafood</v>
      </c>
      <c r="E1139" t="s">
        <v>15</v>
      </c>
      <c r="F1139" s="2">
        <v>1</v>
      </c>
      <c r="G1139" s="3">
        <v>25</v>
      </c>
      <c r="H1139" s="3">
        <f>grocery_chain_data[[#This Row],[Quantity]]*grocery_chain_data[[#This Row],[Unit Price]]</f>
        <v>25</v>
      </c>
      <c r="I1139" s="3">
        <v>3</v>
      </c>
      <c r="J1139" s="3">
        <f>grocery_chain_data[[#This Row],[Total Amount]]-grocery_chain_data[[#This Row],[Discount Amount]]</f>
        <v>22</v>
      </c>
      <c r="K1139">
        <v>415</v>
      </c>
      <c r="L1139" t="str">
        <f>IF(grocery_chain_data[[#This Row],[Final Amount]]&lt;0,"Return","Sale")</f>
        <v>Sale</v>
      </c>
      <c r="M1139">
        <f>IF(grocery_chain_data[[#This Row],[Final Amount]]&lt;0,0,grocery_chain_data[[#This Row],[Final Amount]])</f>
        <v>22</v>
      </c>
    </row>
    <row r="1140" spans="1:13" x14ac:dyDescent="0.3">
      <c r="A1140">
        <v>8366</v>
      </c>
      <c r="B1140" t="s">
        <v>12</v>
      </c>
      <c r="C1140" s="1">
        <v>45337</v>
      </c>
      <c r="D1140" s="1" t="str">
        <f t="shared" si="17"/>
        <v>Dairy</v>
      </c>
      <c r="E1140" t="s">
        <v>19</v>
      </c>
      <c r="F1140" s="2">
        <v>5</v>
      </c>
      <c r="G1140" s="3">
        <v>1</v>
      </c>
      <c r="H1140" s="3">
        <f>grocery_chain_data[[#This Row],[Quantity]]*grocery_chain_data[[#This Row],[Unit Price]]</f>
        <v>5</v>
      </c>
      <c r="I1140" s="3">
        <v>1</v>
      </c>
      <c r="J1140" s="3">
        <f>grocery_chain_data[[#This Row],[Total Amount]]-grocery_chain_data[[#This Row],[Discount Amount]]</f>
        <v>4</v>
      </c>
      <c r="K1140">
        <v>395</v>
      </c>
      <c r="L1140" t="str">
        <f>IF(grocery_chain_data[[#This Row],[Final Amount]]&lt;0,"Return","Sale")</f>
        <v>Sale</v>
      </c>
      <c r="M1140">
        <f>IF(grocery_chain_data[[#This Row],[Final Amount]]&lt;0,0,grocery_chain_data[[#This Row],[Final Amount]])</f>
        <v>4</v>
      </c>
    </row>
    <row r="1141" spans="1:13" x14ac:dyDescent="0.3">
      <c r="A1141">
        <v>3308</v>
      </c>
      <c r="B1141" t="s">
        <v>21</v>
      </c>
      <c r="C1141" s="1">
        <v>45220</v>
      </c>
      <c r="D1141" s="1" t="str">
        <f t="shared" si="17"/>
        <v>Meat &amp; Seafood</v>
      </c>
      <c r="E1141" t="s">
        <v>9</v>
      </c>
      <c r="F1141" s="2">
        <v>2</v>
      </c>
      <c r="G1141" s="3">
        <v>4</v>
      </c>
      <c r="H1141" s="3">
        <f>grocery_chain_data[[#This Row],[Quantity]]*grocery_chain_data[[#This Row],[Unit Price]]</f>
        <v>8</v>
      </c>
      <c r="I1141" s="3">
        <v>2</v>
      </c>
      <c r="J1141" s="3">
        <f>grocery_chain_data[[#This Row],[Total Amount]]-grocery_chain_data[[#This Row],[Discount Amount]]</f>
        <v>6</v>
      </c>
      <c r="K1141">
        <v>215</v>
      </c>
      <c r="L1141" t="str">
        <f>IF(grocery_chain_data[[#This Row],[Final Amount]]&lt;0,"Return","Sale")</f>
        <v>Sale</v>
      </c>
      <c r="M1141">
        <f>IF(grocery_chain_data[[#This Row],[Final Amount]]&lt;0,0,grocery_chain_data[[#This Row],[Final Amount]])</f>
        <v>6</v>
      </c>
    </row>
    <row r="1142" spans="1:13" x14ac:dyDescent="0.3">
      <c r="A1142">
        <v>1829</v>
      </c>
      <c r="B1142" t="s">
        <v>21</v>
      </c>
      <c r="C1142" s="1">
        <v>45370</v>
      </c>
      <c r="D1142" s="1" t="str">
        <f t="shared" si="17"/>
        <v>Bakery</v>
      </c>
      <c r="E1142" t="s">
        <v>22</v>
      </c>
      <c r="F1142" s="2">
        <v>2</v>
      </c>
      <c r="G1142" s="3">
        <v>29</v>
      </c>
      <c r="H1142" s="3">
        <f>grocery_chain_data[[#This Row],[Quantity]]*grocery_chain_data[[#This Row],[Unit Price]]</f>
        <v>58</v>
      </c>
      <c r="I1142" s="3">
        <v>0</v>
      </c>
      <c r="J1142" s="3">
        <f>grocery_chain_data[[#This Row],[Total Amount]]-grocery_chain_data[[#This Row],[Discount Amount]]</f>
        <v>58</v>
      </c>
      <c r="K1142">
        <v>49</v>
      </c>
      <c r="L1142" t="str">
        <f>IF(grocery_chain_data[[#This Row],[Final Amount]]&lt;0,"Return","Sale")</f>
        <v>Sale</v>
      </c>
      <c r="M1142">
        <f>IF(grocery_chain_data[[#This Row],[Final Amount]]&lt;0,0,grocery_chain_data[[#This Row],[Final Amount]])</f>
        <v>58</v>
      </c>
    </row>
    <row r="1143" spans="1:13" x14ac:dyDescent="0.3">
      <c r="A1143">
        <v>7293</v>
      </c>
      <c r="B1143" t="s">
        <v>5</v>
      </c>
      <c r="C1143" s="1">
        <v>45816</v>
      </c>
      <c r="D1143" s="1" t="str">
        <f t="shared" si="17"/>
        <v>Dairy</v>
      </c>
      <c r="E1143" t="s">
        <v>3</v>
      </c>
      <c r="F1143" s="2">
        <v>5</v>
      </c>
      <c r="G1143" s="3">
        <v>4</v>
      </c>
      <c r="H1143" s="3">
        <f>grocery_chain_data[[#This Row],[Quantity]]*grocery_chain_data[[#This Row],[Unit Price]]</f>
        <v>20</v>
      </c>
      <c r="I1143" s="3">
        <v>4</v>
      </c>
      <c r="J1143" s="3">
        <f>grocery_chain_data[[#This Row],[Total Amount]]-grocery_chain_data[[#This Row],[Discount Amount]]</f>
        <v>16</v>
      </c>
      <c r="K1143">
        <v>167</v>
      </c>
      <c r="L1143" t="str">
        <f>IF(grocery_chain_data[[#This Row],[Final Amount]]&lt;0,"Return","Sale")</f>
        <v>Sale</v>
      </c>
      <c r="M1143">
        <f>IF(grocery_chain_data[[#This Row],[Final Amount]]&lt;0,0,grocery_chain_data[[#This Row],[Final Amount]])</f>
        <v>16</v>
      </c>
    </row>
    <row r="1144" spans="1:13" x14ac:dyDescent="0.3">
      <c r="A1144">
        <v>7850</v>
      </c>
      <c r="B1144" t="s">
        <v>21</v>
      </c>
      <c r="C1144" s="1">
        <v>45337</v>
      </c>
      <c r="D1144" s="1" t="str">
        <f t="shared" si="17"/>
        <v>Produce</v>
      </c>
      <c r="E1144" t="s">
        <v>14</v>
      </c>
      <c r="F1144" s="2">
        <v>4</v>
      </c>
      <c r="G1144" s="3">
        <v>4</v>
      </c>
      <c r="H1144" s="3">
        <f>grocery_chain_data[[#This Row],[Quantity]]*grocery_chain_data[[#This Row],[Unit Price]]</f>
        <v>16</v>
      </c>
      <c r="I1144" s="3">
        <v>3</v>
      </c>
      <c r="J1144" s="3">
        <f>grocery_chain_data[[#This Row],[Total Amount]]-grocery_chain_data[[#This Row],[Discount Amount]]</f>
        <v>13</v>
      </c>
      <c r="K1144">
        <v>109</v>
      </c>
      <c r="L1144" t="str">
        <f>IF(grocery_chain_data[[#This Row],[Final Amount]]&lt;0,"Return","Sale")</f>
        <v>Sale</v>
      </c>
      <c r="M1144">
        <f>IF(grocery_chain_data[[#This Row],[Final Amount]]&lt;0,0,grocery_chain_data[[#This Row],[Final Amount]])</f>
        <v>13</v>
      </c>
    </row>
    <row r="1145" spans="1:13" x14ac:dyDescent="0.3">
      <c r="A1145">
        <v>3616</v>
      </c>
      <c r="B1145" t="s">
        <v>16</v>
      </c>
      <c r="C1145" s="1">
        <v>45776</v>
      </c>
      <c r="D1145" s="1" t="str">
        <f t="shared" si="17"/>
        <v>Produce</v>
      </c>
      <c r="E1145" t="s">
        <v>18</v>
      </c>
      <c r="F1145" s="2">
        <v>4</v>
      </c>
      <c r="G1145" s="3">
        <v>20</v>
      </c>
      <c r="H1145" s="3">
        <f>grocery_chain_data[[#This Row],[Quantity]]*grocery_chain_data[[#This Row],[Unit Price]]</f>
        <v>80</v>
      </c>
      <c r="I1145" s="3">
        <v>16</v>
      </c>
      <c r="J1145" s="3">
        <f>grocery_chain_data[[#This Row],[Total Amount]]-grocery_chain_data[[#This Row],[Discount Amount]]</f>
        <v>64</v>
      </c>
      <c r="K1145">
        <v>6</v>
      </c>
      <c r="L1145" t="str">
        <f>IF(grocery_chain_data[[#This Row],[Final Amount]]&lt;0,"Return","Sale")</f>
        <v>Sale</v>
      </c>
      <c r="M1145">
        <f>IF(grocery_chain_data[[#This Row],[Final Amount]]&lt;0,0,grocery_chain_data[[#This Row],[Final Amount]])</f>
        <v>64</v>
      </c>
    </row>
    <row r="1146" spans="1:13" x14ac:dyDescent="0.3">
      <c r="A1146">
        <v>6364</v>
      </c>
      <c r="B1146" t="s">
        <v>10</v>
      </c>
      <c r="C1146" s="1">
        <v>45870</v>
      </c>
      <c r="D1146" s="1" t="str">
        <f t="shared" si="17"/>
        <v>Bakery</v>
      </c>
      <c r="E1146" t="s">
        <v>22</v>
      </c>
      <c r="F1146" s="2">
        <v>3</v>
      </c>
      <c r="G1146" s="3">
        <v>20</v>
      </c>
      <c r="H1146" s="3">
        <f>grocery_chain_data[[#This Row],[Quantity]]*grocery_chain_data[[#This Row],[Unit Price]]</f>
        <v>60</v>
      </c>
      <c r="I1146" s="3">
        <v>5</v>
      </c>
      <c r="J1146" s="3">
        <f>grocery_chain_data[[#This Row],[Total Amount]]-grocery_chain_data[[#This Row],[Discount Amount]]</f>
        <v>55</v>
      </c>
      <c r="K1146">
        <v>188</v>
      </c>
      <c r="L1146" t="str">
        <f>IF(grocery_chain_data[[#This Row],[Final Amount]]&lt;0,"Return","Sale")</f>
        <v>Sale</v>
      </c>
      <c r="M1146">
        <f>IF(grocery_chain_data[[#This Row],[Final Amount]]&lt;0,0,grocery_chain_data[[#This Row],[Final Amount]])</f>
        <v>55</v>
      </c>
    </row>
    <row r="1147" spans="1:13" x14ac:dyDescent="0.3">
      <c r="A1147">
        <v>6123</v>
      </c>
      <c r="B1147" t="s">
        <v>8</v>
      </c>
      <c r="C1147" s="1">
        <v>45292</v>
      </c>
      <c r="D1147" s="1" t="str">
        <f t="shared" si="17"/>
        <v>Produce</v>
      </c>
      <c r="E1147" t="s">
        <v>25</v>
      </c>
      <c r="F1147" s="2">
        <v>1</v>
      </c>
      <c r="G1147" s="3">
        <v>22</v>
      </c>
      <c r="H1147" s="3">
        <f>grocery_chain_data[[#This Row],[Quantity]]*grocery_chain_data[[#This Row],[Unit Price]]</f>
        <v>22</v>
      </c>
      <c r="I1147" s="3">
        <v>3</v>
      </c>
      <c r="J1147" s="3">
        <f>grocery_chain_data[[#This Row],[Total Amount]]-grocery_chain_data[[#This Row],[Discount Amount]]</f>
        <v>19</v>
      </c>
      <c r="K1147">
        <v>405</v>
      </c>
      <c r="L1147" t="str">
        <f>IF(grocery_chain_data[[#This Row],[Final Amount]]&lt;0,"Return","Sale")</f>
        <v>Sale</v>
      </c>
      <c r="M1147">
        <f>IF(grocery_chain_data[[#This Row],[Final Amount]]&lt;0,0,grocery_chain_data[[#This Row],[Final Amount]])</f>
        <v>19</v>
      </c>
    </row>
    <row r="1148" spans="1:13" x14ac:dyDescent="0.3">
      <c r="A1148">
        <v>3610</v>
      </c>
      <c r="B1148" t="s">
        <v>0</v>
      </c>
      <c r="C1148" s="1">
        <v>45532</v>
      </c>
      <c r="D1148" s="1" t="str">
        <f t="shared" si="17"/>
        <v>Pantry</v>
      </c>
      <c r="E1148" t="s">
        <v>6</v>
      </c>
      <c r="F1148" s="2">
        <v>4</v>
      </c>
      <c r="G1148" s="3">
        <v>21</v>
      </c>
      <c r="H1148" s="3">
        <f>grocery_chain_data[[#This Row],[Quantity]]*grocery_chain_data[[#This Row],[Unit Price]]</f>
        <v>84</v>
      </c>
      <c r="I1148" s="3">
        <v>12</v>
      </c>
      <c r="J1148" s="3">
        <f>grocery_chain_data[[#This Row],[Total Amount]]-grocery_chain_data[[#This Row],[Discount Amount]]</f>
        <v>72</v>
      </c>
      <c r="K1148">
        <v>497</v>
      </c>
      <c r="L1148" t="str">
        <f>IF(grocery_chain_data[[#This Row],[Final Amount]]&lt;0,"Return","Sale")</f>
        <v>Sale</v>
      </c>
      <c r="M1148">
        <f>IF(grocery_chain_data[[#This Row],[Final Amount]]&lt;0,0,grocery_chain_data[[#This Row],[Final Amount]])</f>
        <v>72</v>
      </c>
    </row>
    <row r="1149" spans="1:13" x14ac:dyDescent="0.3">
      <c r="A1149">
        <v>9433</v>
      </c>
      <c r="B1149" t="s">
        <v>5</v>
      </c>
      <c r="C1149" s="1">
        <v>45507</v>
      </c>
      <c r="D1149" s="1" t="str">
        <f t="shared" si="17"/>
        <v>Pantry</v>
      </c>
      <c r="E1149" t="s">
        <v>6</v>
      </c>
      <c r="F1149" s="2">
        <v>4</v>
      </c>
      <c r="G1149" s="3">
        <v>3</v>
      </c>
      <c r="H1149" s="3">
        <f>grocery_chain_data[[#This Row],[Quantity]]*grocery_chain_data[[#This Row],[Unit Price]]</f>
        <v>12</v>
      </c>
      <c r="I1149" s="3">
        <v>1</v>
      </c>
      <c r="J1149" s="3">
        <f>grocery_chain_data[[#This Row],[Total Amount]]-grocery_chain_data[[#This Row],[Discount Amount]]</f>
        <v>11</v>
      </c>
      <c r="K1149">
        <v>9</v>
      </c>
      <c r="L1149" t="str">
        <f>IF(grocery_chain_data[[#This Row],[Final Amount]]&lt;0,"Return","Sale")</f>
        <v>Sale</v>
      </c>
      <c r="M1149">
        <f>IF(grocery_chain_data[[#This Row],[Final Amount]]&lt;0,0,grocery_chain_data[[#This Row],[Final Amount]])</f>
        <v>11</v>
      </c>
    </row>
    <row r="1150" spans="1:13" x14ac:dyDescent="0.3">
      <c r="A1150">
        <v>9171</v>
      </c>
      <c r="B1150" t="s">
        <v>2</v>
      </c>
      <c r="C1150" s="1">
        <v>45827</v>
      </c>
      <c r="D1150" s="1" t="str">
        <f t="shared" si="17"/>
        <v>Meat &amp; Seafood</v>
      </c>
      <c r="E1150" t="s">
        <v>9</v>
      </c>
      <c r="F1150" s="2">
        <v>5</v>
      </c>
      <c r="G1150" s="3">
        <v>18</v>
      </c>
      <c r="H1150" s="3">
        <f>grocery_chain_data[[#This Row],[Quantity]]*grocery_chain_data[[#This Row],[Unit Price]]</f>
        <v>90</v>
      </c>
      <c r="I1150" s="3">
        <v>3</v>
      </c>
      <c r="J1150" s="3">
        <f>grocery_chain_data[[#This Row],[Total Amount]]-grocery_chain_data[[#This Row],[Discount Amount]]</f>
        <v>87</v>
      </c>
      <c r="K1150">
        <v>6</v>
      </c>
      <c r="L1150" t="str">
        <f>IF(grocery_chain_data[[#This Row],[Final Amount]]&lt;0,"Return","Sale")</f>
        <v>Sale</v>
      </c>
      <c r="M1150">
        <f>IF(grocery_chain_data[[#This Row],[Final Amount]]&lt;0,0,grocery_chain_data[[#This Row],[Final Amount]])</f>
        <v>87</v>
      </c>
    </row>
    <row r="1151" spans="1:13" x14ac:dyDescent="0.3">
      <c r="A1151">
        <v>6055</v>
      </c>
      <c r="B1151" t="s">
        <v>0</v>
      </c>
      <c r="C1151" s="1">
        <v>45531</v>
      </c>
      <c r="D1151" s="1" t="str">
        <f t="shared" si="17"/>
        <v>Meat &amp; Seafood</v>
      </c>
      <c r="E1151" t="s">
        <v>9</v>
      </c>
      <c r="F1151" s="2">
        <v>4</v>
      </c>
      <c r="G1151" s="3">
        <v>23</v>
      </c>
      <c r="H1151" s="3">
        <f>grocery_chain_data[[#This Row],[Quantity]]*grocery_chain_data[[#This Row],[Unit Price]]</f>
        <v>92</v>
      </c>
      <c r="I1151" s="3">
        <v>2</v>
      </c>
      <c r="J1151" s="3">
        <f>grocery_chain_data[[#This Row],[Total Amount]]-grocery_chain_data[[#This Row],[Discount Amount]]</f>
        <v>90</v>
      </c>
      <c r="K1151">
        <v>317</v>
      </c>
      <c r="L1151" t="str">
        <f>IF(grocery_chain_data[[#This Row],[Final Amount]]&lt;0,"Return","Sale")</f>
        <v>Sale</v>
      </c>
      <c r="M1151">
        <f>IF(grocery_chain_data[[#This Row],[Final Amount]]&lt;0,0,grocery_chain_data[[#This Row],[Final Amount]])</f>
        <v>90</v>
      </c>
    </row>
    <row r="1152" spans="1:13" x14ac:dyDescent="0.3">
      <c r="A1152">
        <v>1379</v>
      </c>
      <c r="B1152" t="s">
        <v>10</v>
      </c>
      <c r="C1152" s="1">
        <v>45214</v>
      </c>
      <c r="D1152" s="1" t="str">
        <f t="shared" si="17"/>
        <v>Dairy</v>
      </c>
      <c r="E1152" t="s">
        <v>23</v>
      </c>
      <c r="F1152" s="2">
        <v>2</v>
      </c>
      <c r="G1152" s="3">
        <v>12</v>
      </c>
      <c r="H1152" s="3">
        <f>grocery_chain_data[[#This Row],[Quantity]]*grocery_chain_data[[#This Row],[Unit Price]]</f>
        <v>24</v>
      </c>
      <c r="I1152" s="3">
        <v>5</v>
      </c>
      <c r="J1152" s="3">
        <f>grocery_chain_data[[#This Row],[Total Amount]]-grocery_chain_data[[#This Row],[Discount Amount]]</f>
        <v>19</v>
      </c>
      <c r="K1152">
        <v>328</v>
      </c>
      <c r="L1152" t="str">
        <f>IF(grocery_chain_data[[#This Row],[Final Amount]]&lt;0,"Return","Sale")</f>
        <v>Sale</v>
      </c>
      <c r="M1152">
        <f>IF(grocery_chain_data[[#This Row],[Final Amount]]&lt;0,0,grocery_chain_data[[#This Row],[Final Amount]])</f>
        <v>19</v>
      </c>
    </row>
    <row r="1153" spans="1:13" x14ac:dyDescent="0.3">
      <c r="A1153">
        <v>7442</v>
      </c>
      <c r="B1153" t="s">
        <v>10</v>
      </c>
      <c r="C1153" s="1">
        <v>45537</v>
      </c>
      <c r="D1153" s="1" t="str">
        <f t="shared" si="17"/>
        <v>Dairy</v>
      </c>
      <c r="E1153" t="s">
        <v>20</v>
      </c>
      <c r="F1153" s="2">
        <v>3</v>
      </c>
      <c r="G1153" s="3">
        <v>10</v>
      </c>
      <c r="H1153" s="3">
        <f>grocery_chain_data[[#This Row],[Quantity]]*grocery_chain_data[[#This Row],[Unit Price]]</f>
        <v>30</v>
      </c>
      <c r="I1153" s="3">
        <v>4</v>
      </c>
      <c r="J1153" s="3">
        <f>grocery_chain_data[[#This Row],[Total Amount]]-grocery_chain_data[[#This Row],[Discount Amount]]</f>
        <v>26</v>
      </c>
      <c r="K1153">
        <v>402</v>
      </c>
      <c r="L1153" t="str">
        <f>IF(grocery_chain_data[[#This Row],[Final Amount]]&lt;0,"Return","Sale")</f>
        <v>Sale</v>
      </c>
      <c r="M1153">
        <f>IF(grocery_chain_data[[#This Row],[Final Amount]]&lt;0,0,grocery_chain_data[[#This Row],[Final Amount]])</f>
        <v>26</v>
      </c>
    </row>
    <row r="1154" spans="1:13" x14ac:dyDescent="0.3">
      <c r="A1154">
        <v>8491</v>
      </c>
      <c r="B1154" t="s">
        <v>8</v>
      </c>
      <c r="C1154" s="1">
        <v>45331</v>
      </c>
      <c r="D1154" s="1" t="str">
        <f t="shared" ref="D1154:D1217" si="18">IF(E1154="Pasta","Pantry",
IF(E1154="Cheese","Dairy",
IF(E1154="Onions","Produce",
IF(E1154="Cereal","Pantry",
IF(E1154="Orange Juice","Beverages",
IF(E1154="Ground Beef","Meat &amp; Seafood",
IF(E1154="Apples","Produce",
IF(E1154="Milk","Dairy",
IF(E1154="Bananas","Produce",
IF(E1154="Bread","Bakery",
IF(E1154="Carrots","Produce",
IF(E1154="Chicken Breast","Meat &amp; Seafood",
IF(E1154="Eggs","Dairy",
IF(E1154="Potatoes","Produce",
IF(E1154="Rice","Produce",
IF(E1154="Salmon","Meat &amp; Seafood",
IF(E1154="Tomatoes","Produce",
IF(E1154="Yogurt","Dairy",
"Others"))))))))))))))))))</f>
        <v>Produce</v>
      </c>
      <c r="E1154" t="s">
        <v>17</v>
      </c>
      <c r="F1154" s="2">
        <v>1</v>
      </c>
      <c r="G1154" s="3">
        <v>8</v>
      </c>
      <c r="H1154" s="3">
        <f>grocery_chain_data[[#This Row],[Quantity]]*grocery_chain_data[[#This Row],[Unit Price]]</f>
        <v>8</v>
      </c>
      <c r="I1154" s="3">
        <v>1</v>
      </c>
      <c r="J1154" s="3">
        <f>grocery_chain_data[[#This Row],[Total Amount]]-grocery_chain_data[[#This Row],[Discount Amount]]</f>
        <v>7</v>
      </c>
      <c r="K1154">
        <v>375</v>
      </c>
      <c r="L1154" t="str">
        <f>IF(grocery_chain_data[[#This Row],[Final Amount]]&lt;0,"Return","Sale")</f>
        <v>Sale</v>
      </c>
      <c r="M1154">
        <f>IF(grocery_chain_data[[#This Row],[Final Amount]]&lt;0,0,grocery_chain_data[[#This Row],[Final Amount]])</f>
        <v>7</v>
      </c>
    </row>
    <row r="1155" spans="1:13" x14ac:dyDescent="0.3">
      <c r="A1155">
        <v>4524</v>
      </c>
      <c r="B1155" t="s">
        <v>21</v>
      </c>
      <c r="C1155" s="1">
        <v>45598</v>
      </c>
      <c r="D1155" s="1" t="str">
        <f t="shared" si="18"/>
        <v>Produce</v>
      </c>
      <c r="E1155" t="s">
        <v>4</v>
      </c>
      <c r="F1155" s="2">
        <v>1</v>
      </c>
      <c r="G1155" s="3">
        <v>27</v>
      </c>
      <c r="H1155" s="3">
        <f>grocery_chain_data[[#This Row],[Quantity]]*grocery_chain_data[[#This Row],[Unit Price]]</f>
        <v>27</v>
      </c>
      <c r="I1155" s="3">
        <v>0</v>
      </c>
      <c r="J1155" s="3">
        <f>grocery_chain_data[[#This Row],[Total Amount]]-grocery_chain_data[[#This Row],[Discount Amount]]</f>
        <v>27</v>
      </c>
      <c r="K1155">
        <v>340</v>
      </c>
      <c r="L1155" t="str">
        <f>IF(grocery_chain_data[[#This Row],[Final Amount]]&lt;0,"Return","Sale")</f>
        <v>Sale</v>
      </c>
      <c r="M1155">
        <f>IF(grocery_chain_data[[#This Row],[Final Amount]]&lt;0,0,grocery_chain_data[[#This Row],[Final Amount]])</f>
        <v>27</v>
      </c>
    </row>
    <row r="1156" spans="1:13" x14ac:dyDescent="0.3">
      <c r="A1156">
        <v>6781</v>
      </c>
      <c r="B1156" t="s">
        <v>21</v>
      </c>
      <c r="C1156" s="1">
        <v>45182</v>
      </c>
      <c r="D1156" s="1" t="str">
        <f t="shared" si="18"/>
        <v>Produce</v>
      </c>
      <c r="E1156" t="s">
        <v>14</v>
      </c>
      <c r="F1156" s="2">
        <v>5</v>
      </c>
      <c r="G1156" s="3">
        <v>10</v>
      </c>
      <c r="H1156" s="3">
        <f>grocery_chain_data[[#This Row],[Quantity]]*grocery_chain_data[[#This Row],[Unit Price]]</f>
        <v>50</v>
      </c>
      <c r="I1156" s="3">
        <v>4</v>
      </c>
      <c r="J1156" s="3">
        <f>grocery_chain_data[[#This Row],[Total Amount]]-grocery_chain_data[[#This Row],[Discount Amount]]</f>
        <v>46</v>
      </c>
      <c r="K1156">
        <v>226</v>
      </c>
      <c r="L1156" t="str">
        <f>IF(grocery_chain_data[[#This Row],[Final Amount]]&lt;0,"Return","Sale")</f>
        <v>Sale</v>
      </c>
      <c r="M1156">
        <f>IF(grocery_chain_data[[#This Row],[Final Amount]]&lt;0,0,grocery_chain_data[[#This Row],[Final Amount]])</f>
        <v>46</v>
      </c>
    </row>
    <row r="1157" spans="1:13" x14ac:dyDescent="0.3">
      <c r="A1157">
        <v>1828</v>
      </c>
      <c r="B1157" t="s">
        <v>0</v>
      </c>
      <c r="C1157" s="1">
        <v>45363</v>
      </c>
      <c r="D1157" s="1" t="str">
        <f t="shared" si="18"/>
        <v>Dairy</v>
      </c>
      <c r="E1157" t="s">
        <v>19</v>
      </c>
      <c r="F1157" s="2">
        <v>2</v>
      </c>
      <c r="G1157" s="3">
        <v>28</v>
      </c>
      <c r="H1157" s="3">
        <f>grocery_chain_data[[#This Row],[Quantity]]*grocery_chain_data[[#This Row],[Unit Price]]</f>
        <v>56</v>
      </c>
      <c r="I1157" s="3">
        <v>11</v>
      </c>
      <c r="J1157" s="3">
        <f>grocery_chain_data[[#This Row],[Total Amount]]-grocery_chain_data[[#This Row],[Discount Amount]]</f>
        <v>45</v>
      </c>
      <c r="K1157">
        <v>64</v>
      </c>
      <c r="L1157" t="str">
        <f>IF(grocery_chain_data[[#This Row],[Final Amount]]&lt;0,"Return","Sale")</f>
        <v>Sale</v>
      </c>
      <c r="M1157">
        <f>IF(grocery_chain_data[[#This Row],[Final Amount]]&lt;0,0,grocery_chain_data[[#This Row],[Final Amount]])</f>
        <v>45</v>
      </c>
    </row>
    <row r="1158" spans="1:13" x14ac:dyDescent="0.3">
      <c r="A1158">
        <v>9108</v>
      </c>
      <c r="B1158" t="s">
        <v>2</v>
      </c>
      <c r="C1158" s="1">
        <v>45609</v>
      </c>
      <c r="D1158" s="1" t="str">
        <f t="shared" si="18"/>
        <v>Meat &amp; Seafood</v>
      </c>
      <c r="E1158" t="s">
        <v>9</v>
      </c>
      <c r="F1158" s="2">
        <v>5</v>
      </c>
      <c r="G1158" s="3">
        <v>3</v>
      </c>
      <c r="H1158" s="3">
        <f>grocery_chain_data[[#This Row],[Quantity]]*grocery_chain_data[[#This Row],[Unit Price]]</f>
        <v>15</v>
      </c>
      <c r="I1158" s="3">
        <v>2</v>
      </c>
      <c r="J1158" s="3">
        <f>grocery_chain_data[[#This Row],[Total Amount]]-grocery_chain_data[[#This Row],[Discount Amount]]</f>
        <v>13</v>
      </c>
      <c r="K1158">
        <v>371</v>
      </c>
      <c r="L1158" t="str">
        <f>IF(grocery_chain_data[[#This Row],[Final Amount]]&lt;0,"Return","Sale")</f>
        <v>Sale</v>
      </c>
      <c r="M1158">
        <f>IF(grocery_chain_data[[#This Row],[Final Amount]]&lt;0,0,grocery_chain_data[[#This Row],[Final Amount]])</f>
        <v>13</v>
      </c>
    </row>
    <row r="1159" spans="1:13" x14ac:dyDescent="0.3">
      <c r="A1159">
        <v>8710</v>
      </c>
      <c r="B1159" t="s">
        <v>5</v>
      </c>
      <c r="C1159" s="1">
        <v>45366</v>
      </c>
      <c r="D1159" s="1" t="str">
        <f t="shared" si="18"/>
        <v>Meat &amp; Seafood</v>
      </c>
      <c r="E1159" t="s">
        <v>9</v>
      </c>
      <c r="F1159" s="2">
        <v>4</v>
      </c>
      <c r="G1159" s="3">
        <v>6</v>
      </c>
      <c r="H1159" s="3">
        <f>grocery_chain_data[[#This Row],[Quantity]]*grocery_chain_data[[#This Row],[Unit Price]]</f>
        <v>24</v>
      </c>
      <c r="I1159" s="3">
        <v>4</v>
      </c>
      <c r="J1159" s="3">
        <f>grocery_chain_data[[#This Row],[Total Amount]]-grocery_chain_data[[#This Row],[Discount Amount]]</f>
        <v>20</v>
      </c>
      <c r="K1159">
        <v>127</v>
      </c>
      <c r="L1159" t="str">
        <f>IF(grocery_chain_data[[#This Row],[Final Amount]]&lt;0,"Return","Sale")</f>
        <v>Sale</v>
      </c>
      <c r="M1159">
        <f>IF(grocery_chain_data[[#This Row],[Final Amount]]&lt;0,0,grocery_chain_data[[#This Row],[Final Amount]])</f>
        <v>20</v>
      </c>
    </row>
    <row r="1160" spans="1:13" x14ac:dyDescent="0.3">
      <c r="A1160">
        <v>9793</v>
      </c>
      <c r="B1160" t="s">
        <v>10</v>
      </c>
      <c r="C1160" s="1">
        <v>45151</v>
      </c>
      <c r="D1160" s="1" t="str">
        <f t="shared" si="18"/>
        <v>Dairy</v>
      </c>
      <c r="E1160" t="s">
        <v>23</v>
      </c>
      <c r="F1160" s="2">
        <v>3</v>
      </c>
      <c r="G1160" s="3">
        <v>26</v>
      </c>
      <c r="H1160" s="3">
        <f>grocery_chain_data[[#This Row],[Quantity]]*grocery_chain_data[[#This Row],[Unit Price]]</f>
        <v>78</v>
      </c>
      <c r="I1160" s="3">
        <v>12</v>
      </c>
      <c r="J1160" s="3">
        <f>grocery_chain_data[[#This Row],[Total Amount]]-grocery_chain_data[[#This Row],[Discount Amount]]</f>
        <v>66</v>
      </c>
      <c r="K1160">
        <v>246</v>
      </c>
      <c r="L1160" t="str">
        <f>IF(grocery_chain_data[[#This Row],[Final Amount]]&lt;0,"Return","Sale")</f>
        <v>Sale</v>
      </c>
      <c r="M1160">
        <f>IF(grocery_chain_data[[#This Row],[Final Amount]]&lt;0,0,grocery_chain_data[[#This Row],[Final Amount]])</f>
        <v>66</v>
      </c>
    </row>
    <row r="1161" spans="1:13" x14ac:dyDescent="0.3">
      <c r="A1161">
        <v>2761</v>
      </c>
      <c r="B1161" t="s">
        <v>8</v>
      </c>
      <c r="C1161" s="1">
        <v>45479</v>
      </c>
      <c r="D1161" s="1" t="str">
        <f t="shared" si="18"/>
        <v>Produce</v>
      </c>
      <c r="E1161" t="s">
        <v>11</v>
      </c>
      <c r="F1161" s="2">
        <v>4</v>
      </c>
      <c r="G1161" s="3">
        <v>14</v>
      </c>
      <c r="H1161" s="3">
        <f>grocery_chain_data[[#This Row],[Quantity]]*grocery_chain_data[[#This Row],[Unit Price]]</f>
        <v>56</v>
      </c>
      <c r="I1161" s="3">
        <v>11</v>
      </c>
      <c r="J1161" s="3">
        <f>grocery_chain_data[[#This Row],[Total Amount]]-grocery_chain_data[[#This Row],[Discount Amount]]</f>
        <v>45</v>
      </c>
      <c r="K1161">
        <v>258</v>
      </c>
      <c r="L1161" t="str">
        <f>IF(grocery_chain_data[[#This Row],[Final Amount]]&lt;0,"Return","Sale")</f>
        <v>Sale</v>
      </c>
      <c r="M1161">
        <f>IF(grocery_chain_data[[#This Row],[Final Amount]]&lt;0,0,grocery_chain_data[[#This Row],[Final Amount]])</f>
        <v>45</v>
      </c>
    </row>
    <row r="1162" spans="1:13" x14ac:dyDescent="0.3">
      <c r="A1162">
        <v>3194</v>
      </c>
      <c r="B1162" t="s">
        <v>10</v>
      </c>
      <c r="C1162" s="1">
        <v>45830</v>
      </c>
      <c r="D1162" s="1" t="str">
        <f t="shared" si="18"/>
        <v>Produce</v>
      </c>
      <c r="E1162" t="s">
        <v>14</v>
      </c>
      <c r="F1162" s="2">
        <v>4</v>
      </c>
      <c r="G1162" s="3">
        <v>26</v>
      </c>
      <c r="H1162" s="3">
        <f>grocery_chain_data[[#This Row],[Quantity]]*grocery_chain_data[[#This Row],[Unit Price]]</f>
        <v>104</v>
      </c>
      <c r="I1162" s="3">
        <v>3</v>
      </c>
      <c r="J1162" s="3">
        <f>grocery_chain_data[[#This Row],[Total Amount]]-grocery_chain_data[[#This Row],[Discount Amount]]</f>
        <v>101</v>
      </c>
      <c r="K1162">
        <v>388</v>
      </c>
      <c r="L1162" t="str">
        <f>IF(grocery_chain_data[[#This Row],[Final Amount]]&lt;0,"Return","Sale")</f>
        <v>Sale</v>
      </c>
      <c r="M1162">
        <f>IF(grocery_chain_data[[#This Row],[Final Amount]]&lt;0,0,grocery_chain_data[[#This Row],[Final Amount]])</f>
        <v>101</v>
      </c>
    </row>
    <row r="1163" spans="1:13" x14ac:dyDescent="0.3">
      <c r="A1163">
        <v>5333</v>
      </c>
      <c r="B1163" t="s">
        <v>2</v>
      </c>
      <c r="C1163" s="1">
        <v>45710</v>
      </c>
      <c r="D1163" s="1" t="str">
        <f t="shared" si="18"/>
        <v>Pantry</v>
      </c>
      <c r="E1163" t="s">
        <v>1</v>
      </c>
      <c r="F1163" s="2">
        <v>4</v>
      </c>
      <c r="G1163" s="3">
        <v>14</v>
      </c>
      <c r="H1163" s="3">
        <f>grocery_chain_data[[#This Row],[Quantity]]*grocery_chain_data[[#This Row],[Unit Price]]</f>
        <v>56</v>
      </c>
      <c r="I1163" s="3">
        <v>6</v>
      </c>
      <c r="J1163" s="3">
        <f>grocery_chain_data[[#This Row],[Total Amount]]-grocery_chain_data[[#This Row],[Discount Amount]]</f>
        <v>50</v>
      </c>
      <c r="K1163">
        <v>232</v>
      </c>
      <c r="L1163" t="str">
        <f>IF(grocery_chain_data[[#This Row],[Final Amount]]&lt;0,"Return","Sale")</f>
        <v>Sale</v>
      </c>
      <c r="M1163">
        <f>IF(grocery_chain_data[[#This Row],[Final Amount]]&lt;0,0,grocery_chain_data[[#This Row],[Final Amount]])</f>
        <v>50</v>
      </c>
    </row>
    <row r="1164" spans="1:13" x14ac:dyDescent="0.3">
      <c r="A1164">
        <v>6992</v>
      </c>
      <c r="B1164" t="s">
        <v>2</v>
      </c>
      <c r="C1164" s="1">
        <v>45738</v>
      </c>
      <c r="D1164" s="1" t="str">
        <f t="shared" si="18"/>
        <v>Produce</v>
      </c>
      <c r="E1164" t="s">
        <v>25</v>
      </c>
      <c r="F1164" s="2">
        <v>1</v>
      </c>
      <c r="G1164" s="3">
        <v>11</v>
      </c>
      <c r="H1164" s="3">
        <f>grocery_chain_data[[#This Row],[Quantity]]*grocery_chain_data[[#This Row],[Unit Price]]</f>
        <v>11</v>
      </c>
      <c r="I1164" s="3">
        <v>2</v>
      </c>
      <c r="J1164" s="3">
        <f>grocery_chain_data[[#This Row],[Total Amount]]-grocery_chain_data[[#This Row],[Discount Amount]]</f>
        <v>9</v>
      </c>
      <c r="K1164">
        <v>366</v>
      </c>
      <c r="L1164" t="str">
        <f>IF(grocery_chain_data[[#This Row],[Final Amount]]&lt;0,"Return","Sale")</f>
        <v>Sale</v>
      </c>
      <c r="M1164">
        <f>IF(grocery_chain_data[[#This Row],[Final Amount]]&lt;0,0,grocery_chain_data[[#This Row],[Final Amount]])</f>
        <v>9</v>
      </c>
    </row>
    <row r="1165" spans="1:13" x14ac:dyDescent="0.3">
      <c r="A1165">
        <v>7606</v>
      </c>
      <c r="B1165" t="s">
        <v>5</v>
      </c>
      <c r="C1165" s="1">
        <v>45429</v>
      </c>
      <c r="D1165" s="1" t="str">
        <f t="shared" si="18"/>
        <v>Produce</v>
      </c>
      <c r="E1165" t="s">
        <v>18</v>
      </c>
      <c r="F1165" s="2">
        <v>1</v>
      </c>
      <c r="G1165" s="3">
        <v>26</v>
      </c>
      <c r="H1165" s="3">
        <f>grocery_chain_data[[#This Row],[Quantity]]*grocery_chain_data[[#This Row],[Unit Price]]</f>
        <v>26</v>
      </c>
      <c r="I1165" s="3">
        <v>3</v>
      </c>
      <c r="J1165" s="3">
        <f>grocery_chain_data[[#This Row],[Total Amount]]-grocery_chain_data[[#This Row],[Discount Amount]]</f>
        <v>23</v>
      </c>
      <c r="K1165">
        <v>373</v>
      </c>
      <c r="L1165" t="str">
        <f>IF(grocery_chain_data[[#This Row],[Final Amount]]&lt;0,"Return","Sale")</f>
        <v>Sale</v>
      </c>
      <c r="M1165">
        <f>IF(grocery_chain_data[[#This Row],[Final Amount]]&lt;0,0,grocery_chain_data[[#This Row],[Final Amount]])</f>
        <v>23</v>
      </c>
    </row>
    <row r="1166" spans="1:13" x14ac:dyDescent="0.3">
      <c r="A1166">
        <v>1741</v>
      </c>
      <c r="B1166" t="s">
        <v>8</v>
      </c>
      <c r="C1166" s="1">
        <v>45456</v>
      </c>
      <c r="D1166" s="1" t="str">
        <f t="shared" si="18"/>
        <v>Produce</v>
      </c>
      <c r="E1166" t="s">
        <v>14</v>
      </c>
      <c r="F1166" s="2">
        <v>3</v>
      </c>
      <c r="G1166" s="3">
        <v>12</v>
      </c>
      <c r="H1166" s="3">
        <f>grocery_chain_data[[#This Row],[Quantity]]*grocery_chain_data[[#This Row],[Unit Price]]</f>
        <v>36</v>
      </c>
      <c r="I1166" s="3">
        <v>4</v>
      </c>
      <c r="J1166" s="3">
        <f>grocery_chain_data[[#This Row],[Total Amount]]-grocery_chain_data[[#This Row],[Discount Amount]]</f>
        <v>32</v>
      </c>
      <c r="K1166">
        <v>157</v>
      </c>
      <c r="L1166" t="str">
        <f>IF(grocery_chain_data[[#This Row],[Final Amount]]&lt;0,"Return","Sale")</f>
        <v>Sale</v>
      </c>
      <c r="M1166">
        <f>IF(grocery_chain_data[[#This Row],[Final Amount]]&lt;0,0,grocery_chain_data[[#This Row],[Final Amount]])</f>
        <v>32</v>
      </c>
    </row>
    <row r="1167" spans="1:13" x14ac:dyDescent="0.3">
      <c r="A1167">
        <v>1838</v>
      </c>
      <c r="B1167" t="s">
        <v>13</v>
      </c>
      <c r="C1167" s="1">
        <v>45587</v>
      </c>
      <c r="D1167" s="1" t="str">
        <f t="shared" si="18"/>
        <v>Produce</v>
      </c>
      <c r="E1167" t="s">
        <v>14</v>
      </c>
      <c r="F1167" s="2">
        <v>5</v>
      </c>
      <c r="G1167" s="3">
        <v>6</v>
      </c>
      <c r="H1167" s="3">
        <f>grocery_chain_data[[#This Row],[Quantity]]*grocery_chain_data[[#This Row],[Unit Price]]</f>
        <v>30</v>
      </c>
      <c r="I1167" s="3">
        <v>4</v>
      </c>
      <c r="J1167" s="3">
        <f>grocery_chain_data[[#This Row],[Total Amount]]-grocery_chain_data[[#This Row],[Discount Amount]]</f>
        <v>26</v>
      </c>
      <c r="K1167">
        <v>390</v>
      </c>
      <c r="L1167" t="str">
        <f>IF(grocery_chain_data[[#This Row],[Final Amount]]&lt;0,"Return","Sale")</f>
        <v>Sale</v>
      </c>
      <c r="M1167">
        <f>IF(grocery_chain_data[[#This Row],[Final Amount]]&lt;0,0,grocery_chain_data[[#This Row],[Final Amount]])</f>
        <v>26</v>
      </c>
    </row>
    <row r="1168" spans="1:13" x14ac:dyDescent="0.3">
      <c r="A1168">
        <v>4189</v>
      </c>
      <c r="B1168" t="s">
        <v>16</v>
      </c>
      <c r="C1168" s="1">
        <v>45426</v>
      </c>
      <c r="D1168" s="1" t="str">
        <f t="shared" si="18"/>
        <v>Produce</v>
      </c>
      <c r="E1168" t="s">
        <v>25</v>
      </c>
      <c r="F1168" s="2">
        <v>3</v>
      </c>
      <c r="G1168" s="3">
        <v>21</v>
      </c>
      <c r="H1168" s="3">
        <f>grocery_chain_data[[#This Row],[Quantity]]*grocery_chain_data[[#This Row],[Unit Price]]</f>
        <v>63</v>
      </c>
      <c r="I1168" s="3">
        <v>6</v>
      </c>
      <c r="J1168" s="3">
        <f>grocery_chain_data[[#This Row],[Total Amount]]-grocery_chain_data[[#This Row],[Discount Amount]]</f>
        <v>57</v>
      </c>
      <c r="K1168">
        <v>333</v>
      </c>
      <c r="L1168" t="str">
        <f>IF(grocery_chain_data[[#This Row],[Final Amount]]&lt;0,"Return","Sale")</f>
        <v>Sale</v>
      </c>
      <c r="M1168">
        <f>IF(grocery_chain_data[[#This Row],[Final Amount]]&lt;0,0,grocery_chain_data[[#This Row],[Final Amount]])</f>
        <v>57</v>
      </c>
    </row>
    <row r="1169" spans="1:13" x14ac:dyDescent="0.3">
      <c r="A1169">
        <v>5728</v>
      </c>
      <c r="B1169" t="s">
        <v>21</v>
      </c>
      <c r="C1169" s="1">
        <v>45202</v>
      </c>
      <c r="D1169" s="1" t="str">
        <f t="shared" si="18"/>
        <v>Produce</v>
      </c>
      <c r="E1169" t="s">
        <v>25</v>
      </c>
      <c r="F1169" s="2">
        <v>1</v>
      </c>
      <c r="G1169" s="3">
        <v>28</v>
      </c>
      <c r="H1169" s="3">
        <f>grocery_chain_data[[#This Row],[Quantity]]*grocery_chain_data[[#This Row],[Unit Price]]</f>
        <v>28</v>
      </c>
      <c r="I1169" s="3">
        <v>0</v>
      </c>
      <c r="J1169" s="3">
        <f>grocery_chain_data[[#This Row],[Total Amount]]-grocery_chain_data[[#This Row],[Discount Amount]]</f>
        <v>28</v>
      </c>
      <c r="K1169">
        <v>185</v>
      </c>
      <c r="L1169" t="str">
        <f>IF(grocery_chain_data[[#This Row],[Final Amount]]&lt;0,"Return","Sale")</f>
        <v>Sale</v>
      </c>
      <c r="M1169">
        <f>IF(grocery_chain_data[[#This Row],[Final Amount]]&lt;0,0,grocery_chain_data[[#This Row],[Final Amount]])</f>
        <v>28</v>
      </c>
    </row>
    <row r="1170" spans="1:13" x14ac:dyDescent="0.3">
      <c r="A1170">
        <v>7329</v>
      </c>
      <c r="B1170" t="s">
        <v>5</v>
      </c>
      <c r="C1170" s="1">
        <v>45536</v>
      </c>
      <c r="D1170" s="1" t="str">
        <f t="shared" si="18"/>
        <v>Meat &amp; Seafood</v>
      </c>
      <c r="E1170" t="s">
        <v>15</v>
      </c>
      <c r="F1170" s="2">
        <v>2</v>
      </c>
      <c r="G1170" s="3">
        <v>8</v>
      </c>
      <c r="H1170" s="3">
        <f>grocery_chain_data[[#This Row],[Quantity]]*grocery_chain_data[[#This Row],[Unit Price]]</f>
        <v>16</v>
      </c>
      <c r="I1170" s="3">
        <v>1</v>
      </c>
      <c r="J1170" s="3">
        <f>grocery_chain_data[[#This Row],[Total Amount]]-grocery_chain_data[[#This Row],[Discount Amount]]</f>
        <v>15</v>
      </c>
      <c r="K1170">
        <v>308</v>
      </c>
      <c r="L1170" t="str">
        <f>IF(grocery_chain_data[[#This Row],[Final Amount]]&lt;0,"Return","Sale")</f>
        <v>Sale</v>
      </c>
      <c r="M1170">
        <f>IF(grocery_chain_data[[#This Row],[Final Amount]]&lt;0,0,grocery_chain_data[[#This Row],[Final Amount]])</f>
        <v>15</v>
      </c>
    </row>
    <row r="1171" spans="1:13" x14ac:dyDescent="0.3">
      <c r="A1171">
        <v>8378</v>
      </c>
      <c r="B1171" t="s">
        <v>0</v>
      </c>
      <c r="C1171" s="1">
        <v>45738</v>
      </c>
      <c r="D1171" s="1" t="str">
        <f t="shared" si="18"/>
        <v>Produce</v>
      </c>
      <c r="E1171" t="s">
        <v>14</v>
      </c>
      <c r="F1171" s="2">
        <v>4</v>
      </c>
      <c r="G1171" s="3">
        <v>21</v>
      </c>
      <c r="H1171" s="3">
        <f>grocery_chain_data[[#This Row],[Quantity]]*grocery_chain_data[[#This Row],[Unit Price]]</f>
        <v>84</v>
      </c>
      <c r="I1171" s="3">
        <v>5</v>
      </c>
      <c r="J1171" s="3">
        <f>grocery_chain_data[[#This Row],[Total Amount]]-grocery_chain_data[[#This Row],[Discount Amount]]</f>
        <v>79</v>
      </c>
      <c r="K1171">
        <v>498</v>
      </c>
      <c r="L1171" t="str">
        <f>IF(grocery_chain_data[[#This Row],[Final Amount]]&lt;0,"Return","Sale")</f>
        <v>Sale</v>
      </c>
      <c r="M1171">
        <f>IF(grocery_chain_data[[#This Row],[Final Amount]]&lt;0,0,grocery_chain_data[[#This Row],[Final Amount]])</f>
        <v>79</v>
      </c>
    </row>
    <row r="1172" spans="1:13" x14ac:dyDescent="0.3">
      <c r="A1172">
        <v>5582</v>
      </c>
      <c r="B1172" t="s">
        <v>8</v>
      </c>
      <c r="C1172" s="1">
        <v>45786</v>
      </c>
      <c r="D1172" s="1" t="str">
        <f t="shared" si="18"/>
        <v>Dairy</v>
      </c>
      <c r="E1172" t="s">
        <v>3</v>
      </c>
      <c r="F1172" s="2">
        <v>3</v>
      </c>
      <c r="G1172" s="3">
        <v>21</v>
      </c>
      <c r="H1172" s="3">
        <f>grocery_chain_data[[#This Row],[Quantity]]*grocery_chain_data[[#This Row],[Unit Price]]</f>
        <v>63</v>
      </c>
      <c r="I1172" s="3">
        <v>2</v>
      </c>
      <c r="J1172" s="3">
        <f>grocery_chain_data[[#This Row],[Total Amount]]-grocery_chain_data[[#This Row],[Discount Amount]]</f>
        <v>61</v>
      </c>
      <c r="K1172">
        <v>256</v>
      </c>
      <c r="L1172" t="str">
        <f>IF(grocery_chain_data[[#This Row],[Final Amount]]&lt;0,"Return","Sale")</f>
        <v>Sale</v>
      </c>
      <c r="M1172">
        <f>IF(grocery_chain_data[[#This Row],[Final Amount]]&lt;0,0,grocery_chain_data[[#This Row],[Final Amount]])</f>
        <v>61</v>
      </c>
    </row>
    <row r="1173" spans="1:13" x14ac:dyDescent="0.3">
      <c r="A1173">
        <v>2946</v>
      </c>
      <c r="B1173" t="s">
        <v>8</v>
      </c>
      <c r="C1173" s="1">
        <v>45244</v>
      </c>
      <c r="D1173" s="1" t="str">
        <f t="shared" si="18"/>
        <v>Meat &amp; Seafood</v>
      </c>
      <c r="E1173" t="s">
        <v>26</v>
      </c>
      <c r="F1173" s="2">
        <v>5</v>
      </c>
      <c r="G1173" s="3">
        <v>24</v>
      </c>
      <c r="H1173" s="3">
        <f>grocery_chain_data[[#This Row],[Quantity]]*grocery_chain_data[[#This Row],[Unit Price]]</f>
        <v>120</v>
      </c>
      <c r="I1173" s="3">
        <v>18</v>
      </c>
      <c r="J1173" s="3">
        <f>grocery_chain_data[[#This Row],[Total Amount]]-grocery_chain_data[[#This Row],[Discount Amount]]</f>
        <v>102</v>
      </c>
      <c r="K1173">
        <v>176</v>
      </c>
      <c r="L1173" t="str">
        <f>IF(grocery_chain_data[[#This Row],[Final Amount]]&lt;0,"Return","Sale")</f>
        <v>Sale</v>
      </c>
      <c r="M1173">
        <f>IF(grocery_chain_data[[#This Row],[Final Amount]]&lt;0,0,grocery_chain_data[[#This Row],[Final Amount]])</f>
        <v>102</v>
      </c>
    </row>
    <row r="1174" spans="1:13" x14ac:dyDescent="0.3">
      <c r="A1174">
        <v>2584</v>
      </c>
      <c r="B1174" t="s">
        <v>21</v>
      </c>
      <c r="C1174" s="1">
        <v>45450</v>
      </c>
      <c r="D1174" s="1" t="str">
        <f t="shared" si="18"/>
        <v>Produce</v>
      </c>
      <c r="E1174" t="s">
        <v>17</v>
      </c>
      <c r="F1174" s="2">
        <v>1</v>
      </c>
      <c r="G1174" s="3">
        <v>30</v>
      </c>
      <c r="H1174" s="3">
        <f>grocery_chain_data[[#This Row],[Quantity]]*grocery_chain_data[[#This Row],[Unit Price]]</f>
        <v>30</v>
      </c>
      <c r="I1174" s="3">
        <v>1</v>
      </c>
      <c r="J1174" s="3">
        <f>grocery_chain_data[[#This Row],[Total Amount]]-grocery_chain_data[[#This Row],[Discount Amount]]</f>
        <v>29</v>
      </c>
      <c r="K1174">
        <v>417</v>
      </c>
      <c r="L1174" t="str">
        <f>IF(grocery_chain_data[[#This Row],[Final Amount]]&lt;0,"Return","Sale")</f>
        <v>Sale</v>
      </c>
      <c r="M1174">
        <f>IF(grocery_chain_data[[#This Row],[Final Amount]]&lt;0,0,grocery_chain_data[[#This Row],[Final Amount]])</f>
        <v>29</v>
      </c>
    </row>
    <row r="1175" spans="1:13" x14ac:dyDescent="0.3">
      <c r="A1175">
        <v>7114</v>
      </c>
      <c r="B1175" t="s">
        <v>8</v>
      </c>
      <c r="C1175" s="1">
        <v>45762</v>
      </c>
      <c r="D1175" s="1" t="str">
        <f t="shared" si="18"/>
        <v>Dairy</v>
      </c>
      <c r="E1175" t="s">
        <v>3</v>
      </c>
      <c r="F1175" s="2">
        <v>3</v>
      </c>
      <c r="G1175" s="3">
        <v>22</v>
      </c>
      <c r="H1175" s="3">
        <f>grocery_chain_data[[#This Row],[Quantity]]*grocery_chain_data[[#This Row],[Unit Price]]</f>
        <v>66</v>
      </c>
      <c r="I1175" s="3">
        <v>10</v>
      </c>
      <c r="J1175" s="3">
        <f>grocery_chain_data[[#This Row],[Total Amount]]-grocery_chain_data[[#This Row],[Discount Amount]]</f>
        <v>56</v>
      </c>
      <c r="K1175">
        <v>87</v>
      </c>
      <c r="L1175" t="str">
        <f>IF(grocery_chain_data[[#This Row],[Final Amount]]&lt;0,"Return","Sale")</f>
        <v>Sale</v>
      </c>
      <c r="M1175">
        <f>IF(grocery_chain_data[[#This Row],[Final Amount]]&lt;0,0,grocery_chain_data[[#This Row],[Final Amount]])</f>
        <v>56</v>
      </c>
    </row>
    <row r="1176" spans="1:13" x14ac:dyDescent="0.3">
      <c r="A1176">
        <v>6555</v>
      </c>
      <c r="B1176" t="s">
        <v>5</v>
      </c>
      <c r="C1176" s="1">
        <v>45578</v>
      </c>
      <c r="D1176" s="1" t="str">
        <f t="shared" si="18"/>
        <v>Dairy</v>
      </c>
      <c r="E1176" t="s">
        <v>23</v>
      </c>
      <c r="F1176" s="2">
        <v>4</v>
      </c>
      <c r="G1176" s="3">
        <v>6</v>
      </c>
      <c r="H1176" s="3">
        <f>grocery_chain_data[[#This Row],[Quantity]]*grocery_chain_data[[#This Row],[Unit Price]]</f>
        <v>24</v>
      </c>
      <c r="I1176" s="3">
        <v>3</v>
      </c>
      <c r="J1176" s="3">
        <f>grocery_chain_data[[#This Row],[Total Amount]]-grocery_chain_data[[#This Row],[Discount Amount]]</f>
        <v>21</v>
      </c>
      <c r="K1176">
        <v>485</v>
      </c>
      <c r="L1176" t="str">
        <f>IF(grocery_chain_data[[#This Row],[Final Amount]]&lt;0,"Return","Sale")</f>
        <v>Sale</v>
      </c>
      <c r="M1176">
        <f>IF(grocery_chain_data[[#This Row],[Final Amount]]&lt;0,0,grocery_chain_data[[#This Row],[Final Amount]])</f>
        <v>21</v>
      </c>
    </row>
    <row r="1177" spans="1:13" x14ac:dyDescent="0.3">
      <c r="A1177">
        <v>6990</v>
      </c>
      <c r="B1177" t="s">
        <v>21</v>
      </c>
      <c r="C1177" s="1">
        <v>45731</v>
      </c>
      <c r="D1177" s="1" t="str">
        <f t="shared" si="18"/>
        <v>Dairy</v>
      </c>
      <c r="E1177" t="s">
        <v>23</v>
      </c>
      <c r="F1177" s="2">
        <v>1</v>
      </c>
      <c r="G1177" s="3">
        <v>23</v>
      </c>
      <c r="H1177" s="3">
        <f>grocery_chain_data[[#This Row],[Quantity]]*grocery_chain_data[[#This Row],[Unit Price]]</f>
        <v>23</v>
      </c>
      <c r="I1177" s="3">
        <v>3</v>
      </c>
      <c r="J1177" s="3">
        <f>grocery_chain_data[[#This Row],[Total Amount]]-grocery_chain_data[[#This Row],[Discount Amount]]</f>
        <v>20</v>
      </c>
      <c r="K1177">
        <v>414</v>
      </c>
      <c r="L1177" t="str">
        <f>IF(grocery_chain_data[[#This Row],[Final Amount]]&lt;0,"Return","Sale")</f>
        <v>Sale</v>
      </c>
      <c r="M1177">
        <f>IF(grocery_chain_data[[#This Row],[Final Amount]]&lt;0,0,grocery_chain_data[[#This Row],[Final Amount]])</f>
        <v>20</v>
      </c>
    </row>
    <row r="1178" spans="1:13" x14ac:dyDescent="0.3">
      <c r="A1178">
        <v>3363</v>
      </c>
      <c r="B1178" t="s">
        <v>8</v>
      </c>
      <c r="C1178" s="1">
        <v>45299</v>
      </c>
      <c r="D1178" s="1" t="str">
        <f t="shared" si="18"/>
        <v>Meat &amp; Seafood</v>
      </c>
      <c r="E1178" t="s">
        <v>26</v>
      </c>
      <c r="F1178" s="2">
        <v>2</v>
      </c>
      <c r="G1178" s="3">
        <v>3</v>
      </c>
      <c r="H1178" s="3">
        <f>grocery_chain_data[[#This Row],[Quantity]]*grocery_chain_data[[#This Row],[Unit Price]]</f>
        <v>6</v>
      </c>
      <c r="I1178" s="3">
        <v>2</v>
      </c>
      <c r="J1178" s="3">
        <f>grocery_chain_data[[#This Row],[Total Amount]]-grocery_chain_data[[#This Row],[Discount Amount]]</f>
        <v>4</v>
      </c>
      <c r="K1178">
        <v>43</v>
      </c>
      <c r="L1178" t="str">
        <f>IF(grocery_chain_data[[#This Row],[Final Amount]]&lt;0,"Return","Sale")</f>
        <v>Sale</v>
      </c>
      <c r="M1178">
        <f>IF(grocery_chain_data[[#This Row],[Final Amount]]&lt;0,0,grocery_chain_data[[#This Row],[Final Amount]])</f>
        <v>4</v>
      </c>
    </row>
    <row r="1179" spans="1:13" x14ac:dyDescent="0.3">
      <c r="A1179">
        <v>9341</v>
      </c>
      <c r="B1179" t="s">
        <v>16</v>
      </c>
      <c r="C1179" s="1">
        <v>45456</v>
      </c>
      <c r="D1179" s="1" t="str">
        <f t="shared" si="18"/>
        <v>Meat &amp; Seafood</v>
      </c>
      <c r="E1179" t="s">
        <v>9</v>
      </c>
      <c r="F1179" s="2">
        <v>4</v>
      </c>
      <c r="G1179" s="3">
        <v>15</v>
      </c>
      <c r="H1179" s="3">
        <f>grocery_chain_data[[#This Row],[Quantity]]*grocery_chain_data[[#This Row],[Unit Price]]</f>
        <v>60</v>
      </c>
      <c r="I1179" s="3">
        <v>1</v>
      </c>
      <c r="J1179" s="3">
        <f>grocery_chain_data[[#This Row],[Total Amount]]-grocery_chain_data[[#This Row],[Discount Amount]]</f>
        <v>59</v>
      </c>
      <c r="K1179">
        <v>389</v>
      </c>
      <c r="L1179" t="str">
        <f>IF(grocery_chain_data[[#This Row],[Final Amount]]&lt;0,"Return","Sale")</f>
        <v>Sale</v>
      </c>
      <c r="M1179">
        <f>IF(grocery_chain_data[[#This Row],[Final Amount]]&lt;0,0,grocery_chain_data[[#This Row],[Final Amount]])</f>
        <v>59</v>
      </c>
    </row>
    <row r="1180" spans="1:13" x14ac:dyDescent="0.3">
      <c r="A1180">
        <v>9193</v>
      </c>
      <c r="B1180" t="s">
        <v>13</v>
      </c>
      <c r="C1180" s="1">
        <v>45176</v>
      </c>
      <c r="D1180" s="1" t="str">
        <f t="shared" si="18"/>
        <v>Dairy</v>
      </c>
      <c r="E1180" t="s">
        <v>19</v>
      </c>
      <c r="F1180" s="2">
        <v>1</v>
      </c>
      <c r="G1180" s="3">
        <v>7</v>
      </c>
      <c r="H1180" s="3">
        <f>grocery_chain_data[[#This Row],[Quantity]]*grocery_chain_data[[#This Row],[Unit Price]]</f>
        <v>7</v>
      </c>
      <c r="I1180" s="3">
        <v>1</v>
      </c>
      <c r="J1180" s="3">
        <f>grocery_chain_data[[#This Row],[Total Amount]]-grocery_chain_data[[#This Row],[Discount Amount]]</f>
        <v>6</v>
      </c>
      <c r="K1180">
        <v>405</v>
      </c>
      <c r="L1180" t="str">
        <f>IF(grocery_chain_data[[#This Row],[Final Amount]]&lt;0,"Return","Sale")</f>
        <v>Sale</v>
      </c>
      <c r="M1180">
        <f>IF(grocery_chain_data[[#This Row],[Final Amount]]&lt;0,0,grocery_chain_data[[#This Row],[Final Amount]])</f>
        <v>6</v>
      </c>
    </row>
    <row r="1181" spans="1:13" x14ac:dyDescent="0.3">
      <c r="A1181">
        <v>1742</v>
      </c>
      <c r="B1181" t="s">
        <v>2</v>
      </c>
      <c r="C1181" s="1">
        <v>45175</v>
      </c>
      <c r="D1181" s="1" t="str">
        <f t="shared" si="18"/>
        <v>Produce</v>
      </c>
      <c r="E1181" t="s">
        <v>25</v>
      </c>
      <c r="F1181" s="2">
        <v>4</v>
      </c>
      <c r="G1181" s="3">
        <v>23</v>
      </c>
      <c r="H1181" s="3">
        <f>grocery_chain_data[[#This Row],[Quantity]]*grocery_chain_data[[#This Row],[Unit Price]]</f>
        <v>92</v>
      </c>
      <c r="I1181" s="3">
        <v>14</v>
      </c>
      <c r="J1181" s="3">
        <f>grocery_chain_data[[#This Row],[Total Amount]]-grocery_chain_data[[#This Row],[Discount Amount]]</f>
        <v>78</v>
      </c>
      <c r="K1181">
        <v>309</v>
      </c>
      <c r="L1181" t="str">
        <f>IF(grocery_chain_data[[#This Row],[Final Amount]]&lt;0,"Return","Sale")</f>
        <v>Sale</v>
      </c>
      <c r="M1181">
        <f>IF(grocery_chain_data[[#This Row],[Final Amount]]&lt;0,0,grocery_chain_data[[#This Row],[Final Amount]])</f>
        <v>78</v>
      </c>
    </row>
    <row r="1182" spans="1:13" x14ac:dyDescent="0.3">
      <c r="A1182">
        <v>3245</v>
      </c>
      <c r="B1182" t="s">
        <v>16</v>
      </c>
      <c r="C1182" s="1">
        <v>45699</v>
      </c>
      <c r="D1182" s="1" t="str">
        <f t="shared" si="18"/>
        <v>Pantry</v>
      </c>
      <c r="E1182" t="s">
        <v>6</v>
      </c>
      <c r="F1182" s="2">
        <v>3</v>
      </c>
      <c r="G1182" s="3">
        <v>25</v>
      </c>
      <c r="H1182" s="3">
        <f>grocery_chain_data[[#This Row],[Quantity]]*grocery_chain_data[[#This Row],[Unit Price]]</f>
        <v>75</v>
      </c>
      <c r="I1182" s="3">
        <v>0</v>
      </c>
      <c r="J1182" s="3">
        <f>grocery_chain_data[[#This Row],[Total Amount]]-grocery_chain_data[[#This Row],[Discount Amount]]</f>
        <v>75</v>
      </c>
      <c r="K1182">
        <v>481</v>
      </c>
      <c r="L1182" t="str">
        <f>IF(grocery_chain_data[[#This Row],[Final Amount]]&lt;0,"Return","Sale")</f>
        <v>Sale</v>
      </c>
      <c r="M1182">
        <f>IF(grocery_chain_data[[#This Row],[Final Amount]]&lt;0,0,grocery_chain_data[[#This Row],[Final Amount]])</f>
        <v>75</v>
      </c>
    </row>
    <row r="1183" spans="1:13" x14ac:dyDescent="0.3">
      <c r="A1183">
        <v>6456</v>
      </c>
      <c r="B1183" t="s">
        <v>8</v>
      </c>
      <c r="C1183" s="1">
        <v>45769</v>
      </c>
      <c r="D1183" s="1" t="str">
        <f t="shared" si="18"/>
        <v>Dairy</v>
      </c>
      <c r="E1183" t="s">
        <v>19</v>
      </c>
      <c r="F1183" s="2">
        <v>3</v>
      </c>
      <c r="G1183" s="3">
        <v>26</v>
      </c>
      <c r="H1183" s="3">
        <f>grocery_chain_data[[#This Row],[Quantity]]*grocery_chain_data[[#This Row],[Unit Price]]</f>
        <v>78</v>
      </c>
      <c r="I1183" s="3">
        <v>3</v>
      </c>
      <c r="J1183" s="3">
        <f>grocery_chain_data[[#This Row],[Total Amount]]-grocery_chain_data[[#This Row],[Discount Amount]]</f>
        <v>75</v>
      </c>
      <c r="K1183">
        <v>412</v>
      </c>
      <c r="L1183" t="str">
        <f>IF(grocery_chain_data[[#This Row],[Final Amount]]&lt;0,"Return","Sale")</f>
        <v>Sale</v>
      </c>
      <c r="M1183">
        <f>IF(grocery_chain_data[[#This Row],[Final Amount]]&lt;0,0,grocery_chain_data[[#This Row],[Final Amount]])</f>
        <v>75</v>
      </c>
    </row>
    <row r="1184" spans="1:13" x14ac:dyDescent="0.3">
      <c r="A1184">
        <v>8761</v>
      </c>
      <c r="B1184" t="s">
        <v>8</v>
      </c>
      <c r="C1184" s="1">
        <v>45548</v>
      </c>
      <c r="D1184" s="1" t="str">
        <f t="shared" si="18"/>
        <v>Produce</v>
      </c>
      <c r="E1184" t="s">
        <v>18</v>
      </c>
      <c r="F1184" s="2">
        <v>5</v>
      </c>
      <c r="G1184" s="3">
        <v>5</v>
      </c>
      <c r="H1184" s="3">
        <f>grocery_chain_data[[#This Row],[Quantity]]*grocery_chain_data[[#This Row],[Unit Price]]</f>
        <v>25</v>
      </c>
      <c r="I1184" s="3">
        <v>0</v>
      </c>
      <c r="J1184" s="3">
        <f>grocery_chain_data[[#This Row],[Total Amount]]-grocery_chain_data[[#This Row],[Discount Amount]]</f>
        <v>25</v>
      </c>
      <c r="K1184">
        <v>271</v>
      </c>
      <c r="L1184" t="str">
        <f>IF(grocery_chain_data[[#This Row],[Final Amount]]&lt;0,"Return","Sale")</f>
        <v>Sale</v>
      </c>
      <c r="M1184">
        <f>IF(grocery_chain_data[[#This Row],[Final Amount]]&lt;0,0,grocery_chain_data[[#This Row],[Final Amount]])</f>
        <v>25</v>
      </c>
    </row>
    <row r="1185" spans="1:13" x14ac:dyDescent="0.3">
      <c r="A1185">
        <v>8487</v>
      </c>
      <c r="B1185" t="s">
        <v>21</v>
      </c>
      <c r="C1185" s="1">
        <v>45260</v>
      </c>
      <c r="D1185" s="1" t="str">
        <f t="shared" si="18"/>
        <v>Meat &amp; Seafood</v>
      </c>
      <c r="E1185" t="s">
        <v>15</v>
      </c>
      <c r="F1185" s="2">
        <v>5</v>
      </c>
      <c r="G1185" s="3">
        <v>21</v>
      </c>
      <c r="H1185" s="3">
        <f>grocery_chain_data[[#This Row],[Quantity]]*grocery_chain_data[[#This Row],[Unit Price]]</f>
        <v>105</v>
      </c>
      <c r="I1185" s="3">
        <v>3</v>
      </c>
      <c r="J1185" s="3">
        <f>grocery_chain_data[[#This Row],[Total Amount]]-grocery_chain_data[[#This Row],[Discount Amount]]</f>
        <v>102</v>
      </c>
      <c r="K1185">
        <v>445</v>
      </c>
      <c r="L1185" t="str">
        <f>IF(grocery_chain_data[[#This Row],[Final Amount]]&lt;0,"Return","Sale")</f>
        <v>Sale</v>
      </c>
      <c r="M1185">
        <f>IF(grocery_chain_data[[#This Row],[Final Amount]]&lt;0,0,grocery_chain_data[[#This Row],[Final Amount]])</f>
        <v>102</v>
      </c>
    </row>
    <row r="1186" spans="1:13" x14ac:dyDescent="0.3">
      <c r="A1186">
        <v>9446</v>
      </c>
      <c r="B1186" t="s">
        <v>21</v>
      </c>
      <c r="C1186" s="1">
        <v>45253</v>
      </c>
      <c r="D1186" s="1" t="str">
        <f t="shared" si="18"/>
        <v>Pantry</v>
      </c>
      <c r="E1186" t="s">
        <v>6</v>
      </c>
      <c r="F1186" s="2">
        <v>1</v>
      </c>
      <c r="G1186" s="3">
        <v>19</v>
      </c>
      <c r="H1186" s="3">
        <f>grocery_chain_data[[#This Row],[Quantity]]*grocery_chain_data[[#This Row],[Unit Price]]</f>
        <v>19</v>
      </c>
      <c r="I1186" s="3">
        <v>0</v>
      </c>
      <c r="J1186" s="3">
        <f>grocery_chain_data[[#This Row],[Total Amount]]-grocery_chain_data[[#This Row],[Discount Amount]]</f>
        <v>19</v>
      </c>
      <c r="K1186">
        <v>447</v>
      </c>
      <c r="L1186" t="str">
        <f>IF(grocery_chain_data[[#This Row],[Final Amount]]&lt;0,"Return","Sale")</f>
        <v>Sale</v>
      </c>
      <c r="M1186">
        <f>IF(grocery_chain_data[[#This Row],[Final Amount]]&lt;0,0,grocery_chain_data[[#This Row],[Final Amount]])</f>
        <v>19</v>
      </c>
    </row>
    <row r="1187" spans="1:13" x14ac:dyDescent="0.3">
      <c r="A1187">
        <v>6373</v>
      </c>
      <c r="B1187" t="s">
        <v>16</v>
      </c>
      <c r="C1187" s="1">
        <v>45868</v>
      </c>
      <c r="D1187" s="1" t="str">
        <f t="shared" si="18"/>
        <v>Meat &amp; Seafood</v>
      </c>
      <c r="E1187" t="s">
        <v>15</v>
      </c>
      <c r="F1187" s="2">
        <v>2</v>
      </c>
      <c r="G1187" s="3">
        <v>19</v>
      </c>
      <c r="H1187" s="3">
        <f>grocery_chain_data[[#This Row],[Quantity]]*grocery_chain_data[[#This Row],[Unit Price]]</f>
        <v>38</v>
      </c>
      <c r="I1187" s="3">
        <v>6</v>
      </c>
      <c r="J1187" s="3">
        <f>grocery_chain_data[[#This Row],[Total Amount]]-grocery_chain_data[[#This Row],[Discount Amount]]</f>
        <v>32</v>
      </c>
      <c r="K1187">
        <v>204</v>
      </c>
      <c r="L1187" t="str">
        <f>IF(grocery_chain_data[[#This Row],[Final Amount]]&lt;0,"Return","Sale")</f>
        <v>Sale</v>
      </c>
      <c r="M1187">
        <f>IF(grocery_chain_data[[#This Row],[Final Amount]]&lt;0,0,grocery_chain_data[[#This Row],[Final Amount]])</f>
        <v>32</v>
      </c>
    </row>
    <row r="1188" spans="1:13" x14ac:dyDescent="0.3">
      <c r="A1188">
        <v>6218</v>
      </c>
      <c r="B1188" t="s">
        <v>8</v>
      </c>
      <c r="C1188" s="1">
        <v>45271</v>
      </c>
      <c r="D1188" s="1" t="str">
        <f t="shared" si="18"/>
        <v>Meat &amp; Seafood</v>
      </c>
      <c r="E1188" t="s">
        <v>26</v>
      </c>
      <c r="F1188" s="2">
        <v>4</v>
      </c>
      <c r="G1188" s="3">
        <v>10</v>
      </c>
      <c r="H1188" s="3">
        <f>grocery_chain_data[[#This Row],[Quantity]]*grocery_chain_data[[#This Row],[Unit Price]]</f>
        <v>40</v>
      </c>
      <c r="I1188" s="3">
        <v>4</v>
      </c>
      <c r="J1188" s="3">
        <f>grocery_chain_data[[#This Row],[Total Amount]]-grocery_chain_data[[#This Row],[Discount Amount]]</f>
        <v>36</v>
      </c>
      <c r="K1188">
        <v>99</v>
      </c>
      <c r="L1188" t="str">
        <f>IF(grocery_chain_data[[#This Row],[Final Amount]]&lt;0,"Return","Sale")</f>
        <v>Sale</v>
      </c>
      <c r="M1188">
        <f>IF(grocery_chain_data[[#This Row],[Final Amount]]&lt;0,0,grocery_chain_data[[#This Row],[Final Amount]])</f>
        <v>36</v>
      </c>
    </row>
    <row r="1189" spans="1:13" x14ac:dyDescent="0.3">
      <c r="A1189">
        <v>7438</v>
      </c>
      <c r="B1189" t="s">
        <v>2</v>
      </c>
      <c r="C1189" s="1">
        <v>45623</v>
      </c>
      <c r="D1189" s="1" t="str">
        <f t="shared" si="18"/>
        <v>Dairy</v>
      </c>
      <c r="E1189" t="s">
        <v>20</v>
      </c>
      <c r="F1189" s="2">
        <v>4</v>
      </c>
      <c r="G1189" s="3">
        <v>24</v>
      </c>
      <c r="H1189" s="3">
        <f>grocery_chain_data[[#This Row],[Quantity]]*grocery_chain_data[[#This Row],[Unit Price]]</f>
        <v>96</v>
      </c>
      <c r="I1189" s="3">
        <v>19</v>
      </c>
      <c r="J1189" s="3">
        <f>grocery_chain_data[[#This Row],[Total Amount]]-grocery_chain_data[[#This Row],[Discount Amount]]</f>
        <v>77</v>
      </c>
      <c r="K1189">
        <v>154</v>
      </c>
      <c r="L1189" t="str">
        <f>IF(grocery_chain_data[[#This Row],[Final Amount]]&lt;0,"Return","Sale")</f>
        <v>Sale</v>
      </c>
      <c r="M1189">
        <f>IF(grocery_chain_data[[#This Row],[Final Amount]]&lt;0,0,grocery_chain_data[[#This Row],[Final Amount]])</f>
        <v>77</v>
      </c>
    </row>
    <row r="1190" spans="1:13" x14ac:dyDescent="0.3">
      <c r="A1190">
        <v>5902</v>
      </c>
      <c r="B1190" t="s">
        <v>10</v>
      </c>
      <c r="C1190" s="1">
        <v>45606</v>
      </c>
      <c r="D1190" s="1" t="str">
        <f t="shared" si="18"/>
        <v>Produce</v>
      </c>
      <c r="E1190" t="s">
        <v>25</v>
      </c>
      <c r="F1190" s="2">
        <v>5</v>
      </c>
      <c r="G1190" s="3">
        <v>8</v>
      </c>
      <c r="H1190" s="3">
        <f>grocery_chain_data[[#This Row],[Quantity]]*grocery_chain_data[[#This Row],[Unit Price]]</f>
        <v>40</v>
      </c>
      <c r="I1190" s="3">
        <v>0</v>
      </c>
      <c r="J1190" s="3">
        <f>grocery_chain_data[[#This Row],[Total Amount]]-grocery_chain_data[[#This Row],[Discount Amount]]</f>
        <v>40</v>
      </c>
      <c r="K1190">
        <v>108</v>
      </c>
      <c r="L1190" t="str">
        <f>IF(grocery_chain_data[[#This Row],[Final Amount]]&lt;0,"Return","Sale")</f>
        <v>Sale</v>
      </c>
      <c r="M1190">
        <f>IF(grocery_chain_data[[#This Row],[Final Amount]]&lt;0,0,grocery_chain_data[[#This Row],[Final Amount]])</f>
        <v>40</v>
      </c>
    </row>
    <row r="1191" spans="1:13" x14ac:dyDescent="0.3">
      <c r="A1191">
        <v>6511</v>
      </c>
      <c r="B1191" t="s">
        <v>0</v>
      </c>
      <c r="C1191" s="1">
        <v>45539</v>
      </c>
      <c r="D1191" s="1" t="str">
        <f t="shared" si="18"/>
        <v>Dairy</v>
      </c>
      <c r="E1191" t="s">
        <v>3</v>
      </c>
      <c r="F1191" s="2">
        <v>1</v>
      </c>
      <c r="G1191" s="3">
        <v>6</v>
      </c>
      <c r="H1191" s="3">
        <f>grocery_chain_data[[#This Row],[Quantity]]*grocery_chain_data[[#This Row],[Unit Price]]</f>
        <v>6</v>
      </c>
      <c r="I1191" s="3">
        <v>1</v>
      </c>
      <c r="J1191" s="3">
        <f>grocery_chain_data[[#This Row],[Total Amount]]-grocery_chain_data[[#This Row],[Discount Amount]]</f>
        <v>5</v>
      </c>
      <c r="K1191">
        <v>475</v>
      </c>
      <c r="L1191" t="str">
        <f>IF(grocery_chain_data[[#This Row],[Final Amount]]&lt;0,"Return","Sale")</f>
        <v>Sale</v>
      </c>
      <c r="M1191">
        <f>IF(grocery_chain_data[[#This Row],[Final Amount]]&lt;0,0,grocery_chain_data[[#This Row],[Final Amount]])</f>
        <v>5</v>
      </c>
    </row>
    <row r="1192" spans="1:13" x14ac:dyDescent="0.3">
      <c r="A1192">
        <v>9351</v>
      </c>
      <c r="B1192" t="s">
        <v>12</v>
      </c>
      <c r="C1192" s="1">
        <v>45558</v>
      </c>
      <c r="D1192" s="1" t="str">
        <f t="shared" si="18"/>
        <v>Pantry</v>
      </c>
      <c r="E1192" t="s">
        <v>1</v>
      </c>
      <c r="F1192" s="2">
        <v>4</v>
      </c>
      <c r="G1192" s="3">
        <v>29</v>
      </c>
      <c r="H1192" s="3">
        <f>grocery_chain_data[[#This Row],[Quantity]]*grocery_chain_data[[#This Row],[Unit Price]]</f>
        <v>116</v>
      </c>
      <c r="I1192" s="3">
        <v>0</v>
      </c>
      <c r="J1192" s="3">
        <f>grocery_chain_data[[#This Row],[Total Amount]]-grocery_chain_data[[#This Row],[Discount Amount]]</f>
        <v>116</v>
      </c>
      <c r="K1192">
        <v>343</v>
      </c>
      <c r="L1192" t="str">
        <f>IF(grocery_chain_data[[#This Row],[Final Amount]]&lt;0,"Return","Sale")</f>
        <v>Sale</v>
      </c>
      <c r="M1192">
        <f>IF(grocery_chain_data[[#This Row],[Final Amount]]&lt;0,0,grocery_chain_data[[#This Row],[Final Amount]])</f>
        <v>116</v>
      </c>
    </row>
    <row r="1193" spans="1:13" x14ac:dyDescent="0.3">
      <c r="A1193">
        <v>9025</v>
      </c>
      <c r="B1193" t="s">
        <v>5</v>
      </c>
      <c r="C1193" s="1">
        <v>45695</v>
      </c>
      <c r="D1193" s="1" t="str">
        <f t="shared" si="18"/>
        <v>Produce</v>
      </c>
      <c r="E1193" t="s">
        <v>25</v>
      </c>
      <c r="F1193" s="2">
        <v>1</v>
      </c>
      <c r="G1193" s="3">
        <v>24</v>
      </c>
      <c r="H1193" s="3">
        <f>grocery_chain_data[[#This Row],[Quantity]]*grocery_chain_data[[#This Row],[Unit Price]]</f>
        <v>24</v>
      </c>
      <c r="I1193" s="3">
        <v>4</v>
      </c>
      <c r="J1193" s="3">
        <f>grocery_chain_data[[#This Row],[Total Amount]]-grocery_chain_data[[#This Row],[Discount Amount]]</f>
        <v>20</v>
      </c>
      <c r="K1193">
        <v>170</v>
      </c>
      <c r="L1193" t="str">
        <f>IF(grocery_chain_data[[#This Row],[Final Amount]]&lt;0,"Return","Sale")</f>
        <v>Sale</v>
      </c>
      <c r="M1193">
        <f>IF(grocery_chain_data[[#This Row],[Final Amount]]&lt;0,0,grocery_chain_data[[#This Row],[Final Amount]])</f>
        <v>20</v>
      </c>
    </row>
    <row r="1194" spans="1:13" x14ac:dyDescent="0.3">
      <c r="A1194">
        <v>5911</v>
      </c>
      <c r="B1194" t="s">
        <v>0</v>
      </c>
      <c r="C1194" s="1">
        <v>45513</v>
      </c>
      <c r="D1194" s="1" t="str">
        <f t="shared" si="18"/>
        <v>Pantry</v>
      </c>
      <c r="E1194" t="s">
        <v>6</v>
      </c>
      <c r="F1194" s="2">
        <v>4</v>
      </c>
      <c r="G1194" s="3">
        <v>27</v>
      </c>
      <c r="H1194" s="3">
        <f>grocery_chain_data[[#This Row],[Quantity]]*grocery_chain_data[[#This Row],[Unit Price]]</f>
        <v>108</v>
      </c>
      <c r="I1194" s="3">
        <v>0</v>
      </c>
      <c r="J1194" s="3">
        <f>grocery_chain_data[[#This Row],[Total Amount]]-grocery_chain_data[[#This Row],[Discount Amount]]</f>
        <v>108</v>
      </c>
      <c r="K1194">
        <v>380</v>
      </c>
      <c r="L1194" t="str">
        <f>IF(grocery_chain_data[[#This Row],[Final Amount]]&lt;0,"Return","Sale")</f>
        <v>Sale</v>
      </c>
      <c r="M1194">
        <f>IF(grocery_chain_data[[#This Row],[Final Amount]]&lt;0,0,grocery_chain_data[[#This Row],[Final Amount]])</f>
        <v>108</v>
      </c>
    </row>
    <row r="1195" spans="1:13" x14ac:dyDescent="0.3">
      <c r="A1195">
        <v>1272</v>
      </c>
      <c r="B1195" t="s">
        <v>2</v>
      </c>
      <c r="C1195" s="1">
        <v>45431</v>
      </c>
      <c r="D1195" s="1" t="str">
        <f t="shared" si="18"/>
        <v>Meat &amp; Seafood</v>
      </c>
      <c r="E1195" t="s">
        <v>9</v>
      </c>
      <c r="F1195" s="2">
        <v>2</v>
      </c>
      <c r="G1195" s="3">
        <v>8</v>
      </c>
      <c r="H1195" s="3">
        <f>grocery_chain_data[[#This Row],[Quantity]]*grocery_chain_data[[#This Row],[Unit Price]]</f>
        <v>16</v>
      </c>
      <c r="I1195" s="3">
        <v>1</v>
      </c>
      <c r="J1195" s="3">
        <f>grocery_chain_data[[#This Row],[Total Amount]]-grocery_chain_data[[#This Row],[Discount Amount]]</f>
        <v>15</v>
      </c>
      <c r="K1195">
        <v>148</v>
      </c>
      <c r="L1195" t="str">
        <f>IF(grocery_chain_data[[#This Row],[Final Amount]]&lt;0,"Return","Sale")</f>
        <v>Sale</v>
      </c>
      <c r="M1195">
        <f>IF(grocery_chain_data[[#This Row],[Final Amount]]&lt;0,0,grocery_chain_data[[#This Row],[Final Amount]])</f>
        <v>15</v>
      </c>
    </row>
    <row r="1196" spans="1:13" x14ac:dyDescent="0.3">
      <c r="A1196">
        <v>6427</v>
      </c>
      <c r="B1196" t="s">
        <v>21</v>
      </c>
      <c r="C1196" s="1">
        <v>45668</v>
      </c>
      <c r="D1196" s="1" t="str">
        <f t="shared" si="18"/>
        <v>Beverages</v>
      </c>
      <c r="E1196" t="s">
        <v>7</v>
      </c>
      <c r="F1196" s="2">
        <v>2</v>
      </c>
      <c r="G1196" s="3">
        <v>26</v>
      </c>
      <c r="H1196" s="3">
        <f>grocery_chain_data[[#This Row],[Quantity]]*grocery_chain_data[[#This Row],[Unit Price]]</f>
        <v>52</v>
      </c>
      <c r="I1196" s="3">
        <v>4</v>
      </c>
      <c r="J1196" s="3">
        <f>grocery_chain_data[[#This Row],[Total Amount]]-grocery_chain_data[[#This Row],[Discount Amount]]</f>
        <v>48</v>
      </c>
      <c r="K1196">
        <v>488</v>
      </c>
      <c r="L1196" t="str">
        <f>IF(grocery_chain_data[[#This Row],[Final Amount]]&lt;0,"Return","Sale")</f>
        <v>Sale</v>
      </c>
      <c r="M1196">
        <f>IF(grocery_chain_data[[#This Row],[Final Amount]]&lt;0,0,grocery_chain_data[[#This Row],[Final Amount]])</f>
        <v>48</v>
      </c>
    </row>
    <row r="1197" spans="1:13" x14ac:dyDescent="0.3">
      <c r="A1197">
        <v>2795</v>
      </c>
      <c r="B1197" t="s">
        <v>12</v>
      </c>
      <c r="C1197" s="1">
        <v>45468</v>
      </c>
      <c r="D1197" s="1" t="str">
        <f t="shared" si="18"/>
        <v>Produce</v>
      </c>
      <c r="E1197" t="s">
        <v>4</v>
      </c>
      <c r="F1197" s="2">
        <v>2</v>
      </c>
      <c r="G1197" s="3">
        <v>26</v>
      </c>
      <c r="H1197" s="3">
        <f>grocery_chain_data[[#This Row],[Quantity]]*grocery_chain_data[[#This Row],[Unit Price]]</f>
        <v>52</v>
      </c>
      <c r="I1197" s="3">
        <v>8</v>
      </c>
      <c r="J1197" s="3">
        <f>grocery_chain_data[[#This Row],[Total Amount]]-grocery_chain_data[[#This Row],[Discount Amount]]</f>
        <v>44</v>
      </c>
      <c r="K1197">
        <v>216</v>
      </c>
      <c r="L1197" t="str">
        <f>IF(grocery_chain_data[[#This Row],[Final Amount]]&lt;0,"Return","Sale")</f>
        <v>Sale</v>
      </c>
      <c r="M1197">
        <f>IF(grocery_chain_data[[#This Row],[Final Amount]]&lt;0,0,grocery_chain_data[[#This Row],[Final Amount]])</f>
        <v>44</v>
      </c>
    </row>
    <row r="1198" spans="1:13" x14ac:dyDescent="0.3">
      <c r="A1198">
        <v>6040</v>
      </c>
      <c r="B1198" t="s">
        <v>5</v>
      </c>
      <c r="C1198" s="1">
        <v>45763</v>
      </c>
      <c r="D1198" s="1" t="str">
        <f t="shared" si="18"/>
        <v>Meat &amp; Seafood</v>
      </c>
      <c r="E1198" t="s">
        <v>9</v>
      </c>
      <c r="F1198" s="2">
        <v>1</v>
      </c>
      <c r="G1198" s="3">
        <v>12</v>
      </c>
      <c r="H1198" s="3">
        <f>grocery_chain_data[[#This Row],[Quantity]]*grocery_chain_data[[#This Row],[Unit Price]]</f>
        <v>12</v>
      </c>
      <c r="I1198" s="3">
        <v>2</v>
      </c>
      <c r="J1198" s="3">
        <f>grocery_chain_data[[#This Row],[Total Amount]]-grocery_chain_data[[#This Row],[Discount Amount]]</f>
        <v>10</v>
      </c>
      <c r="K1198">
        <v>275</v>
      </c>
      <c r="L1198" t="str">
        <f>IF(grocery_chain_data[[#This Row],[Final Amount]]&lt;0,"Return","Sale")</f>
        <v>Sale</v>
      </c>
      <c r="M1198">
        <f>IF(grocery_chain_data[[#This Row],[Final Amount]]&lt;0,0,grocery_chain_data[[#This Row],[Final Amount]])</f>
        <v>10</v>
      </c>
    </row>
    <row r="1199" spans="1:13" x14ac:dyDescent="0.3">
      <c r="A1199">
        <v>1436</v>
      </c>
      <c r="B1199" t="s">
        <v>5</v>
      </c>
      <c r="C1199" s="1">
        <v>45608</v>
      </c>
      <c r="D1199" s="1" t="str">
        <f t="shared" si="18"/>
        <v>Meat &amp; Seafood</v>
      </c>
      <c r="E1199" t="s">
        <v>9</v>
      </c>
      <c r="F1199" s="2">
        <v>4</v>
      </c>
      <c r="G1199" s="3">
        <v>21</v>
      </c>
      <c r="H1199" s="3">
        <f>grocery_chain_data[[#This Row],[Quantity]]*grocery_chain_data[[#This Row],[Unit Price]]</f>
        <v>84</v>
      </c>
      <c r="I1199" s="3">
        <v>17</v>
      </c>
      <c r="J1199" s="3">
        <f>grocery_chain_data[[#This Row],[Total Amount]]-grocery_chain_data[[#This Row],[Discount Amount]]</f>
        <v>67</v>
      </c>
      <c r="K1199">
        <v>75</v>
      </c>
      <c r="L1199" t="str">
        <f>IF(grocery_chain_data[[#This Row],[Final Amount]]&lt;0,"Return","Sale")</f>
        <v>Sale</v>
      </c>
      <c r="M1199">
        <f>IF(grocery_chain_data[[#This Row],[Final Amount]]&lt;0,0,grocery_chain_data[[#This Row],[Final Amount]])</f>
        <v>67</v>
      </c>
    </row>
    <row r="1200" spans="1:13" x14ac:dyDescent="0.3">
      <c r="A1200">
        <v>8775</v>
      </c>
      <c r="B1200" t="s">
        <v>13</v>
      </c>
      <c r="C1200" s="1">
        <v>45351</v>
      </c>
      <c r="D1200" s="1" t="str">
        <f t="shared" si="18"/>
        <v>Pantry</v>
      </c>
      <c r="E1200" t="s">
        <v>6</v>
      </c>
      <c r="F1200" s="2">
        <v>3</v>
      </c>
      <c r="G1200" s="3">
        <v>16</v>
      </c>
      <c r="H1200" s="3">
        <f>grocery_chain_data[[#This Row],[Quantity]]*grocery_chain_data[[#This Row],[Unit Price]]</f>
        <v>48</v>
      </c>
      <c r="I1200" s="3">
        <v>7</v>
      </c>
      <c r="J1200" s="3">
        <f>grocery_chain_data[[#This Row],[Total Amount]]-grocery_chain_data[[#This Row],[Discount Amount]]</f>
        <v>41</v>
      </c>
      <c r="K1200">
        <v>352</v>
      </c>
      <c r="L1200" t="str">
        <f>IF(grocery_chain_data[[#This Row],[Final Amount]]&lt;0,"Return","Sale")</f>
        <v>Sale</v>
      </c>
      <c r="M1200">
        <f>IF(grocery_chain_data[[#This Row],[Final Amount]]&lt;0,0,grocery_chain_data[[#This Row],[Final Amount]])</f>
        <v>41</v>
      </c>
    </row>
    <row r="1201" spans="1:13" x14ac:dyDescent="0.3">
      <c r="A1201">
        <v>4728</v>
      </c>
      <c r="B1201" t="s">
        <v>10</v>
      </c>
      <c r="C1201" s="1">
        <v>45705</v>
      </c>
      <c r="D1201" s="1" t="str">
        <f t="shared" si="18"/>
        <v>Dairy</v>
      </c>
      <c r="E1201" t="s">
        <v>23</v>
      </c>
      <c r="F1201" s="2">
        <v>4</v>
      </c>
      <c r="G1201" s="3">
        <v>9</v>
      </c>
      <c r="H1201" s="3">
        <f>grocery_chain_data[[#This Row],[Quantity]]*grocery_chain_data[[#This Row],[Unit Price]]</f>
        <v>36</v>
      </c>
      <c r="I1201" s="3">
        <v>5</v>
      </c>
      <c r="J1201" s="3">
        <f>grocery_chain_data[[#This Row],[Total Amount]]-grocery_chain_data[[#This Row],[Discount Amount]]</f>
        <v>31</v>
      </c>
      <c r="K1201">
        <v>494</v>
      </c>
      <c r="L1201" t="str">
        <f>IF(grocery_chain_data[[#This Row],[Final Amount]]&lt;0,"Return","Sale")</f>
        <v>Sale</v>
      </c>
      <c r="M1201">
        <f>IF(grocery_chain_data[[#This Row],[Final Amount]]&lt;0,0,grocery_chain_data[[#This Row],[Final Amount]])</f>
        <v>31</v>
      </c>
    </row>
    <row r="1202" spans="1:13" x14ac:dyDescent="0.3">
      <c r="A1202">
        <v>1841</v>
      </c>
      <c r="B1202" t="s">
        <v>16</v>
      </c>
      <c r="C1202" s="1">
        <v>45598</v>
      </c>
      <c r="D1202" s="1" t="str">
        <f t="shared" si="18"/>
        <v>Dairy</v>
      </c>
      <c r="E1202" t="s">
        <v>23</v>
      </c>
      <c r="F1202" s="2">
        <v>2</v>
      </c>
      <c r="G1202" s="3">
        <v>21</v>
      </c>
      <c r="H1202" s="3">
        <f>grocery_chain_data[[#This Row],[Quantity]]*grocery_chain_data[[#This Row],[Unit Price]]</f>
        <v>42</v>
      </c>
      <c r="I1202" s="3">
        <v>4</v>
      </c>
      <c r="J1202" s="3">
        <f>grocery_chain_data[[#This Row],[Total Amount]]-grocery_chain_data[[#This Row],[Discount Amount]]</f>
        <v>38</v>
      </c>
      <c r="K1202">
        <v>26</v>
      </c>
      <c r="L1202" t="str">
        <f>IF(grocery_chain_data[[#This Row],[Final Amount]]&lt;0,"Return","Sale")</f>
        <v>Sale</v>
      </c>
      <c r="M1202">
        <f>IF(grocery_chain_data[[#This Row],[Final Amount]]&lt;0,0,grocery_chain_data[[#This Row],[Final Amount]])</f>
        <v>38</v>
      </c>
    </row>
    <row r="1203" spans="1:13" x14ac:dyDescent="0.3">
      <c r="A1203">
        <v>8871</v>
      </c>
      <c r="B1203" t="s">
        <v>8</v>
      </c>
      <c r="C1203" s="1">
        <v>45277</v>
      </c>
      <c r="D1203" s="1" t="str">
        <f t="shared" si="18"/>
        <v>Produce</v>
      </c>
      <c r="E1203" t="s">
        <v>11</v>
      </c>
      <c r="F1203" s="2">
        <v>1</v>
      </c>
      <c r="G1203" s="3">
        <v>17</v>
      </c>
      <c r="H1203" s="3">
        <f>grocery_chain_data[[#This Row],[Quantity]]*grocery_chain_data[[#This Row],[Unit Price]]</f>
        <v>17</v>
      </c>
      <c r="I1203" s="3">
        <v>0</v>
      </c>
      <c r="J1203" s="3">
        <f>grocery_chain_data[[#This Row],[Total Amount]]-grocery_chain_data[[#This Row],[Discount Amount]]</f>
        <v>17</v>
      </c>
      <c r="K1203">
        <v>172</v>
      </c>
      <c r="L1203" t="str">
        <f>IF(grocery_chain_data[[#This Row],[Final Amount]]&lt;0,"Return","Sale")</f>
        <v>Sale</v>
      </c>
      <c r="M1203">
        <f>IF(grocery_chain_data[[#This Row],[Final Amount]]&lt;0,0,grocery_chain_data[[#This Row],[Final Amount]])</f>
        <v>17</v>
      </c>
    </row>
    <row r="1204" spans="1:13" x14ac:dyDescent="0.3">
      <c r="A1204">
        <v>9589</v>
      </c>
      <c r="B1204" t="s">
        <v>10</v>
      </c>
      <c r="C1204" s="1">
        <v>45633</v>
      </c>
      <c r="D1204" s="1" t="str">
        <f t="shared" si="18"/>
        <v>Produce</v>
      </c>
      <c r="E1204" t="s">
        <v>14</v>
      </c>
      <c r="F1204" s="2">
        <v>4</v>
      </c>
      <c r="G1204" s="3">
        <v>3</v>
      </c>
      <c r="H1204" s="3">
        <f>grocery_chain_data[[#This Row],[Quantity]]*grocery_chain_data[[#This Row],[Unit Price]]</f>
        <v>12</v>
      </c>
      <c r="I1204" s="3">
        <v>2</v>
      </c>
      <c r="J1204" s="3">
        <f>grocery_chain_data[[#This Row],[Total Amount]]-grocery_chain_data[[#This Row],[Discount Amount]]</f>
        <v>10</v>
      </c>
      <c r="K1204">
        <v>372</v>
      </c>
      <c r="L1204" t="str">
        <f>IF(grocery_chain_data[[#This Row],[Final Amount]]&lt;0,"Return","Sale")</f>
        <v>Sale</v>
      </c>
      <c r="M1204">
        <f>IF(grocery_chain_data[[#This Row],[Final Amount]]&lt;0,0,grocery_chain_data[[#This Row],[Final Amount]])</f>
        <v>10</v>
      </c>
    </row>
    <row r="1205" spans="1:13" x14ac:dyDescent="0.3">
      <c r="A1205">
        <v>7229</v>
      </c>
      <c r="B1205" t="s">
        <v>21</v>
      </c>
      <c r="C1205" s="1">
        <v>45259</v>
      </c>
      <c r="D1205" s="1" t="str">
        <f t="shared" si="18"/>
        <v>Produce</v>
      </c>
      <c r="E1205" t="s">
        <v>14</v>
      </c>
      <c r="F1205" s="2">
        <v>1</v>
      </c>
      <c r="G1205" s="3">
        <v>5</v>
      </c>
      <c r="H1205" s="3">
        <f>grocery_chain_data[[#This Row],[Quantity]]*grocery_chain_data[[#This Row],[Unit Price]]</f>
        <v>5</v>
      </c>
      <c r="I1205" s="3">
        <v>0</v>
      </c>
      <c r="J1205" s="3">
        <f>grocery_chain_data[[#This Row],[Total Amount]]-grocery_chain_data[[#This Row],[Discount Amount]]</f>
        <v>5</v>
      </c>
      <c r="K1205">
        <v>385</v>
      </c>
      <c r="L1205" t="str">
        <f>IF(grocery_chain_data[[#This Row],[Final Amount]]&lt;0,"Return","Sale")</f>
        <v>Sale</v>
      </c>
      <c r="M1205">
        <f>IF(grocery_chain_data[[#This Row],[Final Amount]]&lt;0,0,grocery_chain_data[[#This Row],[Final Amount]])</f>
        <v>5</v>
      </c>
    </row>
    <row r="1206" spans="1:13" x14ac:dyDescent="0.3">
      <c r="A1206">
        <v>4968</v>
      </c>
      <c r="B1206" t="s">
        <v>12</v>
      </c>
      <c r="C1206" s="1">
        <v>45169</v>
      </c>
      <c r="D1206" s="1" t="str">
        <f t="shared" si="18"/>
        <v>Produce</v>
      </c>
      <c r="E1206" t="s">
        <v>11</v>
      </c>
      <c r="F1206" s="2">
        <v>5</v>
      </c>
      <c r="G1206" s="3">
        <v>5</v>
      </c>
      <c r="H1206" s="3">
        <f>grocery_chain_data[[#This Row],[Quantity]]*grocery_chain_data[[#This Row],[Unit Price]]</f>
        <v>25</v>
      </c>
      <c r="I1206" s="3">
        <v>4</v>
      </c>
      <c r="J1206" s="3">
        <f>grocery_chain_data[[#This Row],[Total Amount]]-grocery_chain_data[[#This Row],[Discount Amount]]</f>
        <v>21</v>
      </c>
      <c r="K1206">
        <v>356</v>
      </c>
      <c r="L1206" t="str">
        <f>IF(grocery_chain_data[[#This Row],[Final Amount]]&lt;0,"Return","Sale")</f>
        <v>Sale</v>
      </c>
      <c r="M1206">
        <f>IF(grocery_chain_data[[#This Row],[Final Amount]]&lt;0,0,grocery_chain_data[[#This Row],[Final Amount]])</f>
        <v>21</v>
      </c>
    </row>
    <row r="1207" spans="1:13" x14ac:dyDescent="0.3">
      <c r="A1207">
        <v>2800</v>
      </c>
      <c r="B1207" t="s">
        <v>5</v>
      </c>
      <c r="C1207" s="1">
        <v>45293</v>
      </c>
      <c r="D1207" s="1" t="str">
        <f t="shared" si="18"/>
        <v>Dairy</v>
      </c>
      <c r="E1207" t="s">
        <v>23</v>
      </c>
      <c r="F1207" s="2">
        <v>2</v>
      </c>
      <c r="G1207" s="3">
        <v>22</v>
      </c>
      <c r="H1207" s="3">
        <f>grocery_chain_data[[#This Row],[Quantity]]*grocery_chain_data[[#This Row],[Unit Price]]</f>
        <v>44</v>
      </c>
      <c r="I1207" s="3">
        <v>0</v>
      </c>
      <c r="J1207" s="3">
        <f>grocery_chain_data[[#This Row],[Total Amount]]-grocery_chain_data[[#This Row],[Discount Amount]]</f>
        <v>44</v>
      </c>
      <c r="K1207">
        <v>4</v>
      </c>
      <c r="L1207" t="str">
        <f>IF(grocery_chain_data[[#This Row],[Final Amount]]&lt;0,"Return","Sale")</f>
        <v>Sale</v>
      </c>
      <c r="M1207">
        <f>IF(grocery_chain_data[[#This Row],[Final Amount]]&lt;0,0,grocery_chain_data[[#This Row],[Final Amount]])</f>
        <v>44</v>
      </c>
    </row>
    <row r="1208" spans="1:13" x14ac:dyDescent="0.3">
      <c r="A1208">
        <v>1310</v>
      </c>
      <c r="B1208" t="s">
        <v>0</v>
      </c>
      <c r="C1208" s="1">
        <v>45487</v>
      </c>
      <c r="D1208" s="1" t="str">
        <f t="shared" si="18"/>
        <v>Dairy</v>
      </c>
      <c r="E1208" t="s">
        <v>20</v>
      </c>
      <c r="F1208" s="2">
        <v>4</v>
      </c>
      <c r="G1208" s="3">
        <v>29</v>
      </c>
      <c r="H1208" s="3">
        <f>grocery_chain_data[[#This Row],[Quantity]]*grocery_chain_data[[#This Row],[Unit Price]]</f>
        <v>116</v>
      </c>
      <c r="I1208" s="3">
        <v>1</v>
      </c>
      <c r="J1208" s="3">
        <f>grocery_chain_data[[#This Row],[Total Amount]]-grocery_chain_data[[#This Row],[Discount Amount]]</f>
        <v>115</v>
      </c>
      <c r="K1208">
        <v>218</v>
      </c>
      <c r="L1208" t="str">
        <f>IF(grocery_chain_data[[#This Row],[Final Amount]]&lt;0,"Return","Sale")</f>
        <v>Sale</v>
      </c>
      <c r="M1208">
        <f>IF(grocery_chain_data[[#This Row],[Final Amount]]&lt;0,0,grocery_chain_data[[#This Row],[Final Amount]])</f>
        <v>115</v>
      </c>
    </row>
    <row r="1209" spans="1:13" x14ac:dyDescent="0.3">
      <c r="A1209">
        <v>6139</v>
      </c>
      <c r="B1209" t="s">
        <v>10</v>
      </c>
      <c r="C1209" s="1">
        <v>45470</v>
      </c>
      <c r="D1209" s="1" t="str">
        <f t="shared" si="18"/>
        <v>Dairy</v>
      </c>
      <c r="E1209" t="s">
        <v>19</v>
      </c>
      <c r="F1209" s="2">
        <v>1</v>
      </c>
      <c r="G1209" s="3">
        <v>29</v>
      </c>
      <c r="H1209" s="3">
        <f>grocery_chain_data[[#This Row],[Quantity]]*grocery_chain_data[[#This Row],[Unit Price]]</f>
        <v>29</v>
      </c>
      <c r="I1209" s="3">
        <v>3</v>
      </c>
      <c r="J1209" s="3">
        <f>grocery_chain_data[[#This Row],[Total Amount]]-grocery_chain_data[[#This Row],[Discount Amount]]</f>
        <v>26</v>
      </c>
      <c r="K1209">
        <v>332</v>
      </c>
      <c r="L1209" t="str">
        <f>IF(grocery_chain_data[[#This Row],[Final Amount]]&lt;0,"Return","Sale")</f>
        <v>Sale</v>
      </c>
      <c r="M1209">
        <f>IF(grocery_chain_data[[#This Row],[Final Amount]]&lt;0,0,grocery_chain_data[[#This Row],[Final Amount]])</f>
        <v>26</v>
      </c>
    </row>
    <row r="1210" spans="1:13" x14ac:dyDescent="0.3">
      <c r="A1210">
        <v>3481</v>
      </c>
      <c r="B1210" t="s">
        <v>5</v>
      </c>
      <c r="C1210" s="1">
        <v>45465</v>
      </c>
      <c r="D1210" s="1" t="str">
        <f t="shared" si="18"/>
        <v>Produce</v>
      </c>
      <c r="E1210" t="s">
        <v>14</v>
      </c>
      <c r="F1210" s="2">
        <v>2</v>
      </c>
      <c r="G1210" s="3">
        <v>2</v>
      </c>
      <c r="H1210" s="3">
        <f>grocery_chain_data[[#This Row],[Quantity]]*grocery_chain_data[[#This Row],[Unit Price]]</f>
        <v>4</v>
      </c>
      <c r="I1210" s="3">
        <v>0</v>
      </c>
      <c r="J1210" s="3">
        <f>grocery_chain_data[[#This Row],[Total Amount]]-grocery_chain_data[[#This Row],[Discount Amount]]</f>
        <v>4</v>
      </c>
      <c r="K1210">
        <v>123</v>
      </c>
      <c r="L1210" t="str">
        <f>IF(grocery_chain_data[[#This Row],[Final Amount]]&lt;0,"Return","Sale")</f>
        <v>Sale</v>
      </c>
      <c r="M1210">
        <f>IF(grocery_chain_data[[#This Row],[Final Amount]]&lt;0,0,grocery_chain_data[[#This Row],[Final Amount]])</f>
        <v>4</v>
      </c>
    </row>
    <row r="1211" spans="1:13" x14ac:dyDescent="0.3">
      <c r="A1211">
        <v>4340</v>
      </c>
      <c r="B1211" t="s">
        <v>12</v>
      </c>
      <c r="C1211" s="1">
        <v>45463</v>
      </c>
      <c r="D1211" s="1" t="str">
        <f t="shared" si="18"/>
        <v>Produce</v>
      </c>
      <c r="E1211" t="s">
        <v>11</v>
      </c>
      <c r="F1211" s="2">
        <v>4</v>
      </c>
      <c r="G1211" s="3">
        <v>23</v>
      </c>
      <c r="H1211" s="3">
        <f>grocery_chain_data[[#This Row],[Quantity]]*grocery_chain_data[[#This Row],[Unit Price]]</f>
        <v>92</v>
      </c>
      <c r="I1211" s="3">
        <v>9</v>
      </c>
      <c r="J1211" s="3">
        <f>grocery_chain_data[[#This Row],[Total Amount]]-grocery_chain_data[[#This Row],[Discount Amount]]</f>
        <v>83</v>
      </c>
      <c r="K1211">
        <v>407</v>
      </c>
      <c r="L1211" t="str">
        <f>IF(grocery_chain_data[[#This Row],[Final Amount]]&lt;0,"Return","Sale")</f>
        <v>Sale</v>
      </c>
      <c r="M1211">
        <f>IF(grocery_chain_data[[#This Row],[Final Amount]]&lt;0,0,grocery_chain_data[[#This Row],[Final Amount]])</f>
        <v>83</v>
      </c>
    </row>
    <row r="1212" spans="1:13" x14ac:dyDescent="0.3">
      <c r="A1212">
        <v>9221</v>
      </c>
      <c r="B1212" t="s">
        <v>8</v>
      </c>
      <c r="C1212" s="1">
        <v>45746</v>
      </c>
      <c r="D1212" s="1" t="str">
        <f t="shared" si="18"/>
        <v>Meat &amp; Seafood</v>
      </c>
      <c r="E1212" t="s">
        <v>15</v>
      </c>
      <c r="F1212" s="2">
        <v>3</v>
      </c>
      <c r="G1212" s="3">
        <v>1</v>
      </c>
      <c r="H1212" s="3">
        <f>grocery_chain_data[[#This Row],[Quantity]]*grocery_chain_data[[#This Row],[Unit Price]]</f>
        <v>3</v>
      </c>
      <c r="I1212" s="3">
        <v>3</v>
      </c>
      <c r="J1212" s="3">
        <f>grocery_chain_data[[#This Row],[Total Amount]]-grocery_chain_data[[#This Row],[Discount Amount]]</f>
        <v>0</v>
      </c>
      <c r="K1212">
        <v>59</v>
      </c>
      <c r="L1212" t="str">
        <f>IF(grocery_chain_data[[#This Row],[Final Amount]]&lt;0,"Return","Sale")</f>
        <v>Sale</v>
      </c>
      <c r="M1212">
        <f>IF(grocery_chain_data[[#This Row],[Final Amount]]&lt;0,0,grocery_chain_data[[#This Row],[Final Amount]])</f>
        <v>0</v>
      </c>
    </row>
    <row r="1213" spans="1:13" x14ac:dyDescent="0.3">
      <c r="A1213">
        <v>8726</v>
      </c>
      <c r="B1213" t="s">
        <v>2</v>
      </c>
      <c r="C1213" s="1">
        <v>45822</v>
      </c>
      <c r="D1213" s="1" t="str">
        <f t="shared" si="18"/>
        <v>Produce</v>
      </c>
      <c r="E1213" t="s">
        <v>18</v>
      </c>
      <c r="F1213" s="2">
        <v>5</v>
      </c>
      <c r="G1213" s="3">
        <v>18</v>
      </c>
      <c r="H1213" s="3">
        <f>grocery_chain_data[[#This Row],[Quantity]]*grocery_chain_data[[#This Row],[Unit Price]]</f>
        <v>90</v>
      </c>
      <c r="I1213" s="3">
        <v>13</v>
      </c>
      <c r="J1213" s="3">
        <f>grocery_chain_data[[#This Row],[Total Amount]]-grocery_chain_data[[#This Row],[Discount Amount]]</f>
        <v>77</v>
      </c>
      <c r="K1213">
        <v>293</v>
      </c>
      <c r="L1213" t="str">
        <f>IF(grocery_chain_data[[#This Row],[Final Amount]]&lt;0,"Return","Sale")</f>
        <v>Sale</v>
      </c>
      <c r="M1213">
        <f>IF(grocery_chain_data[[#This Row],[Final Amount]]&lt;0,0,grocery_chain_data[[#This Row],[Final Amount]])</f>
        <v>77</v>
      </c>
    </row>
    <row r="1214" spans="1:13" x14ac:dyDescent="0.3">
      <c r="A1214">
        <v>2020</v>
      </c>
      <c r="B1214" t="s">
        <v>0</v>
      </c>
      <c r="C1214" s="1">
        <v>45693</v>
      </c>
      <c r="D1214" s="1" t="str">
        <f t="shared" si="18"/>
        <v>Produce</v>
      </c>
      <c r="E1214" t="s">
        <v>11</v>
      </c>
      <c r="F1214" s="2">
        <v>4</v>
      </c>
      <c r="G1214" s="3">
        <v>15</v>
      </c>
      <c r="H1214" s="3">
        <f>grocery_chain_data[[#This Row],[Quantity]]*grocery_chain_data[[#This Row],[Unit Price]]</f>
        <v>60</v>
      </c>
      <c r="I1214" s="3">
        <v>9</v>
      </c>
      <c r="J1214" s="3">
        <f>grocery_chain_data[[#This Row],[Total Amount]]-grocery_chain_data[[#This Row],[Discount Amount]]</f>
        <v>51</v>
      </c>
      <c r="K1214">
        <v>330</v>
      </c>
      <c r="L1214" t="str">
        <f>IF(grocery_chain_data[[#This Row],[Final Amount]]&lt;0,"Return","Sale")</f>
        <v>Sale</v>
      </c>
      <c r="M1214">
        <f>IF(grocery_chain_data[[#This Row],[Final Amount]]&lt;0,0,grocery_chain_data[[#This Row],[Final Amount]])</f>
        <v>51</v>
      </c>
    </row>
    <row r="1215" spans="1:13" x14ac:dyDescent="0.3">
      <c r="A1215">
        <v>3262</v>
      </c>
      <c r="B1215" t="s">
        <v>5</v>
      </c>
      <c r="C1215" s="1">
        <v>45547</v>
      </c>
      <c r="D1215" s="1" t="str">
        <f t="shared" si="18"/>
        <v>Pantry</v>
      </c>
      <c r="E1215" t="s">
        <v>6</v>
      </c>
      <c r="F1215" s="2">
        <v>1</v>
      </c>
      <c r="G1215" s="3">
        <v>22</v>
      </c>
      <c r="H1215" s="3">
        <f>grocery_chain_data[[#This Row],[Quantity]]*grocery_chain_data[[#This Row],[Unit Price]]</f>
        <v>22</v>
      </c>
      <c r="I1215" s="3">
        <v>2</v>
      </c>
      <c r="J1215" s="3">
        <f>grocery_chain_data[[#This Row],[Total Amount]]-grocery_chain_data[[#This Row],[Discount Amount]]</f>
        <v>20</v>
      </c>
      <c r="K1215">
        <v>441</v>
      </c>
      <c r="L1215" t="str">
        <f>IF(grocery_chain_data[[#This Row],[Final Amount]]&lt;0,"Return","Sale")</f>
        <v>Sale</v>
      </c>
      <c r="M1215">
        <f>IF(grocery_chain_data[[#This Row],[Final Amount]]&lt;0,0,grocery_chain_data[[#This Row],[Final Amount]])</f>
        <v>20</v>
      </c>
    </row>
    <row r="1216" spans="1:13" x14ac:dyDescent="0.3">
      <c r="A1216">
        <v>4397</v>
      </c>
      <c r="B1216" t="s">
        <v>13</v>
      </c>
      <c r="C1216" s="1">
        <v>45580</v>
      </c>
      <c r="D1216" s="1" t="str">
        <f t="shared" si="18"/>
        <v>Produce</v>
      </c>
      <c r="E1216" t="s">
        <v>4</v>
      </c>
      <c r="F1216" s="2">
        <v>5</v>
      </c>
      <c r="G1216" s="3">
        <v>24</v>
      </c>
      <c r="H1216" s="3">
        <f>grocery_chain_data[[#This Row],[Quantity]]*grocery_chain_data[[#This Row],[Unit Price]]</f>
        <v>120</v>
      </c>
      <c r="I1216" s="3">
        <v>3</v>
      </c>
      <c r="J1216" s="3">
        <f>grocery_chain_data[[#This Row],[Total Amount]]-grocery_chain_data[[#This Row],[Discount Amount]]</f>
        <v>117</v>
      </c>
      <c r="K1216">
        <v>271</v>
      </c>
      <c r="L1216" t="str">
        <f>IF(grocery_chain_data[[#This Row],[Final Amount]]&lt;0,"Return","Sale")</f>
        <v>Sale</v>
      </c>
      <c r="M1216">
        <f>IF(grocery_chain_data[[#This Row],[Final Amount]]&lt;0,0,grocery_chain_data[[#This Row],[Final Amount]])</f>
        <v>117</v>
      </c>
    </row>
    <row r="1217" spans="1:13" x14ac:dyDescent="0.3">
      <c r="A1217">
        <v>6325</v>
      </c>
      <c r="B1217" t="s">
        <v>2</v>
      </c>
      <c r="C1217" s="1">
        <v>45659</v>
      </c>
      <c r="D1217" s="1" t="str">
        <f t="shared" si="18"/>
        <v>Meat &amp; Seafood</v>
      </c>
      <c r="E1217" t="s">
        <v>26</v>
      </c>
      <c r="F1217" s="2">
        <v>2</v>
      </c>
      <c r="G1217" s="3">
        <v>29</v>
      </c>
      <c r="H1217" s="3">
        <f>grocery_chain_data[[#This Row],[Quantity]]*grocery_chain_data[[#This Row],[Unit Price]]</f>
        <v>58</v>
      </c>
      <c r="I1217" s="3">
        <v>12</v>
      </c>
      <c r="J1217" s="3">
        <f>grocery_chain_data[[#This Row],[Total Amount]]-grocery_chain_data[[#This Row],[Discount Amount]]</f>
        <v>46</v>
      </c>
      <c r="K1217">
        <v>459</v>
      </c>
      <c r="L1217" t="str">
        <f>IF(grocery_chain_data[[#This Row],[Final Amount]]&lt;0,"Return","Sale")</f>
        <v>Sale</v>
      </c>
      <c r="M1217">
        <f>IF(grocery_chain_data[[#This Row],[Final Amount]]&lt;0,0,grocery_chain_data[[#This Row],[Final Amount]])</f>
        <v>46</v>
      </c>
    </row>
    <row r="1218" spans="1:13" x14ac:dyDescent="0.3">
      <c r="A1218">
        <v>8837</v>
      </c>
      <c r="B1218" t="s">
        <v>5</v>
      </c>
      <c r="C1218" s="1">
        <v>45553</v>
      </c>
      <c r="D1218" s="1" t="str">
        <f t="shared" ref="D1218:D1281" si="19">IF(E1218="Pasta","Pantry",
IF(E1218="Cheese","Dairy",
IF(E1218="Onions","Produce",
IF(E1218="Cereal","Pantry",
IF(E1218="Orange Juice","Beverages",
IF(E1218="Ground Beef","Meat &amp; Seafood",
IF(E1218="Apples","Produce",
IF(E1218="Milk","Dairy",
IF(E1218="Bananas","Produce",
IF(E1218="Bread","Bakery",
IF(E1218="Carrots","Produce",
IF(E1218="Chicken Breast","Meat &amp; Seafood",
IF(E1218="Eggs","Dairy",
IF(E1218="Potatoes","Produce",
IF(E1218="Rice","Produce",
IF(E1218="Salmon","Meat &amp; Seafood",
IF(E1218="Tomatoes","Produce",
IF(E1218="Yogurt","Dairy",
"Others"))))))))))))))))))</f>
        <v>Produce</v>
      </c>
      <c r="E1218" t="s">
        <v>4</v>
      </c>
      <c r="F1218" s="2">
        <v>4</v>
      </c>
      <c r="G1218" s="3">
        <v>24</v>
      </c>
      <c r="H1218" s="3">
        <f>grocery_chain_data[[#This Row],[Quantity]]*grocery_chain_data[[#This Row],[Unit Price]]</f>
        <v>96</v>
      </c>
      <c r="I1218" s="3">
        <v>19</v>
      </c>
      <c r="J1218" s="3">
        <f>grocery_chain_data[[#This Row],[Total Amount]]-grocery_chain_data[[#This Row],[Discount Amount]]</f>
        <v>77</v>
      </c>
      <c r="K1218">
        <v>62</v>
      </c>
      <c r="L1218" t="str">
        <f>IF(grocery_chain_data[[#This Row],[Final Amount]]&lt;0,"Return","Sale")</f>
        <v>Sale</v>
      </c>
      <c r="M1218">
        <f>IF(grocery_chain_data[[#This Row],[Final Amount]]&lt;0,0,grocery_chain_data[[#This Row],[Final Amount]])</f>
        <v>77</v>
      </c>
    </row>
    <row r="1219" spans="1:13" x14ac:dyDescent="0.3">
      <c r="A1219">
        <v>7173</v>
      </c>
      <c r="B1219" t="s">
        <v>21</v>
      </c>
      <c r="C1219" s="1">
        <v>45388</v>
      </c>
      <c r="D1219" s="1" t="str">
        <f t="shared" si="19"/>
        <v>Produce</v>
      </c>
      <c r="E1219" t="s">
        <v>11</v>
      </c>
      <c r="F1219" s="2">
        <v>1</v>
      </c>
      <c r="G1219" s="3">
        <v>17</v>
      </c>
      <c r="H1219" s="3">
        <f>grocery_chain_data[[#This Row],[Quantity]]*grocery_chain_data[[#This Row],[Unit Price]]</f>
        <v>17</v>
      </c>
      <c r="I1219" s="3">
        <v>5</v>
      </c>
      <c r="J1219" s="3">
        <f>grocery_chain_data[[#This Row],[Total Amount]]-grocery_chain_data[[#This Row],[Discount Amount]]</f>
        <v>12</v>
      </c>
      <c r="K1219">
        <v>435</v>
      </c>
      <c r="L1219" t="str">
        <f>IF(grocery_chain_data[[#This Row],[Final Amount]]&lt;0,"Return","Sale")</f>
        <v>Sale</v>
      </c>
      <c r="M1219">
        <f>IF(grocery_chain_data[[#This Row],[Final Amount]]&lt;0,0,grocery_chain_data[[#This Row],[Final Amount]])</f>
        <v>12</v>
      </c>
    </row>
    <row r="1220" spans="1:13" x14ac:dyDescent="0.3">
      <c r="A1220">
        <v>3837</v>
      </c>
      <c r="B1220" t="s">
        <v>2</v>
      </c>
      <c r="C1220" s="1">
        <v>45502</v>
      </c>
      <c r="D1220" s="1" t="str">
        <f t="shared" si="19"/>
        <v>Beverages</v>
      </c>
      <c r="E1220" t="s">
        <v>7</v>
      </c>
      <c r="F1220" s="2">
        <v>5</v>
      </c>
      <c r="G1220" s="3">
        <v>6</v>
      </c>
      <c r="H1220" s="3">
        <f>grocery_chain_data[[#This Row],[Quantity]]*grocery_chain_data[[#This Row],[Unit Price]]</f>
        <v>30</v>
      </c>
      <c r="I1220" s="3">
        <v>6</v>
      </c>
      <c r="J1220" s="3">
        <f>grocery_chain_data[[#This Row],[Total Amount]]-grocery_chain_data[[#This Row],[Discount Amount]]</f>
        <v>24</v>
      </c>
      <c r="K1220">
        <v>500</v>
      </c>
      <c r="L1220" t="str">
        <f>IF(grocery_chain_data[[#This Row],[Final Amount]]&lt;0,"Return","Sale")</f>
        <v>Sale</v>
      </c>
      <c r="M1220">
        <f>IF(grocery_chain_data[[#This Row],[Final Amount]]&lt;0,0,grocery_chain_data[[#This Row],[Final Amount]])</f>
        <v>24</v>
      </c>
    </row>
    <row r="1221" spans="1:13" x14ac:dyDescent="0.3">
      <c r="A1221">
        <v>9734</v>
      </c>
      <c r="B1221" t="s">
        <v>12</v>
      </c>
      <c r="C1221" s="1">
        <v>45410</v>
      </c>
      <c r="D1221" s="1" t="str">
        <f t="shared" si="19"/>
        <v>Produce</v>
      </c>
      <c r="E1221" t="s">
        <v>24</v>
      </c>
      <c r="F1221" s="2">
        <v>3</v>
      </c>
      <c r="G1221" s="3">
        <v>20</v>
      </c>
      <c r="H1221" s="3">
        <f>grocery_chain_data[[#This Row],[Quantity]]*grocery_chain_data[[#This Row],[Unit Price]]</f>
        <v>60</v>
      </c>
      <c r="I1221" s="3">
        <v>3</v>
      </c>
      <c r="J1221" s="3">
        <f>grocery_chain_data[[#This Row],[Total Amount]]-grocery_chain_data[[#This Row],[Discount Amount]]</f>
        <v>57</v>
      </c>
      <c r="K1221">
        <v>227</v>
      </c>
      <c r="L1221" t="str">
        <f>IF(grocery_chain_data[[#This Row],[Final Amount]]&lt;0,"Return","Sale")</f>
        <v>Sale</v>
      </c>
      <c r="M1221">
        <f>IF(grocery_chain_data[[#This Row],[Final Amount]]&lt;0,0,grocery_chain_data[[#This Row],[Final Amount]])</f>
        <v>57</v>
      </c>
    </row>
    <row r="1222" spans="1:13" x14ac:dyDescent="0.3">
      <c r="A1222">
        <v>9950</v>
      </c>
      <c r="B1222" t="s">
        <v>16</v>
      </c>
      <c r="C1222" s="1">
        <v>45420</v>
      </c>
      <c r="D1222" s="1" t="str">
        <f t="shared" si="19"/>
        <v>Beverages</v>
      </c>
      <c r="E1222" t="s">
        <v>7</v>
      </c>
      <c r="F1222" s="2">
        <v>5</v>
      </c>
      <c r="G1222" s="3">
        <v>17</v>
      </c>
      <c r="H1222" s="3">
        <f>grocery_chain_data[[#This Row],[Quantity]]*grocery_chain_data[[#This Row],[Unit Price]]</f>
        <v>85</v>
      </c>
      <c r="I1222" s="3">
        <v>0</v>
      </c>
      <c r="J1222" s="3">
        <f>grocery_chain_data[[#This Row],[Total Amount]]-grocery_chain_data[[#This Row],[Discount Amount]]</f>
        <v>85</v>
      </c>
      <c r="K1222">
        <v>107</v>
      </c>
      <c r="L1222" t="str">
        <f>IF(grocery_chain_data[[#This Row],[Final Amount]]&lt;0,"Return","Sale")</f>
        <v>Sale</v>
      </c>
      <c r="M1222">
        <f>IF(grocery_chain_data[[#This Row],[Final Amount]]&lt;0,0,grocery_chain_data[[#This Row],[Final Amount]])</f>
        <v>85</v>
      </c>
    </row>
    <row r="1223" spans="1:13" x14ac:dyDescent="0.3">
      <c r="A1223">
        <v>5331</v>
      </c>
      <c r="B1223" t="s">
        <v>13</v>
      </c>
      <c r="C1223" s="1">
        <v>45618</v>
      </c>
      <c r="D1223" s="1" t="str">
        <f t="shared" si="19"/>
        <v>Dairy</v>
      </c>
      <c r="E1223" t="s">
        <v>19</v>
      </c>
      <c r="F1223" s="2">
        <v>2</v>
      </c>
      <c r="G1223" s="3">
        <v>5</v>
      </c>
      <c r="H1223" s="3">
        <f>grocery_chain_data[[#This Row],[Quantity]]*grocery_chain_data[[#This Row],[Unit Price]]</f>
        <v>10</v>
      </c>
      <c r="I1223" s="3">
        <v>2</v>
      </c>
      <c r="J1223" s="3">
        <f>grocery_chain_data[[#This Row],[Total Amount]]-grocery_chain_data[[#This Row],[Discount Amount]]</f>
        <v>8</v>
      </c>
      <c r="K1223">
        <v>438</v>
      </c>
      <c r="L1223" t="str">
        <f>IF(grocery_chain_data[[#This Row],[Final Amount]]&lt;0,"Return","Sale")</f>
        <v>Sale</v>
      </c>
      <c r="M1223">
        <f>IF(grocery_chain_data[[#This Row],[Final Amount]]&lt;0,0,grocery_chain_data[[#This Row],[Final Amount]])</f>
        <v>8</v>
      </c>
    </row>
    <row r="1224" spans="1:13" x14ac:dyDescent="0.3">
      <c r="A1224">
        <v>8932</v>
      </c>
      <c r="B1224" t="s">
        <v>2</v>
      </c>
      <c r="C1224" s="1">
        <v>45294</v>
      </c>
      <c r="D1224" s="1" t="str">
        <f t="shared" si="19"/>
        <v>Beverages</v>
      </c>
      <c r="E1224" t="s">
        <v>7</v>
      </c>
      <c r="F1224" s="2">
        <v>3</v>
      </c>
      <c r="G1224" s="3">
        <v>5</v>
      </c>
      <c r="H1224" s="3">
        <f>grocery_chain_data[[#This Row],[Quantity]]*grocery_chain_data[[#This Row],[Unit Price]]</f>
        <v>15</v>
      </c>
      <c r="I1224" s="3">
        <v>3</v>
      </c>
      <c r="J1224" s="3">
        <f>grocery_chain_data[[#This Row],[Total Amount]]-grocery_chain_data[[#This Row],[Discount Amount]]</f>
        <v>12</v>
      </c>
      <c r="K1224">
        <v>318</v>
      </c>
      <c r="L1224" t="str">
        <f>IF(grocery_chain_data[[#This Row],[Final Amount]]&lt;0,"Return","Sale")</f>
        <v>Sale</v>
      </c>
      <c r="M1224">
        <f>IF(grocery_chain_data[[#This Row],[Final Amount]]&lt;0,0,grocery_chain_data[[#This Row],[Final Amount]])</f>
        <v>12</v>
      </c>
    </row>
    <row r="1225" spans="1:13" x14ac:dyDescent="0.3">
      <c r="A1225">
        <v>5038</v>
      </c>
      <c r="B1225" t="s">
        <v>12</v>
      </c>
      <c r="C1225" s="1">
        <v>45361</v>
      </c>
      <c r="D1225" s="1" t="str">
        <f t="shared" si="19"/>
        <v>Produce</v>
      </c>
      <c r="E1225" t="s">
        <v>11</v>
      </c>
      <c r="F1225" s="2">
        <v>4</v>
      </c>
      <c r="G1225" s="3">
        <v>14</v>
      </c>
      <c r="H1225" s="3">
        <f>grocery_chain_data[[#This Row],[Quantity]]*grocery_chain_data[[#This Row],[Unit Price]]</f>
        <v>56</v>
      </c>
      <c r="I1225" s="3">
        <v>0</v>
      </c>
      <c r="J1225" s="3">
        <f>grocery_chain_data[[#This Row],[Total Amount]]-grocery_chain_data[[#This Row],[Discount Amount]]</f>
        <v>56</v>
      </c>
      <c r="K1225">
        <v>483</v>
      </c>
      <c r="L1225" t="str">
        <f>IF(grocery_chain_data[[#This Row],[Final Amount]]&lt;0,"Return","Sale")</f>
        <v>Sale</v>
      </c>
      <c r="M1225">
        <f>IF(grocery_chain_data[[#This Row],[Final Amount]]&lt;0,0,grocery_chain_data[[#This Row],[Final Amount]])</f>
        <v>56</v>
      </c>
    </row>
    <row r="1226" spans="1:13" x14ac:dyDescent="0.3">
      <c r="A1226">
        <v>5890</v>
      </c>
      <c r="B1226" t="s">
        <v>27</v>
      </c>
      <c r="C1226" s="1">
        <v>45319</v>
      </c>
      <c r="D1226" s="1" t="str">
        <f t="shared" si="19"/>
        <v>Produce</v>
      </c>
      <c r="E1226" t="s">
        <v>4</v>
      </c>
      <c r="F1226" s="2">
        <v>2</v>
      </c>
      <c r="G1226" s="3">
        <v>3</v>
      </c>
      <c r="H1226" s="3">
        <f>grocery_chain_data[[#This Row],[Quantity]]*grocery_chain_data[[#This Row],[Unit Price]]</f>
        <v>6</v>
      </c>
      <c r="I1226" s="3">
        <v>0</v>
      </c>
      <c r="J1226" s="3">
        <f>grocery_chain_data[[#This Row],[Total Amount]]-grocery_chain_data[[#This Row],[Discount Amount]]</f>
        <v>6</v>
      </c>
      <c r="K1226">
        <v>375</v>
      </c>
      <c r="L1226" t="str">
        <f>IF(grocery_chain_data[[#This Row],[Final Amount]]&lt;0,"Return","Sale")</f>
        <v>Sale</v>
      </c>
      <c r="M1226">
        <f>IF(grocery_chain_data[[#This Row],[Final Amount]]&lt;0,0,grocery_chain_data[[#This Row],[Final Amount]])</f>
        <v>6</v>
      </c>
    </row>
    <row r="1227" spans="1:13" x14ac:dyDescent="0.3">
      <c r="A1227">
        <v>5876</v>
      </c>
      <c r="B1227" t="s">
        <v>21</v>
      </c>
      <c r="C1227" s="1">
        <v>45743</v>
      </c>
      <c r="D1227" s="1" t="str">
        <f t="shared" si="19"/>
        <v>Produce</v>
      </c>
      <c r="E1227" t="s">
        <v>24</v>
      </c>
      <c r="F1227" s="2">
        <v>5</v>
      </c>
      <c r="G1227" s="3">
        <v>6</v>
      </c>
      <c r="H1227" s="3">
        <f>grocery_chain_data[[#This Row],[Quantity]]*grocery_chain_data[[#This Row],[Unit Price]]</f>
        <v>30</v>
      </c>
      <c r="I1227" s="3">
        <v>4</v>
      </c>
      <c r="J1227" s="3">
        <f>grocery_chain_data[[#This Row],[Total Amount]]-grocery_chain_data[[#This Row],[Discount Amount]]</f>
        <v>26</v>
      </c>
      <c r="K1227">
        <v>420</v>
      </c>
      <c r="L1227" t="str">
        <f>IF(grocery_chain_data[[#This Row],[Final Amount]]&lt;0,"Return","Sale")</f>
        <v>Sale</v>
      </c>
      <c r="M1227">
        <f>IF(grocery_chain_data[[#This Row],[Final Amount]]&lt;0,0,grocery_chain_data[[#This Row],[Final Amount]])</f>
        <v>26</v>
      </c>
    </row>
    <row r="1228" spans="1:13" x14ac:dyDescent="0.3">
      <c r="A1228">
        <v>5735</v>
      </c>
      <c r="B1228" t="s">
        <v>8</v>
      </c>
      <c r="C1228" s="1">
        <v>45692</v>
      </c>
      <c r="D1228" s="1" t="str">
        <f t="shared" si="19"/>
        <v>Produce</v>
      </c>
      <c r="E1228" t="s">
        <v>18</v>
      </c>
      <c r="F1228" s="2">
        <v>5</v>
      </c>
      <c r="G1228" s="3">
        <v>8</v>
      </c>
      <c r="H1228" s="3">
        <f>grocery_chain_data[[#This Row],[Quantity]]*grocery_chain_data[[#This Row],[Unit Price]]</f>
        <v>40</v>
      </c>
      <c r="I1228" s="3">
        <v>1</v>
      </c>
      <c r="J1228" s="3">
        <f>grocery_chain_data[[#This Row],[Total Amount]]-grocery_chain_data[[#This Row],[Discount Amount]]</f>
        <v>39</v>
      </c>
      <c r="K1228">
        <v>138</v>
      </c>
      <c r="L1228" t="str">
        <f>IF(grocery_chain_data[[#This Row],[Final Amount]]&lt;0,"Return","Sale")</f>
        <v>Sale</v>
      </c>
      <c r="M1228">
        <f>IF(grocery_chain_data[[#This Row],[Final Amount]]&lt;0,0,grocery_chain_data[[#This Row],[Final Amount]])</f>
        <v>39</v>
      </c>
    </row>
    <row r="1229" spans="1:13" x14ac:dyDescent="0.3">
      <c r="A1229">
        <v>4396</v>
      </c>
      <c r="B1229" t="s">
        <v>2</v>
      </c>
      <c r="C1229" s="1">
        <v>45681</v>
      </c>
      <c r="D1229" s="1" t="str">
        <f t="shared" si="19"/>
        <v>Bakery</v>
      </c>
      <c r="E1229" t="s">
        <v>22</v>
      </c>
      <c r="F1229" s="2">
        <v>3</v>
      </c>
      <c r="G1229" s="3">
        <v>20</v>
      </c>
      <c r="H1229" s="3">
        <f>grocery_chain_data[[#This Row],[Quantity]]*grocery_chain_data[[#This Row],[Unit Price]]</f>
        <v>60</v>
      </c>
      <c r="I1229" s="3">
        <v>9</v>
      </c>
      <c r="J1229" s="3">
        <f>grocery_chain_data[[#This Row],[Total Amount]]-grocery_chain_data[[#This Row],[Discount Amount]]</f>
        <v>51</v>
      </c>
      <c r="K1229">
        <v>185</v>
      </c>
      <c r="L1229" t="str">
        <f>IF(grocery_chain_data[[#This Row],[Final Amount]]&lt;0,"Return","Sale")</f>
        <v>Sale</v>
      </c>
      <c r="M1229">
        <f>IF(grocery_chain_data[[#This Row],[Final Amount]]&lt;0,0,grocery_chain_data[[#This Row],[Final Amount]])</f>
        <v>51</v>
      </c>
    </row>
    <row r="1230" spans="1:13" x14ac:dyDescent="0.3">
      <c r="A1230">
        <v>9011</v>
      </c>
      <c r="B1230" t="s">
        <v>5</v>
      </c>
      <c r="C1230" s="1">
        <v>45391</v>
      </c>
      <c r="D1230" s="1" t="str">
        <f t="shared" si="19"/>
        <v>Pantry</v>
      </c>
      <c r="E1230" t="s">
        <v>1</v>
      </c>
      <c r="F1230" s="2">
        <v>1</v>
      </c>
      <c r="G1230" s="3">
        <v>4</v>
      </c>
      <c r="H1230" s="3">
        <f>grocery_chain_data[[#This Row],[Quantity]]*grocery_chain_data[[#This Row],[Unit Price]]</f>
        <v>4</v>
      </c>
      <c r="I1230" s="3">
        <v>0</v>
      </c>
      <c r="J1230" s="3">
        <f>grocery_chain_data[[#This Row],[Total Amount]]-grocery_chain_data[[#This Row],[Discount Amount]]</f>
        <v>4</v>
      </c>
      <c r="K1230">
        <v>496</v>
      </c>
      <c r="L1230" t="str">
        <f>IF(grocery_chain_data[[#This Row],[Final Amount]]&lt;0,"Return","Sale")</f>
        <v>Sale</v>
      </c>
      <c r="M1230">
        <f>IF(grocery_chain_data[[#This Row],[Final Amount]]&lt;0,0,grocery_chain_data[[#This Row],[Final Amount]])</f>
        <v>4</v>
      </c>
    </row>
    <row r="1231" spans="1:13" x14ac:dyDescent="0.3">
      <c r="A1231">
        <v>8861</v>
      </c>
      <c r="B1231" t="s">
        <v>0</v>
      </c>
      <c r="C1231" s="1">
        <v>45415</v>
      </c>
      <c r="D1231" s="1" t="str">
        <f t="shared" si="19"/>
        <v>Produce</v>
      </c>
      <c r="E1231" t="s">
        <v>11</v>
      </c>
      <c r="F1231" s="2">
        <v>5</v>
      </c>
      <c r="G1231" s="3">
        <v>22</v>
      </c>
      <c r="H1231" s="3">
        <f>grocery_chain_data[[#This Row],[Quantity]]*grocery_chain_data[[#This Row],[Unit Price]]</f>
        <v>110</v>
      </c>
      <c r="I1231" s="3">
        <v>3</v>
      </c>
      <c r="J1231" s="3">
        <f>grocery_chain_data[[#This Row],[Total Amount]]-grocery_chain_data[[#This Row],[Discount Amount]]</f>
        <v>107</v>
      </c>
      <c r="K1231">
        <v>156</v>
      </c>
      <c r="L1231" t="str">
        <f>IF(grocery_chain_data[[#This Row],[Final Amount]]&lt;0,"Return","Sale")</f>
        <v>Sale</v>
      </c>
      <c r="M1231">
        <f>IF(grocery_chain_data[[#This Row],[Final Amount]]&lt;0,0,grocery_chain_data[[#This Row],[Final Amount]])</f>
        <v>107</v>
      </c>
    </row>
    <row r="1232" spans="1:13" x14ac:dyDescent="0.3">
      <c r="A1232">
        <v>5480</v>
      </c>
      <c r="B1232" t="s">
        <v>12</v>
      </c>
      <c r="C1232" s="1">
        <v>45368</v>
      </c>
      <c r="D1232" s="1" t="str">
        <f t="shared" si="19"/>
        <v>Pantry</v>
      </c>
      <c r="E1232" t="s">
        <v>1</v>
      </c>
      <c r="F1232" s="2">
        <v>5</v>
      </c>
      <c r="G1232" s="3">
        <v>4</v>
      </c>
      <c r="H1232" s="3">
        <f>grocery_chain_data[[#This Row],[Quantity]]*grocery_chain_data[[#This Row],[Unit Price]]</f>
        <v>20</v>
      </c>
      <c r="I1232" s="3">
        <v>3</v>
      </c>
      <c r="J1232" s="3">
        <f>grocery_chain_data[[#This Row],[Total Amount]]-grocery_chain_data[[#This Row],[Discount Amount]]</f>
        <v>17</v>
      </c>
      <c r="K1232">
        <v>24</v>
      </c>
      <c r="L1232" t="str">
        <f>IF(grocery_chain_data[[#This Row],[Final Amount]]&lt;0,"Return","Sale")</f>
        <v>Sale</v>
      </c>
      <c r="M1232">
        <f>IF(grocery_chain_data[[#This Row],[Final Amount]]&lt;0,0,grocery_chain_data[[#This Row],[Final Amount]])</f>
        <v>17</v>
      </c>
    </row>
    <row r="1233" spans="1:13" x14ac:dyDescent="0.3">
      <c r="A1233">
        <v>2996</v>
      </c>
      <c r="B1233" t="s">
        <v>8</v>
      </c>
      <c r="C1233" s="1">
        <v>45590</v>
      </c>
      <c r="D1233" s="1" t="str">
        <f t="shared" si="19"/>
        <v>Beverages</v>
      </c>
      <c r="E1233" t="s">
        <v>7</v>
      </c>
      <c r="F1233" s="2">
        <v>5</v>
      </c>
      <c r="G1233" s="3">
        <v>17</v>
      </c>
      <c r="H1233" s="3">
        <f>grocery_chain_data[[#This Row],[Quantity]]*grocery_chain_data[[#This Row],[Unit Price]]</f>
        <v>85</v>
      </c>
      <c r="I1233" s="3">
        <v>8</v>
      </c>
      <c r="J1233" s="3">
        <f>grocery_chain_data[[#This Row],[Total Amount]]-grocery_chain_data[[#This Row],[Discount Amount]]</f>
        <v>77</v>
      </c>
      <c r="K1233">
        <v>451</v>
      </c>
      <c r="L1233" t="str">
        <f>IF(grocery_chain_data[[#This Row],[Final Amount]]&lt;0,"Return","Sale")</f>
        <v>Sale</v>
      </c>
      <c r="M1233">
        <f>IF(grocery_chain_data[[#This Row],[Final Amount]]&lt;0,0,grocery_chain_data[[#This Row],[Final Amount]])</f>
        <v>77</v>
      </c>
    </row>
    <row r="1234" spans="1:13" x14ac:dyDescent="0.3">
      <c r="A1234">
        <v>9899</v>
      </c>
      <c r="B1234" t="s">
        <v>5</v>
      </c>
      <c r="C1234" s="1">
        <v>45439</v>
      </c>
      <c r="D1234" s="1" t="str">
        <f t="shared" si="19"/>
        <v>Produce</v>
      </c>
      <c r="E1234" t="s">
        <v>18</v>
      </c>
      <c r="F1234" s="2">
        <v>5</v>
      </c>
      <c r="G1234" s="3">
        <v>22</v>
      </c>
      <c r="H1234" s="3">
        <f>grocery_chain_data[[#This Row],[Quantity]]*grocery_chain_data[[#This Row],[Unit Price]]</f>
        <v>110</v>
      </c>
      <c r="I1234" s="3">
        <v>22</v>
      </c>
      <c r="J1234" s="3">
        <f>grocery_chain_data[[#This Row],[Total Amount]]-grocery_chain_data[[#This Row],[Discount Amount]]</f>
        <v>88</v>
      </c>
      <c r="K1234">
        <v>336</v>
      </c>
      <c r="L1234" t="str">
        <f>IF(grocery_chain_data[[#This Row],[Final Amount]]&lt;0,"Return","Sale")</f>
        <v>Sale</v>
      </c>
      <c r="M1234">
        <f>IF(grocery_chain_data[[#This Row],[Final Amount]]&lt;0,0,grocery_chain_data[[#This Row],[Final Amount]])</f>
        <v>88</v>
      </c>
    </row>
    <row r="1235" spans="1:13" x14ac:dyDescent="0.3">
      <c r="A1235">
        <v>7464</v>
      </c>
      <c r="B1235" t="s">
        <v>8</v>
      </c>
      <c r="C1235" s="1">
        <v>45780</v>
      </c>
      <c r="D1235" s="1" t="str">
        <f t="shared" si="19"/>
        <v>Pantry</v>
      </c>
      <c r="E1235" t="s">
        <v>1</v>
      </c>
      <c r="F1235" s="2">
        <v>1</v>
      </c>
      <c r="G1235" s="3">
        <v>28</v>
      </c>
      <c r="H1235" s="3">
        <f>grocery_chain_data[[#This Row],[Quantity]]*grocery_chain_data[[#This Row],[Unit Price]]</f>
        <v>28</v>
      </c>
      <c r="I1235" s="3">
        <v>0</v>
      </c>
      <c r="J1235" s="3">
        <f>grocery_chain_data[[#This Row],[Total Amount]]-grocery_chain_data[[#This Row],[Discount Amount]]</f>
        <v>28</v>
      </c>
      <c r="K1235">
        <v>327</v>
      </c>
      <c r="L1235" t="str">
        <f>IF(grocery_chain_data[[#This Row],[Final Amount]]&lt;0,"Return","Sale")</f>
        <v>Sale</v>
      </c>
      <c r="M1235">
        <f>IF(grocery_chain_data[[#This Row],[Final Amount]]&lt;0,0,grocery_chain_data[[#This Row],[Final Amount]])</f>
        <v>28</v>
      </c>
    </row>
    <row r="1236" spans="1:13" x14ac:dyDescent="0.3">
      <c r="A1236">
        <v>6654</v>
      </c>
      <c r="B1236" t="s">
        <v>21</v>
      </c>
      <c r="C1236" s="1">
        <v>45745</v>
      </c>
      <c r="D1236" s="1" t="str">
        <f t="shared" si="19"/>
        <v>Dairy</v>
      </c>
      <c r="E1236" t="s">
        <v>3</v>
      </c>
      <c r="F1236" s="2">
        <v>4</v>
      </c>
      <c r="G1236" s="3">
        <v>6</v>
      </c>
      <c r="H1236" s="3">
        <f>grocery_chain_data[[#This Row],[Quantity]]*grocery_chain_data[[#This Row],[Unit Price]]</f>
        <v>24</v>
      </c>
      <c r="I1236" s="3">
        <v>2</v>
      </c>
      <c r="J1236" s="3">
        <f>grocery_chain_data[[#This Row],[Total Amount]]-grocery_chain_data[[#This Row],[Discount Amount]]</f>
        <v>22</v>
      </c>
      <c r="K1236">
        <v>181</v>
      </c>
      <c r="L1236" t="str">
        <f>IF(grocery_chain_data[[#This Row],[Final Amount]]&lt;0,"Return","Sale")</f>
        <v>Sale</v>
      </c>
      <c r="M1236">
        <f>IF(grocery_chain_data[[#This Row],[Final Amount]]&lt;0,0,grocery_chain_data[[#This Row],[Final Amount]])</f>
        <v>22</v>
      </c>
    </row>
    <row r="1237" spans="1:13" x14ac:dyDescent="0.3">
      <c r="A1237">
        <v>3399</v>
      </c>
      <c r="B1237" t="s">
        <v>8</v>
      </c>
      <c r="C1237" s="1">
        <v>45370</v>
      </c>
      <c r="D1237" s="1" t="str">
        <f t="shared" si="19"/>
        <v>Meat &amp; Seafood</v>
      </c>
      <c r="E1237" t="s">
        <v>9</v>
      </c>
      <c r="F1237" s="2">
        <v>3</v>
      </c>
      <c r="G1237" s="3">
        <v>19</v>
      </c>
      <c r="H1237" s="3">
        <f>grocery_chain_data[[#This Row],[Quantity]]*grocery_chain_data[[#This Row],[Unit Price]]</f>
        <v>57</v>
      </c>
      <c r="I1237" s="3">
        <v>6</v>
      </c>
      <c r="J1237" s="3">
        <f>grocery_chain_data[[#This Row],[Total Amount]]-grocery_chain_data[[#This Row],[Discount Amount]]</f>
        <v>51</v>
      </c>
      <c r="K1237">
        <v>44</v>
      </c>
      <c r="L1237" t="str">
        <f>IF(grocery_chain_data[[#This Row],[Final Amount]]&lt;0,"Return","Sale")</f>
        <v>Sale</v>
      </c>
      <c r="M1237">
        <f>IF(grocery_chain_data[[#This Row],[Final Amount]]&lt;0,0,grocery_chain_data[[#This Row],[Final Amount]])</f>
        <v>51</v>
      </c>
    </row>
    <row r="1238" spans="1:13" x14ac:dyDescent="0.3">
      <c r="A1238">
        <v>1689</v>
      </c>
      <c r="B1238" t="s">
        <v>16</v>
      </c>
      <c r="C1238" s="1">
        <v>45368</v>
      </c>
      <c r="D1238" s="1" t="str">
        <f t="shared" si="19"/>
        <v>Bakery</v>
      </c>
      <c r="E1238" t="s">
        <v>22</v>
      </c>
      <c r="F1238" s="2">
        <v>1</v>
      </c>
      <c r="G1238" s="3">
        <v>22</v>
      </c>
      <c r="H1238" s="3">
        <f>grocery_chain_data[[#This Row],[Quantity]]*grocery_chain_data[[#This Row],[Unit Price]]</f>
        <v>22</v>
      </c>
      <c r="I1238" s="3">
        <v>4</v>
      </c>
      <c r="J1238" s="3">
        <f>grocery_chain_data[[#This Row],[Total Amount]]-grocery_chain_data[[#This Row],[Discount Amount]]</f>
        <v>18</v>
      </c>
      <c r="K1238">
        <v>483</v>
      </c>
      <c r="L1238" t="str">
        <f>IF(grocery_chain_data[[#This Row],[Final Amount]]&lt;0,"Return","Sale")</f>
        <v>Sale</v>
      </c>
      <c r="M1238">
        <f>IF(grocery_chain_data[[#This Row],[Final Amount]]&lt;0,0,grocery_chain_data[[#This Row],[Final Amount]])</f>
        <v>18</v>
      </c>
    </row>
    <row r="1239" spans="1:13" x14ac:dyDescent="0.3">
      <c r="A1239">
        <v>2294</v>
      </c>
      <c r="B1239" t="s">
        <v>13</v>
      </c>
      <c r="C1239" s="1">
        <v>45414</v>
      </c>
      <c r="D1239" s="1" t="str">
        <f t="shared" si="19"/>
        <v>Produce</v>
      </c>
      <c r="E1239" t="s">
        <v>17</v>
      </c>
      <c r="F1239" s="2">
        <v>5</v>
      </c>
      <c r="G1239" s="3">
        <v>28</v>
      </c>
      <c r="H1239" s="3">
        <f>grocery_chain_data[[#This Row],[Quantity]]*grocery_chain_data[[#This Row],[Unit Price]]</f>
        <v>140</v>
      </c>
      <c r="I1239" s="3">
        <v>14</v>
      </c>
      <c r="J1239" s="3">
        <f>grocery_chain_data[[#This Row],[Total Amount]]-grocery_chain_data[[#This Row],[Discount Amount]]</f>
        <v>126</v>
      </c>
      <c r="K1239">
        <v>413</v>
      </c>
      <c r="L1239" t="str">
        <f>IF(grocery_chain_data[[#This Row],[Final Amount]]&lt;0,"Return","Sale")</f>
        <v>Sale</v>
      </c>
      <c r="M1239">
        <f>IF(grocery_chain_data[[#This Row],[Final Amount]]&lt;0,0,grocery_chain_data[[#This Row],[Final Amount]])</f>
        <v>126</v>
      </c>
    </row>
    <row r="1240" spans="1:13" x14ac:dyDescent="0.3">
      <c r="A1240">
        <v>8247</v>
      </c>
      <c r="B1240" t="s">
        <v>2</v>
      </c>
      <c r="C1240" s="1">
        <v>45654</v>
      </c>
      <c r="D1240" s="1" t="str">
        <f t="shared" si="19"/>
        <v>Produce</v>
      </c>
      <c r="E1240" t="s">
        <v>25</v>
      </c>
      <c r="F1240" s="2">
        <v>4</v>
      </c>
      <c r="G1240" s="3">
        <v>16</v>
      </c>
      <c r="H1240" s="3">
        <f>grocery_chain_data[[#This Row],[Quantity]]*grocery_chain_data[[#This Row],[Unit Price]]</f>
        <v>64</v>
      </c>
      <c r="I1240" s="3">
        <v>6</v>
      </c>
      <c r="J1240" s="3">
        <f>grocery_chain_data[[#This Row],[Total Amount]]-grocery_chain_data[[#This Row],[Discount Amount]]</f>
        <v>58</v>
      </c>
      <c r="K1240">
        <v>346</v>
      </c>
      <c r="L1240" t="str">
        <f>IF(grocery_chain_data[[#This Row],[Final Amount]]&lt;0,"Return","Sale")</f>
        <v>Sale</v>
      </c>
      <c r="M1240">
        <f>IF(grocery_chain_data[[#This Row],[Final Amount]]&lt;0,0,grocery_chain_data[[#This Row],[Final Amount]])</f>
        <v>58</v>
      </c>
    </row>
    <row r="1241" spans="1:13" x14ac:dyDescent="0.3">
      <c r="A1241">
        <v>5201</v>
      </c>
      <c r="B1241" t="s">
        <v>13</v>
      </c>
      <c r="C1241" s="1">
        <v>45725</v>
      </c>
      <c r="D1241" s="1" t="str">
        <f t="shared" si="19"/>
        <v>Dairy</v>
      </c>
      <c r="E1241" t="s">
        <v>23</v>
      </c>
      <c r="F1241" s="2">
        <v>1</v>
      </c>
      <c r="G1241" s="3">
        <v>22</v>
      </c>
      <c r="H1241" s="3">
        <f>grocery_chain_data[[#This Row],[Quantity]]*grocery_chain_data[[#This Row],[Unit Price]]</f>
        <v>22</v>
      </c>
      <c r="I1241" s="3">
        <v>4</v>
      </c>
      <c r="J1241" s="3">
        <f>grocery_chain_data[[#This Row],[Total Amount]]-grocery_chain_data[[#This Row],[Discount Amount]]</f>
        <v>18</v>
      </c>
      <c r="K1241">
        <v>359</v>
      </c>
      <c r="L1241" t="str">
        <f>IF(grocery_chain_data[[#This Row],[Final Amount]]&lt;0,"Return","Sale")</f>
        <v>Sale</v>
      </c>
      <c r="M1241">
        <f>IF(grocery_chain_data[[#This Row],[Final Amount]]&lt;0,0,grocery_chain_data[[#This Row],[Final Amount]])</f>
        <v>18</v>
      </c>
    </row>
    <row r="1242" spans="1:13" x14ac:dyDescent="0.3">
      <c r="A1242">
        <v>8849</v>
      </c>
      <c r="B1242" t="s">
        <v>2</v>
      </c>
      <c r="C1242" s="1">
        <v>45311</v>
      </c>
      <c r="D1242" s="1" t="str">
        <f t="shared" si="19"/>
        <v>Dairy</v>
      </c>
      <c r="E1242" t="s">
        <v>19</v>
      </c>
      <c r="F1242" s="2">
        <v>5</v>
      </c>
      <c r="G1242" s="3">
        <v>14</v>
      </c>
      <c r="H1242" s="3">
        <f>grocery_chain_data[[#This Row],[Quantity]]*grocery_chain_data[[#This Row],[Unit Price]]</f>
        <v>70</v>
      </c>
      <c r="I1242" s="3">
        <v>14</v>
      </c>
      <c r="J1242" s="3">
        <f>grocery_chain_data[[#This Row],[Total Amount]]-grocery_chain_data[[#This Row],[Discount Amount]]</f>
        <v>56</v>
      </c>
      <c r="K1242">
        <v>86</v>
      </c>
      <c r="L1242" t="str">
        <f>IF(grocery_chain_data[[#This Row],[Final Amount]]&lt;0,"Return","Sale")</f>
        <v>Sale</v>
      </c>
      <c r="M1242">
        <f>IF(grocery_chain_data[[#This Row],[Final Amount]]&lt;0,0,grocery_chain_data[[#This Row],[Final Amount]])</f>
        <v>56</v>
      </c>
    </row>
    <row r="1243" spans="1:13" x14ac:dyDescent="0.3">
      <c r="A1243">
        <v>4310</v>
      </c>
      <c r="B1243" t="s">
        <v>0</v>
      </c>
      <c r="C1243" s="1">
        <v>45788</v>
      </c>
      <c r="D1243" s="1" t="str">
        <f t="shared" si="19"/>
        <v>Dairy</v>
      </c>
      <c r="E1243" t="s">
        <v>20</v>
      </c>
      <c r="F1243" s="2">
        <v>5</v>
      </c>
      <c r="G1243" s="3">
        <v>11</v>
      </c>
      <c r="H1243" s="3">
        <f>grocery_chain_data[[#This Row],[Quantity]]*grocery_chain_data[[#This Row],[Unit Price]]</f>
        <v>55</v>
      </c>
      <c r="I1243" s="3">
        <v>6</v>
      </c>
      <c r="J1243" s="3">
        <f>grocery_chain_data[[#This Row],[Total Amount]]-grocery_chain_data[[#This Row],[Discount Amount]]</f>
        <v>49</v>
      </c>
      <c r="K1243">
        <v>26</v>
      </c>
      <c r="L1243" t="str">
        <f>IF(grocery_chain_data[[#This Row],[Final Amount]]&lt;0,"Return","Sale")</f>
        <v>Sale</v>
      </c>
      <c r="M1243">
        <f>IF(grocery_chain_data[[#This Row],[Final Amount]]&lt;0,0,grocery_chain_data[[#This Row],[Final Amount]])</f>
        <v>49</v>
      </c>
    </row>
    <row r="1244" spans="1:13" x14ac:dyDescent="0.3">
      <c r="A1244">
        <v>9824</v>
      </c>
      <c r="B1244" t="s">
        <v>8</v>
      </c>
      <c r="C1244" s="1">
        <v>45355</v>
      </c>
      <c r="D1244" s="1" t="str">
        <f t="shared" si="19"/>
        <v>Beverages</v>
      </c>
      <c r="E1244" t="s">
        <v>7</v>
      </c>
      <c r="F1244" s="2">
        <v>1</v>
      </c>
      <c r="G1244" s="3">
        <v>11</v>
      </c>
      <c r="H1244" s="3">
        <f>grocery_chain_data[[#This Row],[Quantity]]*grocery_chain_data[[#This Row],[Unit Price]]</f>
        <v>11</v>
      </c>
      <c r="I1244" s="3">
        <v>4</v>
      </c>
      <c r="J1244" s="3">
        <f>grocery_chain_data[[#This Row],[Total Amount]]-grocery_chain_data[[#This Row],[Discount Amount]]</f>
        <v>7</v>
      </c>
      <c r="K1244">
        <v>347</v>
      </c>
      <c r="L1244" t="str">
        <f>IF(grocery_chain_data[[#This Row],[Final Amount]]&lt;0,"Return","Sale")</f>
        <v>Sale</v>
      </c>
      <c r="M1244">
        <f>IF(grocery_chain_data[[#This Row],[Final Amount]]&lt;0,0,grocery_chain_data[[#This Row],[Final Amount]])</f>
        <v>7</v>
      </c>
    </row>
    <row r="1245" spans="1:13" x14ac:dyDescent="0.3">
      <c r="A1245">
        <v>5450</v>
      </c>
      <c r="B1245" t="s">
        <v>0</v>
      </c>
      <c r="C1245" s="1">
        <v>45251</v>
      </c>
      <c r="D1245" s="1" t="str">
        <f t="shared" si="19"/>
        <v>Produce</v>
      </c>
      <c r="E1245" t="s">
        <v>17</v>
      </c>
      <c r="F1245" s="2">
        <v>4</v>
      </c>
      <c r="G1245" s="3">
        <v>10</v>
      </c>
      <c r="H1245" s="3">
        <f>grocery_chain_data[[#This Row],[Quantity]]*grocery_chain_data[[#This Row],[Unit Price]]</f>
        <v>40</v>
      </c>
      <c r="I1245" s="3">
        <v>0</v>
      </c>
      <c r="J1245" s="3">
        <f>grocery_chain_data[[#This Row],[Total Amount]]-grocery_chain_data[[#This Row],[Discount Amount]]</f>
        <v>40</v>
      </c>
      <c r="K1245">
        <v>109</v>
      </c>
      <c r="L1245" t="str">
        <f>IF(grocery_chain_data[[#This Row],[Final Amount]]&lt;0,"Return","Sale")</f>
        <v>Sale</v>
      </c>
      <c r="M1245">
        <f>IF(grocery_chain_data[[#This Row],[Final Amount]]&lt;0,0,grocery_chain_data[[#This Row],[Final Amount]])</f>
        <v>40</v>
      </c>
    </row>
    <row r="1246" spans="1:13" x14ac:dyDescent="0.3">
      <c r="A1246">
        <v>2789</v>
      </c>
      <c r="B1246" t="s">
        <v>8</v>
      </c>
      <c r="C1246" s="1">
        <v>45623</v>
      </c>
      <c r="D1246" s="1" t="str">
        <f t="shared" si="19"/>
        <v>Produce</v>
      </c>
      <c r="E1246" t="s">
        <v>17</v>
      </c>
      <c r="F1246" s="2">
        <v>5</v>
      </c>
      <c r="G1246" s="3">
        <v>25</v>
      </c>
      <c r="H1246" s="3">
        <f>grocery_chain_data[[#This Row],[Quantity]]*grocery_chain_data[[#This Row],[Unit Price]]</f>
        <v>125</v>
      </c>
      <c r="I1246" s="3">
        <v>4</v>
      </c>
      <c r="J1246" s="3">
        <f>grocery_chain_data[[#This Row],[Total Amount]]-grocery_chain_data[[#This Row],[Discount Amount]]</f>
        <v>121</v>
      </c>
      <c r="K1246">
        <v>18</v>
      </c>
      <c r="L1246" t="str">
        <f>IF(grocery_chain_data[[#This Row],[Final Amount]]&lt;0,"Return","Sale")</f>
        <v>Sale</v>
      </c>
      <c r="M1246">
        <f>IF(grocery_chain_data[[#This Row],[Final Amount]]&lt;0,0,grocery_chain_data[[#This Row],[Final Amount]])</f>
        <v>121</v>
      </c>
    </row>
    <row r="1247" spans="1:13" x14ac:dyDescent="0.3">
      <c r="A1247">
        <v>4920</v>
      </c>
      <c r="B1247" t="s">
        <v>13</v>
      </c>
      <c r="C1247" s="1">
        <v>45333</v>
      </c>
      <c r="D1247" s="1" t="str">
        <f t="shared" si="19"/>
        <v>Produce</v>
      </c>
      <c r="E1247" t="s">
        <v>18</v>
      </c>
      <c r="F1247" s="2">
        <v>5</v>
      </c>
      <c r="G1247" s="3">
        <v>14</v>
      </c>
      <c r="H1247" s="3">
        <f>grocery_chain_data[[#This Row],[Quantity]]*grocery_chain_data[[#This Row],[Unit Price]]</f>
        <v>70</v>
      </c>
      <c r="I1247" s="3">
        <v>1</v>
      </c>
      <c r="J1247" s="3">
        <f>grocery_chain_data[[#This Row],[Total Amount]]-grocery_chain_data[[#This Row],[Discount Amount]]</f>
        <v>69</v>
      </c>
      <c r="K1247">
        <v>152</v>
      </c>
      <c r="L1247" t="str">
        <f>IF(grocery_chain_data[[#This Row],[Final Amount]]&lt;0,"Return","Sale")</f>
        <v>Sale</v>
      </c>
      <c r="M1247">
        <f>IF(grocery_chain_data[[#This Row],[Final Amount]]&lt;0,0,grocery_chain_data[[#This Row],[Final Amount]])</f>
        <v>69</v>
      </c>
    </row>
    <row r="1248" spans="1:13" x14ac:dyDescent="0.3">
      <c r="A1248">
        <v>1831</v>
      </c>
      <c r="B1248" t="s">
        <v>5</v>
      </c>
      <c r="C1248" s="1">
        <v>45665</v>
      </c>
      <c r="D1248" s="1" t="str">
        <f t="shared" si="19"/>
        <v>Beverages</v>
      </c>
      <c r="E1248" t="s">
        <v>7</v>
      </c>
      <c r="F1248" s="2">
        <v>1</v>
      </c>
      <c r="G1248" s="3">
        <v>4</v>
      </c>
      <c r="H1248" s="3">
        <f>grocery_chain_data[[#This Row],[Quantity]]*grocery_chain_data[[#This Row],[Unit Price]]</f>
        <v>4</v>
      </c>
      <c r="I1248" s="3">
        <v>3</v>
      </c>
      <c r="J1248" s="3">
        <f>grocery_chain_data[[#This Row],[Total Amount]]-grocery_chain_data[[#This Row],[Discount Amount]]</f>
        <v>1</v>
      </c>
      <c r="K1248">
        <v>251</v>
      </c>
      <c r="L1248" t="str">
        <f>IF(grocery_chain_data[[#This Row],[Final Amount]]&lt;0,"Return","Sale")</f>
        <v>Sale</v>
      </c>
      <c r="M1248">
        <f>IF(grocery_chain_data[[#This Row],[Final Amount]]&lt;0,0,grocery_chain_data[[#This Row],[Final Amount]])</f>
        <v>1</v>
      </c>
    </row>
    <row r="1249" spans="1:13" x14ac:dyDescent="0.3">
      <c r="A1249">
        <v>9700</v>
      </c>
      <c r="B1249" t="s">
        <v>5</v>
      </c>
      <c r="C1249" s="1">
        <v>45320</v>
      </c>
      <c r="D1249" s="1" t="str">
        <f t="shared" si="19"/>
        <v>Meat &amp; Seafood</v>
      </c>
      <c r="E1249" t="s">
        <v>26</v>
      </c>
      <c r="F1249" s="2">
        <v>4</v>
      </c>
      <c r="G1249" s="3">
        <v>1</v>
      </c>
      <c r="H1249" s="3">
        <f>grocery_chain_data[[#This Row],[Quantity]]*grocery_chain_data[[#This Row],[Unit Price]]</f>
        <v>4</v>
      </c>
      <c r="I1249" s="3">
        <v>1</v>
      </c>
      <c r="J1249" s="3">
        <f>grocery_chain_data[[#This Row],[Total Amount]]-grocery_chain_data[[#This Row],[Discount Amount]]</f>
        <v>3</v>
      </c>
      <c r="K1249">
        <v>393</v>
      </c>
      <c r="L1249" t="str">
        <f>IF(grocery_chain_data[[#This Row],[Final Amount]]&lt;0,"Return","Sale")</f>
        <v>Sale</v>
      </c>
      <c r="M1249">
        <f>IF(grocery_chain_data[[#This Row],[Final Amount]]&lt;0,0,grocery_chain_data[[#This Row],[Final Amount]])</f>
        <v>3</v>
      </c>
    </row>
    <row r="1250" spans="1:13" x14ac:dyDescent="0.3">
      <c r="A1250">
        <v>4814</v>
      </c>
      <c r="B1250" t="s">
        <v>10</v>
      </c>
      <c r="C1250" s="1">
        <v>45185</v>
      </c>
      <c r="D1250" s="1" t="str">
        <f t="shared" si="19"/>
        <v>Beverages</v>
      </c>
      <c r="E1250" t="s">
        <v>7</v>
      </c>
      <c r="F1250" s="2">
        <v>3</v>
      </c>
      <c r="G1250" s="3">
        <v>12</v>
      </c>
      <c r="H1250" s="3">
        <f>grocery_chain_data[[#This Row],[Quantity]]*grocery_chain_data[[#This Row],[Unit Price]]</f>
        <v>36</v>
      </c>
      <c r="I1250" s="3">
        <v>4</v>
      </c>
      <c r="J1250" s="3">
        <f>grocery_chain_data[[#This Row],[Total Amount]]-grocery_chain_data[[#This Row],[Discount Amount]]</f>
        <v>32</v>
      </c>
      <c r="K1250">
        <v>456</v>
      </c>
      <c r="L1250" t="str">
        <f>IF(grocery_chain_data[[#This Row],[Final Amount]]&lt;0,"Return","Sale")</f>
        <v>Sale</v>
      </c>
      <c r="M1250">
        <f>IF(grocery_chain_data[[#This Row],[Final Amount]]&lt;0,0,grocery_chain_data[[#This Row],[Final Amount]])</f>
        <v>32</v>
      </c>
    </row>
    <row r="1251" spans="1:13" x14ac:dyDescent="0.3">
      <c r="A1251">
        <v>2641</v>
      </c>
      <c r="B1251" t="s">
        <v>0</v>
      </c>
      <c r="C1251" s="1">
        <v>45466</v>
      </c>
      <c r="D1251" s="1" t="str">
        <f t="shared" si="19"/>
        <v>Meat &amp; Seafood</v>
      </c>
      <c r="E1251" t="s">
        <v>15</v>
      </c>
      <c r="F1251" s="2">
        <v>2</v>
      </c>
      <c r="G1251" s="3">
        <v>5</v>
      </c>
      <c r="H1251" s="3">
        <f>grocery_chain_data[[#This Row],[Quantity]]*grocery_chain_data[[#This Row],[Unit Price]]</f>
        <v>10</v>
      </c>
      <c r="I1251" s="3">
        <v>2</v>
      </c>
      <c r="J1251" s="3">
        <f>grocery_chain_data[[#This Row],[Total Amount]]-grocery_chain_data[[#This Row],[Discount Amount]]</f>
        <v>8</v>
      </c>
      <c r="K1251">
        <v>382</v>
      </c>
      <c r="L1251" t="str">
        <f>IF(grocery_chain_data[[#This Row],[Final Amount]]&lt;0,"Return","Sale")</f>
        <v>Sale</v>
      </c>
      <c r="M1251">
        <f>IF(grocery_chain_data[[#This Row],[Final Amount]]&lt;0,0,grocery_chain_data[[#This Row],[Final Amount]])</f>
        <v>8</v>
      </c>
    </row>
    <row r="1252" spans="1:13" x14ac:dyDescent="0.3">
      <c r="A1252">
        <v>6411</v>
      </c>
      <c r="B1252" t="s">
        <v>21</v>
      </c>
      <c r="C1252" s="1">
        <v>45702</v>
      </c>
      <c r="D1252" s="1" t="str">
        <f t="shared" si="19"/>
        <v>Dairy</v>
      </c>
      <c r="E1252" t="s">
        <v>23</v>
      </c>
      <c r="F1252" s="2">
        <v>3</v>
      </c>
      <c r="G1252" s="3">
        <v>2</v>
      </c>
      <c r="H1252" s="3">
        <f>grocery_chain_data[[#This Row],[Quantity]]*grocery_chain_data[[#This Row],[Unit Price]]</f>
        <v>6</v>
      </c>
      <c r="I1252" s="3">
        <v>0</v>
      </c>
      <c r="J1252" s="3">
        <f>grocery_chain_data[[#This Row],[Total Amount]]-grocery_chain_data[[#This Row],[Discount Amount]]</f>
        <v>6</v>
      </c>
      <c r="K1252">
        <v>202</v>
      </c>
      <c r="L1252" t="str">
        <f>IF(grocery_chain_data[[#This Row],[Final Amount]]&lt;0,"Return","Sale")</f>
        <v>Sale</v>
      </c>
      <c r="M1252">
        <f>IF(grocery_chain_data[[#This Row],[Final Amount]]&lt;0,0,grocery_chain_data[[#This Row],[Final Amount]])</f>
        <v>6</v>
      </c>
    </row>
    <row r="1253" spans="1:13" x14ac:dyDescent="0.3">
      <c r="A1253">
        <v>8739</v>
      </c>
      <c r="B1253" t="s">
        <v>16</v>
      </c>
      <c r="C1253" s="1">
        <v>45223</v>
      </c>
      <c r="D1253" s="1" t="str">
        <f t="shared" si="19"/>
        <v>Produce</v>
      </c>
      <c r="E1253" t="s">
        <v>11</v>
      </c>
      <c r="F1253" s="2">
        <v>2</v>
      </c>
      <c r="G1253" s="3">
        <v>28</v>
      </c>
      <c r="H1253" s="3">
        <f>grocery_chain_data[[#This Row],[Quantity]]*grocery_chain_data[[#This Row],[Unit Price]]</f>
        <v>56</v>
      </c>
      <c r="I1253" s="3">
        <v>3</v>
      </c>
      <c r="J1253" s="3">
        <f>grocery_chain_data[[#This Row],[Total Amount]]-grocery_chain_data[[#This Row],[Discount Amount]]</f>
        <v>53</v>
      </c>
      <c r="K1253">
        <v>491</v>
      </c>
      <c r="L1253" t="str">
        <f>IF(grocery_chain_data[[#This Row],[Final Amount]]&lt;0,"Return","Sale")</f>
        <v>Sale</v>
      </c>
      <c r="M1253">
        <f>IF(grocery_chain_data[[#This Row],[Final Amount]]&lt;0,0,grocery_chain_data[[#This Row],[Final Amount]])</f>
        <v>53</v>
      </c>
    </row>
    <row r="1254" spans="1:13" x14ac:dyDescent="0.3">
      <c r="A1254">
        <v>3252</v>
      </c>
      <c r="B1254" t="s">
        <v>2</v>
      </c>
      <c r="C1254" s="1">
        <v>45149</v>
      </c>
      <c r="D1254" s="1" t="str">
        <f t="shared" si="19"/>
        <v>Dairy</v>
      </c>
      <c r="E1254" t="s">
        <v>20</v>
      </c>
      <c r="F1254" s="2">
        <v>3</v>
      </c>
      <c r="G1254" s="3">
        <v>23</v>
      </c>
      <c r="H1254" s="3">
        <f>grocery_chain_data[[#This Row],[Quantity]]*grocery_chain_data[[#This Row],[Unit Price]]</f>
        <v>69</v>
      </c>
      <c r="I1254" s="3">
        <v>4</v>
      </c>
      <c r="J1254" s="3">
        <f>grocery_chain_data[[#This Row],[Total Amount]]-grocery_chain_data[[#This Row],[Discount Amount]]</f>
        <v>65</v>
      </c>
      <c r="K1254">
        <v>399</v>
      </c>
      <c r="L1254" t="str">
        <f>IF(grocery_chain_data[[#This Row],[Final Amount]]&lt;0,"Return","Sale")</f>
        <v>Sale</v>
      </c>
      <c r="M1254">
        <f>IF(grocery_chain_data[[#This Row],[Final Amount]]&lt;0,0,grocery_chain_data[[#This Row],[Final Amount]])</f>
        <v>65</v>
      </c>
    </row>
    <row r="1255" spans="1:13" x14ac:dyDescent="0.3">
      <c r="A1255">
        <v>3587</v>
      </c>
      <c r="B1255" t="s">
        <v>8</v>
      </c>
      <c r="C1255" s="1">
        <v>45461</v>
      </c>
      <c r="D1255" s="1" t="str">
        <f t="shared" si="19"/>
        <v>Meat &amp; Seafood</v>
      </c>
      <c r="E1255" t="s">
        <v>26</v>
      </c>
      <c r="F1255" s="2">
        <v>1</v>
      </c>
      <c r="G1255" s="3">
        <v>24</v>
      </c>
      <c r="H1255" s="3">
        <f>grocery_chain_data[[#This Row],[Quantity]]*grocery_chain_data[[#This Row],[Unit Price]]</f>
        <v>24</v>
      </c>
      <c r="I1255" s="3">
        <v>4</v>
      </c>
      <c r="J1255" s="3">
        <f>grocery_chain_data[[#This Row],[Total Amount]]-grocery_chain_data[[#This Row],[Discount Amount]]</f>
        <v>20</v>
      </c>
      <c r="K1255">
        <v>64</v>
      </c>
      <c r="L1255" t="str">
        <f>IF(grocery_chain_data[[#This Row],[Final Amount]]&lt;0,"Return","Sale")</f>
        <v>Sale</v>
      </c>
      <c r="M1255">
        <f>IF(grocery_chain_data[[#This Row],[Final Amount]]&lt;0,0,grocery_chain_data[[#This Row],[Final Amount]])</f>
        <v>20</v>
      </c>
    </row>
    <row r="1256" spans="1:13" x14ac:dyDescent="0.3">
      <c r="A1256">
        <v>8793</v>
      </c>
      <c r="B1256" t="s">
        <v>2</v>
      </c>
      <c r="C1256" s="1">
        <v>45515</v>
      </c>
      <c r="D1256" s="1" t="str">
        <f t="shared" si="19"/>
        <v>Meat &amp; Seafood</v>
      </c>
      <c r="E1256" t="s">
        <v>9</v>
      </c>
      <c r="F1256" s="2">
        <v>1</v>
      </c>
      <c r="G1256" s="3">
        <v>21</v>
      </c>
      <c r="H1256" s="3">
        <f>grocery_chain_data[[#This Row],[Quantity]]*grocery_chain_data[[#This Row],[Unit Price]]</f>
        <v>21</v>
      </c>
      <c r="I1256" s="3">
        <v>4</v>
      </c>
      <c r="J1256" s="3">
        <f>grocery_chain_data[[#This Row],[Total Amount]]-grocery_chain_data[[#This Row],[Discount Amount]]</f>
        <v>17</v>
      </c>
      <c r="K1256">
        <v>175</v>
      </c>
      <c r="L1256" t="str">
        <f>IF(grocery_chain_data[[#This Row],[Final Amount]]&lt;0,"Return","Sale")</f>
        <v>Sale</v>
      </c>
      <c r="M1256">
        <f>IF(grocery_chain_data[[#This Row],[Final Amount]]&lt;0,0,grocery_chain_data[[#This Row],[Final Amount]])</f>
        <v>17</v>
      </c>
    </row>
    <row r="1257" spans="1:13" x14ac:dyDescent="0.3">
      <c r="A1257">
        <v>4267</v>
      </c>
      <c r="B1257" t="s">
        <v>27</v>
      </c>
      <c r="C1257" s="1">
        <v>45732</v>
      </c>
      <c r="D1257" s="1" t="str">
        <f t="shared" si="19"/>
        <v>Produce</v>
      </c>
      <c r="E1257" t="s">
        <v>17</v>
      </c>
      <c r="F1257" s="2">
        <v>3</v>
      </c>
      <c r="G1257" s="3">
        <v>15</v>
      </c>
      <c r="H1257" s="3">
        <f>grocery_chain_data[[#This Row],[Quantity]]*grocery_chain_data[[#This Row],[Unit Price]]</f>
        <v>45</v>
      </c>
      <c r="I1257" s="3">
        <v>9</v>
      </c>
      <c r="J1257" s="3">
        <f>grocery_chain_data[[#This Row],[Total Amount]]-grocery_chain_data[[#This Row],[Discount Amount]]</f>
        <v>36</v>
      </c>
      <c r="K1257">
        <v>389</v>
      </c>
      <c r="L1257" t="str">
        <f>IF(grocery_chain_data[[#This Row],[Final Amount]]&lt;0,"Return","Sale")</f>
        <v>Sale</v>
      </c>
      <c r="M1257">
        <f>IF(grocery_chain_data[[#This Row],[Final Amount]]&lt;0,0,grocery_chain_data[[#This Row],[Final Amount]])</f>
        <v>36</v>
      </c>
    </row>
    <row r="1258" spans="1:13" x14ac:dyDescent="0.3">
      <c r="A1258">
        <v>5706</v>
      </c>
      <c r="B1258" t="s">
        <v>5</v>
      </c>
      <c r="C1258" s="1">
        <v>45394</v>
      </c>
      <c r="D1258" s="1" t="str">
        <f t="shared" si="19"/>
        <v>Produce</v>
      </c>
      <c r="E1258" t="s">
        <v>11</v>
      </c>
      <c r="F1258" s="2">
        <v>2</v>
      </c>
      <c r="G1258" s="3">
        <v>9</v>
      </c>
      <c r="H1258" s="3">
        <f>grocery_chain_data[[#This Row],[Quantity]]*grocery_chain_data[[#This Row],[Unit Price]]</f>
        <v>18</v>
      </c>
      <c r="I1258" s="3">
        <v>0</v>
      </c>
      <c r="J1258" s="3">
        <f>grocery_chain_data[[#This Row],[Total Amount]]-grocery_chain_data[[#This Row],[Discount Amount]]</f>
        <v>18</v>
      </c>
      <c r="K1258">
        <v>58</v>
      </c>
      <c r="L1258" t="str">
        <f>IF(grocery_chain_data[[#This Row],[Final Amount]]&lt;0,"Return","Sale")</f>
        <v>Sale</v>
      </c>
      <c r="M1258">
        <f>IF(grocery_chain_data[[#This Row],[Final Amount]]&lt;0,0,grocery_chain_data[[#This Row],[Final Amount]])</f>
        <v>18</v>
      </c>
    </row>
    <row r="1259" spans="1:13" x14ac:dyDescent="0.3">
      <c r="A1259">
        <v>5676</v>
      </c>
      <c r="B1259" t="s">
        <v>21</v>
      </c>
      <c r="C1259" s="1">
        <v>45646</v>
      </c>
      <c r="D1259" s="1" t="str">
        <f t="shared" si="19"/>
        <v>Dairy</v>
      </c>
      <c r="E1259" t="s">
        <v>3</v>
      </c>
      <c r="F1259" s="2">
        <v>2</v>
      </c>
      <c r="G1259" s="3">
        <v>15</v>
      </c>
      <c r="H1259" s="3">
        <f>grocery_chain_data[[#This Row],[Quantity]]*grocery_chain_data[[#This Row],[Unit Price]]</f>
        <v>30</v>
      </c>
      <c r="I1259" s="3">
        <v>0</v>
      </c>
      <c r="J1259" s="3">
        <f>grocery_chain_data[[#This Row],[Total Amount]]-grocery_chain_data[[#This Row],[Discount Amount]]</f>
        <v>30</v>
      </c>
      <c r="K1259">
        <v>400</v>
      </c>
      <c r="L1259" t="str">
        <f>IF(grocery_chain_data[[#This Row],[Final Amount]]&lt;0,"Return","Sale")</f>
        <v>Sale</v>
      </c>
      <c r="M1259">
        <f>IF(grocery_chain_data[[#This Row],[Final Amount]]&lt;0,0,grocery_chain_data[[#This Row],[Final Amount]])</f>
        <v>30</v>
      </c>
    </row>
    <row r="1260" spans="1:13" x14ac:dyDescent="0.3">
      <c r="A1260">
        <v>1969</v>
      </c>
      <c r="B1260" t="s">
        <v>2</v>
      </c>
      <c r="C1260" s="1">
        <v>45850</v>
      </c>
      <c r="D1260" s="1" t="str">
        <f t="shared" si="19"/>
        <v>Produce</v>
      </c>
      <c r="E1260" t="s">
        <v>11</v>
      </c>
      <c r="F1260" s="2">
        <v>2</v>
      </c>
      <c r="G1260" s="3">
        <v>30</v>
      </c>
      <c r="H1260" s="3">
        <f>grocery_chain_data[[#This Row],[Quantity]]*grocery_chain_data[[#This Row],[Unit Price]]</f>
        <v>60</v>
      </c>
      <c r="I1260" s="3">
        <v>12</v>
      </c>
      <c r="J1260" s="3">
        <f>grocery_chain_data[[#This Row],[Total Amount]]-grocery_chain_data[[#This Row],[Discount Amount]]</f>
        <v>48</v>
      </c>
      <c r="K1260">
        <v>302</v>
      </c>
      <c r="L1260" t="str">
        <f>IF(grocery_chain_data[[#This Row],[Final Amount]]&lt;0,"Return","Sale")</f>
        <v>Sale</v>
      </c>
      <c r="M1260">
        <f>IF(grocery_chain_data[[#This Row],[Final Amount]]&lt;0,0,grocery_chain_data[[#This Row],[Final Amount]])</f>
        <v>48</v>
      </c>
    </row>
    <row r="1261" spans="1:13" x14ac:dyDescent="0.3">
      <c r="A1261">
        <v>2465</v>
      </c>
      <c r="B1261" t="s">
        <v>0</v>
      </c>
      <c r="C1261" s="1">
        <v>45651</v>
      </c>
      <c r="D1261" s="1" t="str">
        <f t="shared" si="19"/>
        <v>Produce</v>
      </c>
      <c r="E1261" t="s">
        <v>14</v>
      </c>
      <c r="F1261" s="2">
        <v>1</v>
      </c>
      <c r="G1261" s="3">
        <v>9</v>
      </c>
      <c r="H1261" s="3">
        <f>grocery_chain_data[[#This Row],[Quantity]]*grocery_chain_data[[#This Row],[Unit Price]]</f>
        <v>9</v>
      </c>
      <c r="I1261" s="3">
        <v>1</v>
      </c>
      <c r="J1261" s="3">
        <f>grocery_chain_data[[#This Row],[Total Amount]]-grocery_chain_data[[#This Row],[Discount Amount]]</f>
        <v>8</v>
      </c>
      <c r="K1261">
        <v>98</v>
      </c>
      <c r="L1261" t="str">
        <f>IF(grocery_chain_data[[#This Row],[Final Amount]]&lt;0,"Return","Sale")</f>
        <v>Sale</v>
      </c>
      <c r="M1261">
        <f>IF(grocery_chain_data[[#This Row],[Final Amount]]&lt;0,0,grocery_chain_data[[#This Row],[Final Amount]])</f>
        <v>8</v>
      </c>
    </row>
    <row r="1262" spans="1:13" x14ac:dyDescent="0.3">
      <c r="A1262">
        <v>4804</v>
      </c>
      <c r="B1262" t="s">
        <v>13</v>
      </c>
      <c r="C1262" s="1">
        <v>45560</v>
      </c>
      <c r="D1262" s="1" t="str">
        <f t="shared" si="19"/>
        <v>Dairy</v>
      </c>
      <c r="E1262" t="s">
        <v>23</v>
      </c>
      <c r="F1262" s="2">
        <v>1</v>
      </c>
      <c r="G1262" s="3">
        <v>26</v>
      </c>
      <c r="H1262" s="3">
        <f>grocery_chain_data[[#This Row],[Quantity]]*grocery_chain_data[[#This Row],[Unit Price]]</f>
        <v>26</v>
      </c>
      <c r="I1262" s="3">
        <v>2</v>
      </c>
      <c r="J1262" s="3">
        <f>grocery_chain_data[[#This Row],[Total Amount]]-grocery_chain_data[[#This Row],[Discount Amount]]</f>
        <v>24</v>
      </c>
      <c r="K1262">
        <v>194</v>
      </c>
      <c r="L1262" t="str">
        <f>IF(grocery_chain_data[[#This Row],[Final Amount]]&lt;0,"Return","Sale")</f>
        <v>Sale</v>
      </c>
      <c r="M1262">
        <f>IF(grocery_chain_data[[#This Row],[Final Amount]]&lt;0,0,grocery_chain_data[[#This Row],[Final Amount]])</f>
        <v>24</v>
      </c>
    </row>
    <row r="1263" spans="1:13" x14ac:dyDescent="0.3">
      <c r="A1263">
        <v>1611</v>
      </c>
      <c r="B1263" t="s">
        <v>21</v>
      </c>
      <c r="C1263" s="1">
        <v>45854</v>
      </c>
      <c r="D1263" s="1" t="str">
        <f t="shared" si="19"/>
        <v>Pantry</v>
      </c>
      <c r="E1263" t="s">
        <v>6</v>
      </c>
      <c r="F1263" s="2">
        <v>4</v>
      </c>
      <c r="G1263" s="3">
        <v>15</v>
      </c>
      <c r="H1263" s="3">
        <f>grocery_chain_data[[#This Row],[Quantity]]*grocery_chain_data[[#This Row],[Unit Price]]</f>
        <v>60</v>
      </c>
      <c r="I1263" s="3">
        <v>0</v>
      </c>
      <c r="J1263" s="3">
        <f>grocery_chain_data[[#This Row],[Total Amount]]-grocery_chain_data[[#This Row],[Discount Amount]]</f>
        <v>60</v>
      </c>
      <c r="K1263">
        <v>261</v>
      </c>
      <c r="L1263" t="str">
        <f>IF(grocery_chain_data[[#This Row],[Final Amount]]&lt;0,"Return","Sale")</f>
        <v>Sale</v>
      </c>
      <c r="M1263">
        <f>IF(grocery_chain_data[[#This Row],[Final Amount]]&lt;0,0,grocery_chain_data[[#This Row],[Final Amount]])</f>
        <v>60</v>
      </c>
    </row>
    <row r="1264" spans="1:13" x14ac:dyDescent="0.3">
      <c r="A1264">
        <v>3868</v>
      </c>
      <c r="B1264" t="s">
        <v>13</v>
      </c>
      <c r="C1264" s="1">
        <v>45469</v>
      </c>
      <c r="D1264" s="1" t="str">
        <f t="shared" si="19"/>
        <v>Meat &amp; Seafood</v>
      </c>
      <c r="E1264" t="s">
        <v>26</v>
      </c>
      <c r="F1264" s="2">
        <v>3</v>
      </c>
      <c r="G1264" s="3">
        <v>12</v>
      </c>
      <c r="H1264" s="3">
        <f>grocery_chain_data[[#This Row],[Quantity]]*grocery_chain_data[[#This Row],[Unit Price]]</f>
        <v>36</v>
      </c>
      <c r="I1264" s="3">
        <v>0</v>
      </c>
      <c r="J1264" s="3">
        <f>grocery_chain_data[[#This Row],[Total Amount]]-grocery_chain_data[[#This Row],[Discount Amount]]</f>
        <v>36</v>
      </c>
      <c r="K1264">
        <v>482</v>
      </c>
      <c r="L1264" t="str">
        <f>IF(grocery_chain_data[[#This Row],[Final Amount]]&lt;0,"Return","Sale")</f>
        <v>Sale</v>
      </c>
      <c r="M1264">
        <f>IF(grocery_chain_data[[#This Row],[Final Amount]]&lt;0,0,grocery_chain_data[[#This Row],[Final Amount]])</f>
        <v>36</v>
      </c>
    </row>
    <row r="1265" spans="1:13" x14ac:dyDescent="0.3">
      <c r="A1265">
        <v>3880</v>
      </c>
      <c r="B1265" t="s">
        <v>8</v>
      </c>
      <c r="C1265" s="1">
        <v>45870</v>
      </c>
      <c r="D1265" s="1" t="str">
        <f t="shared" si="19"/>
        <v>Pantry</v>
      </c>
      <c r="E1265" t="s">
        <v>6</v>
      </c>
      <c r="F1265" s="2">
        <v>1</v>
      </c>
      <c r="G1265" s="3">
        <v>6</v>
      </c>
      <c r="H1265" s="3">
        <f>grocery_chain_data[[#This Row],[Quantity]]*grocery_chain_data[[#This Row],[Unit Price]]</f>
        <v>6</v>
      </c>
      <c r="I1265" s="3">
        <v>0</v>
      </c>
      <c r="J1265" s="3">
        <f>grocery_chain_data[[#This Row],[Total Amount]]-grocery_chain_data[[#This Row],[Discount Amount]]</f>
        <v>6</v>
      </c>
      <c r="K1265">
        <v>0</v>
      </c>
      <c r="L1265" t="str">
        <f>IF(grocery_chain_data[[#This Row],[Final Amount]]&lt;0,"Return","Sale")</f>
        <v>Sale</v>
      </c>
      <c r="M1265">
        <f>IF(grocery_chain_data[[#This Row],[Final Amount]]&lt;0,0,grocery_chain_data[[#This Row],[Final Amount]])</f>
        <v>6</v>
      </c>
    </row>
    <row r="1266" spans="1:13" x14ac:dyDescent="0.3">
      <c r="A1266">
        <v>1595</v>
      </c>
      <c r="B1266" t="s">
        <v>16</v>
      </c>
      <c r="C1266" s="1">
        <v>45794</v>
      </c>
      <c r="D1266" s="1" t="str">
        <f t="shared" si="19"/>
        <v>Produce</v>
      </c>
      <c r="E1266" t="s">
        <v>17</v>
      </c>
      <c r="F1266" s="2">
        <v>4</v>
      </c>
      <c r="G1266" s="3">
        <v>9</v>
      </c>
      <c r="H1266" s="3">
        <f>grocery_chain_data[[#This Row],[Quantity]]*grocery_chain_data[[#This Row],[Unit Price]]</f>
        <v>36</v>
      </c>
      <c r="I1266" s="3">
        <v>4</v>
      </c>
      <c r="J1266" s="3">
        <f>grocery_chain_data[[#This Row],[Total Amount]]-grocery_chain_data[[#This Row],[Discount Amount]]</f>
        <v>32</v>
      </c>
      <c r="K1266">
        <v>310</v>
      </c>
      <c r="L1266" t="str">
        <f>IF(grocery_chain_data[[#This Row],[Final Amount]]&lt;0,"Return","Sale")</f>
        <v>Sale</v>
      </c>
      <c r="M1266">
        <f>IF(grocery_chain_data[[#This Row],[Final Amount]]&lt;0,0,grocery_chain_data[[#This Row],[Final Amount]])</f>
        <v>32</v>
      </c>
    </row>
    <row r="1267" spans="1:13" x14ac:dyDescent="0.3">
      <c r="A1267">
        <v>7504</v>
      </c>
      <c r="B1267" t="s">
        <v>5</v>
      </c>
      <c r="C1267" s="1">
        <v>45757</v>
      </c>
      <c r="D1267" s="1" t="str">
        <f t="shared" si="19"/>
        <v>Produce</v>
      </c>
      <c r="E1267" t="s">
        <v>25</v>
      </c>
      <c r="F1267" s="2">
        <v>3</v>
      </c>
      <c r="G1267" s="3">
        <v>11</v>
      </c>
      <c r="H1267" s="3">
        <f>grocery_chain_data[[#This Row],[Quantity]]*grocery_chain_data[[#This Row],[Unit Price]]</f>
        <v>33</v>
      </c>
      <c r="I1267" s="3">
        <v>0</v>
      </c>
      <c r="J1267" s="3">
        <f>grocery_chain_data[[#This Row],[Total Amount]]-grocery_chain_data[[#This Row],[Discount Amount]]</f>
        <v>33</v>
      </c>
      <c r="K1267">
        <v>57</v>
      </c>
      <c r="L1267" t="str">
        <f>IF(grocery_chain_data[[#This Row],[Final Amount]]&lt;0,"Return","Sale")</f>
        <v>Sale</v>
      </c>
      <c r="M1267">
        <f>IF(grocery_chain_data[[#This Row],[Final Amount]]&lt;0,0,grocery_chain_data[[#This Row],[Final Amount]])</f>
        <v>33</v>
      </c>
    </row>
    <row r="1268" spans="1:13" x14ac:dyDescent="0.3">
      <c r="A1268">
        <v>9116</v>
      </c>
      <c r="B1268" t="s">
        <v>13</v>
      </c>
      <c r="C1268" s="1">
        <v>45289</v>
      </c>
      <c r="D1268" s="1" t="str">
        <f t="shared" si="19"/>
        <v>Produce</v>
      </c>
      <c r="E1268" t="s">
        <v>4</v>
      </c>
      <c r="F1268" s="2">
        <v>2</v>
      </c>
      <c r="G1268" s="3">
        <v>11</v>
      </c>
      <c r="H1268" s="3">
        <f>grocery_chain_data[[#This Row],[Quantity]]*grocery_chain_data[[#This Row],[Unit Price]]</f>
        <v>22</v>
      </c>
      <c r="I1268" s="3">
        <v>0</v>
      </c>
      <c r="J1268" s="3">
        <f>grocery_chain_data[[#This Row],[Total Amount]]-grocery_chain_data[[#This Row],[Discount Amount]]</f>
        <v>22</v>
      </c>
      <c r="K1268">
        <v>379</v>
      </c>
      <c r="L1268" t="str">
        <f>IF(grocery_chain_data[[#This Row],[Final Amount]]&lt;0,"Return","Sale")</f>
        <v>Sale</v>
      </c>
      <c r="M1268">
        <f>IF(grocery_chain_data[[#This Row],[Final Amount]]&lt;0,0,grocery_chain_data[[#This Row],[Final Amount]])</f>
        <v>22</v>
      </c>
    </row>
    <row r="1269" spans="1:13" x14ac:dyDescent="0.3">
      <c r="A1269">
        <v>5742</v>
      </c>
      <c r="B1269" t="s">
        <v>2</v>
      </c>
      <c r="C1269" s="1">
        <v>45825</v>
      </c>
      <c r="D1269" s="1" t="str">
        <f t="shared" si="19"/>
        <v>Beverages</v>
      </c>
      <c r="E1269" t="s">
        <v>7</v>
      </c>
      <c r="F1269" s="2">
        <v>2</v>
      </c>
      <c r="G1269" s="3">
        <v>20</v>
      </c>
      <c r="H1269" s="3">
        <f>grocery_chain_data[[#This Row],[Quantity]]*grocery_chain_data[[#This Row],[Unit Price]]</f>
        <v>40</v>
      </c>
      <c r="I1269" s="3">
        <v>5</v>
      </c>
      <c r="J1269" s="3">
        <f>grocery_chain_data[[#This Row],[Total Amount]]-grocery_chain_data[[#This Row],[Discount Amount]]</f>
        <v>35</v>
      </c>
      <c r="K1269">
        <v>107</v>
      </c>
      <c r="L1269" t="str">
        <f>IF(grocery_chain_data[[#This Row],[Final Amount]]&lt;0,"Return","Sale")</f>
        <v>Sale</v>
      </c>
      <c r="M1269">
        <f>IF(grocery_chain_data[[#This Row],[Final Amount]]&lt;0,0,grocery_chain_data[[#This Row],[Final Amount]])</f>
        <v>35</v>
      </c>
    </row>
    <row r="1270" spans="1:13" x14ac:dyDescent="0.3">
      <c r="A1270">
        <v>1613</v>
      </c>
      <c r="B1270" t="s">
        <v>5</v>
      </c>
      <c r="C1270" s="1">
        <v>45152</v>
      </c>
      <c r="D1270" s="1" t="str">
        <f t="shared" si="19"/>
        <v>Meat &amp; Seafood</v>
      </c>
      <c r="E1270" t="s">
        <v>26</v>
      </c>
      <c r="F1270" s="2">
        <v>1</v>
      </c>
      <c r="G1270" s="3">
        <v>18</v>
      </c>
      <c r="H1270" s="3">
        <f>grocery_chain_data[[#This Row],[Quantity]]*grocery_chain_data[[#This Row],[Unit Price]]</f>
        <v>18</v>
      </c>
      <c r="I1270" s="3">
        <v>4</v>
      </c>
      <c r="J1270" s="3">
        <f>grocery_chain_data[[#This Row],[Total Amount]]-grocery_chain_data[[#This Row],[Discount Amount]]</f>
        <v>14</v>
      </c>
      <c r="K1270">
        <v>467</v>
      </c>
      <c r="L1270" t="str">
        <f>IF(grocery_chain_data[[#This Row],[Final Amount]]&lt;0,"Return","Sale")</f>
        <v>Sale</v>
      </c>
      <c r="M1270">
        <f>IF(grocery_chain_data[[#This Row],[Final Amount]]&lt;0,0,grocery_chain_data[[#This Row],[Final Amount]])</f>
        <v>14</v>
      </c>
    </row>
    <row r="1271" spans="1:13" x14ac:dyDescent="0.3">
      <c r="A1271">
        <v>5888</v>
      </c>
      <c r="B1271" t="s">
        <v>10</v>
      </c>
      <c r="C1271" s="1">
        <v>45586</v>
      </c>
      <c r="D1271" s="1" t="str">
        <f t="shared" si="19"/>
        <v>Bakery</v>
      </c>
      <c r="E1271" t="s">
        <v>22</v>
      </c>
      <c r="F1271" s="2">
        <v>5</v>
      </c>
      <c r="G1271" s="3">
        <v>19</v>
      </c>
      <c r="H1271" s="3">
        <f>grocery_chain_data[[#This Row],[Quantity]]*grocery_chain_data[[#This Row],[Unit Price]]</f>
        <v>95</v>
      </c>
      <c r="I1271" s="3">
        <v>19</v>
      </c>
      <c r="J1271" s="3">
        <f>grocery_chain_data[[#This Row],[Total Amount]]-grocery_chain_data[[#This Row],[Discount Amount]]</f>
        <v>76</v>
      </c>
      <c r="K1271">
        <v>154</v>
      </c>
      <c r="L1271" t="str">
        <f>IF(grocery_chain_data[[#This Row],[Final Amount]]&lt;0,"Return","Sale")</f>
        <v>Sale</v>
      </c>
      <c r="M1271">
        <f>IF(grocery_chain_data[[#This Row],[Final Amount]]&lt;0,0,grocery_chain_data[[#This Row],[Final Amount]])</f>
        <v>76</v>
      </c>
    </row>
    <row r="1272" spans="1:13" x14ac:dyDescent="0.3">
      <c r="A1272">
        <v>2758</v>
      </c>
      <c r="B1272" t="s">
        <v>2</v>
      </c>
      <c r="C1272" s="1">
        <v>45866</v>
      </c>
      <c r="D1272" s="1" t="str">
        <f t="shared" si="19"/>
        <v>Dairy</v>
      </c>
      <c r="E1272" t="s">
        <v>19</v>
      </c>
      <c r="F1272" s="2">
        <v>2</v>
      </c>
      <c r="G1272" s="3">
        <v>7</v>
      </c>
      <c r="H1272" s="3">
        <f>grocery_chain_data[[#This Row],[Quantity]]*grocery_chain_data[[#This Row],[Unit Price]]</f>
        <v>14</v>
      </c>
      <c r="I1272" s="3">
        <v>5</v>
      </c>
      <c r="J1272" s="3">
        <f>grocery_chain_data[[#This Row],[Total Amount]]-grocery_chain_data[[#This Row],[Discount Amount]]</f>
        <v>9</v>
      </c>
      <c r="K1272">
        <v>281</v>
      </c>
      <c r="L1272" t="str">
        <f>IF(grocery_chain_data[[#This Row],[Final Amount]]&lt;0,"Return","Sale")</f>
        <v>Sale</v>
      </c>
      <c r="M1272">
        <f>IF(grocery_chain_data[[#This Row],[Final Amount]]&lt;0,0,grocery_chain_data[[#This Row],[Final Amount]])</f>
        <v>9</v>
      </c>
    </row>
    <row r="1273" spans="1:13" x14ac:dyDescent="0.3">
      <c r="A1273">
        <v>6489</v>
      </c>
      <c r="B1273" t="s">
        <v>16</v>
      </c>
      <c r="C1273" s="1">
        <v>45366</v>
      </c>
      <c r="D1273" s="1" t="str">
        <f t="shared" si="19"/>
        <v>Meat &amp; Seafood</v>
      </c>
      <c r="E1273" t="s">
        <v>26</v>
      </c>
      <c r="F1273" s="2">
        <v>4</v>
      </c>
      <c r="G1273" s="3">
        <v>3</v>
      </c>
      <c r="H1273" s="3">
        <f>grocery_chain_data[[#This Row],[Quantity]]*grocery_chain_data[[#This Row],[Unit Price]]</f>
        <v>12</v>
      </c>
      <c r="I1273" s="3">
        <v>2</v>
      </c>
      <c r="J1273" s="3">
        <f>grocery_chain_data[[#This Row],[Total Amount]]-grocery_chain_data[[#This Row],[Discount Amount]]</f>
        <v>10</v>
      </c>
      <c r="K1273">
        <v>214</v>
      </c>
      <c r="L1273" t="str">
        <f>IF(grocery_chain_data[[#This Row],[Final Amount]]&lt;0,"Return","Sale")</f>
        <v>Sale</v>
      </c>
      <c r="M1273">
        <f>IF(grocery_chain_data[[#This Row],[Final Amount]]&lt;0,0,grocery_chain_data[[#This Row],[Final Amount]])</f>
        <v>10</v>
      </c>
    </row>
    <row r="1274" spans="1:13" x14ac:dyDescent="0.3">
      <c r="A1274">
        <v>8444</v>
      </c>
      <c r="B1274" t="s">
        <v>12</v>
      </c>
      <c r="C1274" s="1">
        <v>45643</v>
      </c>
      <c r="D1274" s="1" t="str">
        <f t="shared" si="19"/>
        <v>Produce</v>
      </c>
      <c r="E1274" t="s">
        <v>17</v>
      </c>
      <c r="F1274" s="2">
        <v>1</v>
      </c>
      <c r="G1274" s="3">
        <v>29</v>
      </c>
      <c r="H1274" s="3">
        <f>grocery_chain_data[[#This Row],[Quantity]]*grocery_chain_data[[#This Row],[Unit Price]]</f>
        <v>29</v>
      </c>
      <c r="I1274" s="3">
        <v>0</v>
      </c>
      <c r="J1274" s="3">
        <f>grocery_chain_data[[#This Row],[Total Amount]]-grocery_chain_data[[#This Row],[Discount Amount]]</f>
        <v>29</v>
      </c>
      <c r="K1274">
        <v>31</v>
      </c>
      <c r="L1274" t="str">
        <f>IF(grocery_chain_data[[#This Row],[Final Amount]]&lt;0,"Return","Sale")</f>
        <v>Sale</v>
      </c>
      <c r="M1274">
        <f>IF(grocery_chain_data[[#This Row],[Final Amount]]&lt;0,0,grocery_chain_data[[#This Row],[Final Amount]])</f>
        <v>29</v>
      </c>
    </row>
    <row r="1275" spans="1:13" x14ac:dyDescent="0.3">
      <c r="A1275">
        <v>9901</v>
      </c>
      <c r="B1275" t="s">
        <v>8</v>
      </c>
      <c r="C1275" s="1">
        <v>45552</v>
      </c>
      <c r="D1275" s="1" t="str">
        <f t="shared" si="19"/>
        <v>Produce</v>
      </c>
      <c r="E1275" t="s">
        <v>4</v>
      </c>
      <c r="F1275" s="2">
        <v>5</v>
      </c>
      <c r="G1275" s="3">
        <v>29</v>
      </c>
      <c r="H1275" s="3">
        <f>grocery_chain_data[[#This Row],[Quantity]]*grocery_chain_data[[#This Row],[Unit Price]]</f>
        <v>145</v>
      </c>
      <c r="I1275" s="3">
        <v>3</v>
      </c>
      <c r="J1275" s="3">
        <f>grocery_chain_data[[#This Row],[Total Amount]]-grocery_chain_data[[#This Row],[Discount Amount]]</f>
        <v>142</v>
      </c>
      <c r="K1275">
        <v>84</v>
      </c>
      <c r="L1275" t="str">
        <f>IF(grocery_chain_data[[#This Row],[Final Amount]]&lt;0,"Return","Sale")</f>
        <v>Sale</v>
      </c>
      <c r="M1275">
        <f>IF(grocery_chain_data[[#This Row],[Final Amount]]&lt;0,0,grocery_chain_data[[#This Row],[Final Amount]])</f>
        <v>142</v>
      </c>
    </row>
    <row r="1276" spans="1:13" x14ac:dyDescent="0.3">
      <c r="A1276">
        <v>9092</v>
      </c>
      <c r="B1276" t="s">
        <v>8</v>
      </c>
      <c r="C1276" s="1">
        <v>45835</v>
      </c>
      <c r="D1276" s="1" t="str">
        <f t="shared" si="19"/>
        <v>Pantry</v>
      </c>
      <c r="E1276" t="s">
        <v>1</v>
      </c>
      <c r="F1276" s="2">
        <v>2</v>
      </c>
      <c r="G1276" s="3">
        <v>6</v>
      </c>
      <c r="H1276" s="3">
        <f>grocery_chain_data[[#This Row],[Quantity]]*grocery_chain_data[[#This Row],[Unit Price]]</f>
        <v>12</v>
      </c>
      <c r="I1276" s="3">
        <v>4</v>
      </c>
      <c r="J1276" s="3">
        <f>grocery_chain_data[[#This Row],[Total Amount]]-grocery_chain_data[[#This Row],[Discount Amount]]</f>
        <v>8</v>
      </c>
      <c r="K1276">
        <v>81</v>
      </c>
      <c r="L1276" t="str">
        <f>IF(grocery_chain_data[[#This Row],[Final Amount]]&lt;0,"Return","Sale")</f>
        <v>Sale</v>
      </c>
      <c r="M1276">
        <f>IF(grocery_chain_data[[#This Row],[Final Amount]]&lt;0,0,grocery_chain_data[[#This Row],[Final Amount]])</f>
        <v>8</v>
      </c>
    </row>
    <row r="1277" spans="1:13" x14ac:dyDescent="0.3">
      <c r="A1277">
        <v>3198</v>
      </c>
      <c r="B1277" t="s">
        <v>2</v>
      </c>
      <c r="C1277" s="1">
        <v>45806</v>
      </c>
      <c r="D1277" s="1" t="str">
        <f t="shared" si="19"/>
        <v>Produce</v>
      </c>
      <c r="E1277" t="s">
        <v>24</v>
      </c>
      <c r="F1277" s="2">
        <v>5</v>
      </c>
      <c r="G1277" s="3">
        <v>8</v>
      </c>
      <c r="H1277" s="3">
        <f>grocery_chain_data[[#This Row],[Quantity]]*grocery_chain_data[[#This Row],[Unit Price]]</f>
        <v>40</v>
      </c>
      <c r="I1277" s="3">
        <v>6</v>
      </c>
      <c r="J1277" s="3">
        <f>grocery_chain_data[[#This Row],[Total Amount]]-grocery_chain_data[[#This Row],[Discount Amount]]</f>
        <v>34</v>
      </c>
      <c r="K1277">
        <v>436</v>
      </c>
      <c r="L1277" t="str">
        <f>IF(grocery_chain_data[[#This Row],[Final Amount]]&lt;0,"Return","Sale")</f>
        <v>Sale</v>
      </c>
      <c r="M1277">
        <f>IF(grocery_chain_data[[#This Row],[Final Amount]]&lt;0,0,grocery_chain_data[[#This Row],[Final Amount]])</f>
        <v>34</v>
      </c>
    </row>
    <row r="1278" spans="1:13" x14ac:dyDescent="0.3">
      <c r="A1278">
        <v>9261</v>
      </c>
      <c r="B1278" t="s">
        <v>12</v>
      </c>
      <c r="C1278" s="1">
        <v>45508</v>
      </c>
      <c r="D1278" s="1" t="str">
        <f t="shared" si="19"/>
        <v>Meat &amp; Seafood</v>
      </c>
      <c r="E1278" t="s">
        <v>26</v>
      </c>
      <c r="F1278" s="2">
        <v>2</v>
      </c>
      <c r="G1278" s="3">
        <v>7</v>
      </c>
      <c r="H1278" s="3">
        <f>grocery_chain_data[[#This Row],[Quantity]]*grocery_chain_data[[#This Row],[Unit Price]]</f>
        <v>14</v>
      </c>
      <c r="I1278" s="3">
        <v>2</v>
      </c>
      <c r="J1278" s="3">
        <f>grocery_chain_data[[#This Row],[Total Amount]]-grocery_chain_data[[#This Row],[Discount Amount]]</f>
        <v>12</v>
      </c>
      <c r="K1278">
        <v>273</v>
      </c>
      <c r="L1278" t="str">
        <f>IF(grocery_chain_data[[#This Row],[Final Amount]]&lt;0,"Return","Sale")</f>
        <v>Sale</v>
      </c>
      <c r="M1278">
        <f>IF(grocery_chain_data[[#This Row],[Final Amount]]&lt;0,0,grocery_chain_data[[#This Row],[Final Amount]])</f>
        <v>12</v>
      </c>
    </row>
    <row r="1279" spans="1:13" x14ac:dyDescent="0.3">
      <c r="A1279">
        <v>5470</v>
      </c>
      <c r="B1279" t="s">
        <v>13</v>
      </c>
      <c r="C1279" s="1">
        <v>45294</v>
      </c>
      <c r="D1279" s="1" t="str">
        <f t="shared" si="19"/>
        <v>Dairy</v>
      </c>
      <c r="E1279" t="s">
        <v>20</v>
      </c>
      <c r="F1279" s="2">
        <v>3</v>
      </c>
      <c r="G1279" s="3">
        <v>28</v>
      </c>
      <c r="H1279" s="3">
        <f>grocery_chain_data[[#This Row],[Quantity]]*grocery_chain_data[[#This Row],[Unit Price]]</f>
        <v>84</v>
      </c>
      <c r="I1279" s="3">
        <v>0</v>
      </c>
      <c r="J1279" s="3">
        <f>grocery_chain_data[[#This Row],[Total Amount]]-grocery_chain_data[[#This Row],[Discount Amount]]</f>
        <v>84</v>
      </c>
      <c r="K1279">
        <v>138</v>
      </c>
      <c r="L1279" t="str">
        <f>IF(grocery_chain_data[[#This Row],[Final Amount]]&lt;0,"Return","Sale")</f>
        <v>Sale</v>
      </c>
      <c r="M1279">
        <f>IF(grocery_chain_data[[#This Row],[Final Amount]]&lt;0,0,grocery_chain_data[[#This Row],[Final Amount]])</f>
        <v>84</v>
      </c>
    </row>
    <row r="1280" spans="1:13" x14ac:dyDescent="0.3">
      <c r="A1280">
        <v>2845</v>
      </c>
      <c r="B1280" t="s">
        <v>21</v>
      </c>
      <c r="C1280" s="1">
        <v>45401</v>
      </c>
      <c r="D1280" s="1" t="str">
        <f t="shared" si="19"/>
        <v>Produce</v>
      </c>
      <c r="E1280" t="s">
        <v>4</v>
      </c>
      <c r="F1280" s="2">
        <v>1</v>
      </c>
      <c r="G1280" s="3">
        <v>1</v>
      </c>
      <c r="H1280" s="3">
        <f>grocery_chain_data[[#This Row],[Quantity]]*grocery_chain_data[[#This Row],[Unit Price]]</f>
        <v>1</v>
      </c>
      <c r="I1280" s="3">
        <v>0</v>
      </c>
      <c r="J1280" s="3">
        <f>grocery_chain_data[[#This Row],[Total Amount]]-grocery_chain_data[[#This Row],[Discount Amount]]</f>
        <v>1</v>
      </c>
      <c r="K1280">
        <v>177</v>
      </c>
      <c r="L1280" t="str">
        <f>IF(grocery_chain_data[[#This Row],[Final Amount]]&lt;0,"Return","Sale")</f>
        <v>Sale</v>
      </c>
      <c r="M1280">
        <f>IF(grocery_chain_data[[#This Row],[Final Amount]]&lt;0,0,grocery_chain_data[[#This Row],[Final Amount]])</f>
        <v>1</v>
      </c>
    </row>
    <row r="1281" spans="1:13" x14ac:dyDescent="0.3">
      <c r="A1281">
        <v>3662</v>
      </c>
      <c r="B1281" t="s">
        <v>0</v>
      </c>
      <c r="C1281" s="1">
        <v>45712</v>
      </c>
      <c r="D1281" s="1" t="str">
        <f t="shared" si="19"/>
        <v>Pantry</v>
      </c>
      <c r="E1281" t="s">
        <v>1</v>
      </c>
      <c r="F1281" s="2">
        <v>2</v>
      </c>
      <c r="G1281" s="3">
        <v>13</v>
      </c>
      <c r="H1281" s="3">
        <f>grocery_chain_data[[#This Row],[Quantity]]*grocery_chain_data[[#This Row],[Unit Price]]</f>
        <v>26</v>
      </c>
      <c r="I1281" s="3">
        <v>4</v>
      </c>
      <c r="J1281" s="3">
        <f>grocery_chain_data[[#This Row],[Total Amount]]-grocery_chain_data[[#This Row],[Discount Amount]]</f>
        <v>22</v>
      </c>
      <c r="K1281">
        <v>313</v>
      </c>
      <c r="L1281" t="str">
        <f>IF(grocery_chain_data[[#This Row],[Final Amount]]&lt;0,"Return","Sale")</f>
        <v>Sale</v>
      </c>
      <c r="M1281">
        <f>IF(grocery_chain_data[[#This Row],[Final Amount]]&lt;0,0,grocery_chain_data[[#This Row],[Final Amount]])</f>
        <v>22</v>
      </c>
    </row>
    <row r="1282" spans="1:13" x14ac:dyDescent="0.3">
      <c r="A1282">
        <v>8518</v>
      </c>
      <c r="B1282" t="s">
        <v>13</v>
      </c>
      <c r="C1282" s="1">
        <v>45648</v>
      </c>
      <c r="D1282" s="1" t="str">
        <f t="shared" ref="D1282:D1345" si="20">IF(E1282="Pasta","Pantry",
IF(E1282="Cheese","Dairy",
IF(E1282="Onions","Produce",
IF(E1282="Cereal","Pantry",
IF(E1282="Orange Juice","Beverages",
IF(E1282="Ground Beef","Meat &amp; Seafood",
IF(E1282="Apples","Produce",
IF(E1282="Milk","Dairy",
IF(E1282="Bananas","Produce",
IF(E1282="Bread","Bakery",
IF(E1282="Carrots","Produce",
IF(E1282="Chicken Breast","Meat &amp; Seafood",
IF(E1282="Eggs","Dairy",
IF(E1282="Potatoes","Produce",
IF(E1282="Rice","Produce",
IF(E1282="Salmon","Meat &amp; Seafood",
IF(E1282="Tomatoes","Produce",
IF(E1282="Yogurt","Dairy",
"Others"))))))))))))))))))</f>
        <v>Produce</v>
      </c>
      <c r="E1282" t="s">
        <v>18</v>
      </c>
      <c r="F1282" s="2">
        <v>3</v>
      </c>
      <c r="G1282" s="3">
        <v>7</v>
      </c>
      <c r="H1282" s="3">
        <f>grocery_chain_data[[#This Row],[Quantity]]*grocery_chain_data[[#This Row],[Unit Price]]</f>
        <v>21</v>
      </c>
      <c r="I1282" s="3">
        <v>4</v>
      </c>
      <c r="J1282" s="3">
        <f>grocery_chain_data[[#This Row],[Total Amount]]-grocery_chain_data[[#This Row],[Discount Amount]]</f>
        <v>17</v>
      </c>
      <c r="K1282">
        <v>494</v>
      </c>
      <c r="L1282" t="str">
        <f>IF(grocery_chain_data[[#This Row],[Final Amount]]&lt;0,"Return","Sale")</f>
        <v>Sale</v>
      </c>
      <c r="M1282">
        <f>IF(grocery_chain_data[[#This Row],[Final Amount]]&lt;0,0,grocery_chain_data[[#This Row],[Final Amount]])</f>
        <v>17</v>
      </c>
    </row>
    <row r="1283" spans="1:13" x14ac:dyDescent="0.3">
      <c r="A1283">
        <v>5215</v>
      </c>
      <c r="B1283" t="s">
        <v>12</v>
      </c>
      <c r="C1283" s="1">
        <v>45703</v>
      </c>
      <c r="D1283" s="1" t="str">
        <f t="shared" si="20"/>
        <v>Produce</v>
      </c>
      <c r="E1283" t="s">
        <v>4</v>
      </c>
      <c r="F1283" s="2">
        <v>5</v>
      </c>
      <c r="G1283" s="3">
        <v>4</v>
      </c>
      <c r="H1283" s="3">
        <f>grocery_chain_data[[#This Row],[Quantity]]*grocery_chain_data[[#This Row],[Unit Price]]</f>
        <v>20</v>
      </c>
      <c r="I1283" s="3">
        <v>0</v>
      </c>
      <c r="J1283" s="3">
        <f>grocery_chain_data[[#This Row],[Total Amount]]-grocery_chain_data[[#This Row],[Discount Amount]]</f>
        <v>20</v>
      </c>
      <c r="K1283">
        <v>381</v>
      </c>
      <c r="L1283" t="str">
        <f>IF(grocery_chain_data[[#This Row],[Final Amount]]&lt;0,"Return","Sale")</f>
        <v>Sale</v>
      </c>
      <c r="M1283">
        <f>IF(grocery_chain_data[[#This Row],[Final Amount]]&lt;0,0,grocery_chain_data[[#This Row],[Final Amount]])</f>
        <v>20</v>
      </c>
    </row>
    <row r="1284" spans="1:13" x14ac:dyDescent="0.3">
      <c r="A1284">
        <v>4050</v>
      </c>
      <c r="B1284" t="s">
        <v>12</v>
      </c>
      <c r="C1284" s="1">
        <v>45155</v>
      </c>
      <c r="D1284" s="1" t="str">
        <f t="shared" si="20"/>
        <v>Produce</v>
      </c>
      <c r="E1284" t="s">
        <v>4</v>
      </c>
      <c r="F1284" s="2">
        <v>2</v>
      </c>
      <c r="G1284" s="3">
        <v>25</v>
      </c>
      <c r="H1284" s="3">
        <f>grocery_chain_data[[#This Row],[Quantity]]*grocery_chain_data[[#This Row],[Unit Price]]</f>
        <v>50</v>
      </c>
      <c r="I1284" s="3">
        <v>7</v>
      </c>
      <c r="J1284" s="3">
        <f>grocery_chain_data[[#This Row],[Total Amount]]-grocery_chain_data[[#This Row],[Discount Amount]]</f>
        <v>43</v>
      </c>
      <c r="K1284">
        <v>112</v>
      </c>
      <c r="L1284" t="str">
        <f>IF(grocery_chain_data[[#This Row],[Final Amount]]&lt;0,"Return","Sale")</f>
        <v>Sale</v>
      </c>
      <c r="M1284">
        <f>IF(grocery_chain_data[[#This Row],[Final Amount]]&lt;0,0,grocery_chain_data[[#This Row],[Final Amount]])</f>
        <v>43</v>
      </c>
    </row>
    <row r="1285" spans="1:13" x14ac:dyDescent="0.3">
      <c r="A1285">
        <v>6523</v>
      </c>
      <c r="B1285" t="s">
        <v>21</v>
      </c>
      <c r="C1285" s="1">
        <v>45759</v>
      </c>
      <c r="D1285" s="1" t="str">
        <f t="shared" si="20"/>
        <v>Produce</v>
      </c>
      <c r="E1285" t="s">
        <v>14</v>
      </c>
      <c r="F1285" s="2">
        <v>2</v>
      </c>
      <c r="G1285" s="3">
        <v>14</v>
      </c>
      <c r="H1285" s="3">
        <f>grocery_chain_data[[#This Row],[Quantity]]*grocery_chain_data[[#This Row],[Unit Price]]</f>
        <v>28</v>
      </c>
      <c r="I1285" s="3">
        <v>4</v>
      </c>
      <c r="J1285" s="3">
        <f>grocery_chain_data[[#This Row],[Total Amount]]-grocery_chain_data[[#This Row],[Discount Amount]]</f>
        <v>24</v>
      </c>
      <c r="K1285">
        <v>373</v>
      </c>
      <c r="L1285" t="str">
        <f>IF(grocery_chain_data[[#This Row],[Final Amount]]&lt;0,"Return","Sale")</f>
        <v>Sale</v>
      </c>
      <c r="M1285">
        <f>IF(grocery_chain_data[[#This Row],[Final Amount]]&lt;0,0,grocery_chain_data[[#This Row],[Final Amount]])</f>
        <v>24</v>
      </c>
    </row>
    <row r="1286" spans="1:13" x14ac:dyDescent="0.3">
      <c r="A1286">
        <v>5833</v>
      </c>
      <c r="B1286" t="s">
        <v>5</v>
      </c>
      <c r="C1286" s="1">
        <v>45586</v>
      </c>
      <c r="D1286" s="1" t="str">
        <f t="shared" si="20"/>
        <v>Bakery</v>
      </c>
      <c r="E1286" t="s">
        <v>22</v>
      </c>
      <c r="F1286" s="2">
        <v>4</v>
      </c>
      <c r="G1286" s="3">
        <v>6</v>
      </c>
      <c r="H1286" s="3">
        <f>grocery_chain_data[[#This Row],[Quantity]]*grocery_chain_data[[#This Row],[Unit Price]]</f>
        <v>24</v>
      </c>
      <c r="I1286" s="3">
        <v>5</v>
      </c>
      <c r="J1286" s="3">
        <f>grocery_chain_data[[#This Row],[Total Amount]]-grocery_chain_data[[#This Row],[Discount Amount]]</f>
        <v>19</v>
      </c>
      <c r="K1286">
        <v>94</v>
      </c>
      <c r="L1286" t="str">
        <f>IF(grocery_chain_data[[#This Row],[Final Amount]]&lt;0,"Return","Sale")</f>
        <v>Sale</v>
      </c>
      <c r="M1286">
        <f>IF(grocery_chain_data[[#This Row],[Final Amount]]&lt;0,0,grocery_chain_data[[#This Row],[Final Amount]])</f>
        <v>19</v>
      </c>
    </row>
    <row r="1287" spans="1:13" x14ac:dyDescent="0.3">
      <c r="A1287">
        <v>4164</v>
      </c>
      <c r="B1287" t="s">
        <v>10</v>
      </c>
      <c r="C1287" s="1">
        <v>45281</v>
      </c>
      <c r="D1287" s="1" t="str">
        <f t="shared" si="20"/>
        <v>Produce</v>
      </c>
      <c r="E1287" t="s">
        <v>17</v>
      </c>
      <c r="F1287" s="2">
        <v>1</v>
      </c>
      <c r="G1287" s="3">
        <v>10</v>
      </c>
      <c r="H1287" s="3">
        <f>grocery_chain_data[[#This Row],[Quantity]]*grocery_chain_data[[#This Row],[Unit Price]]</f>
        <v>10</v>
      </c>
      <c r="I1287" s="3">
        <v>1</v>
      </c>
      <c r="J1287" s="3">
        <f>grocery_chain_data[[#This Row],[Total Amount]]-grocery_chain_data[[#This Row],[Discount Amount]]</f>
        <v>9</v>
      </c>
      <c r="K1287">
        <v>453</v>
      </c>
      <c r="L1287" t="str">
        <f>IF(grocery_chain_data[[#This Row],[Final Amount]]&lt;0,"Return","Sale")</f>
        <v>Sale</v>
      </c>
      <c r="M1287">
        <f>IF(grocery_chain_data[[#This Row],[Final Amount]]&lt;0,0,grocery_chain_data[[#This Row],[Final Amount]])</f>
        <v>9</v>
      </c>
    </row>
    <row r="1288" spans="1:13" x14ac:dyDescent="0.3">
      <c r="A1288">
        <v>7643</v>
      </c>
      <c r="B1288" t="s">
        <v>21</v>
      </c>
      <c r="C1288" s="1">
        <v>45787</v>
      </c>
      <c r="D1288" s="1" t="str">
        <f t="shared" si="20"/>
        <v>Dairy</v>
      </c>
      <c r="E1288" t="s">
        <v>20</v>
      </c>
      <c r="F1288" s="2">
        <v>1</v>
      </c>
      <c r="G1288" s="3">
        <v>13</v>
      </c>
      <c r="H1288" s="3">
        <f>grocery_chain_data[[#This Row],[Quantity]]*grocery_chain_data[[#This Row],[Unit Price]]</f>
        <v>13</v>
      </c>
      <c r="I1288" s="3">
        <v>4</v>
      </c>
      <c r="J1288" s="3">
        <f>grocery_chain_data[[#This Row],[Total Amount]]-grocery_chain_data[[#This Row],[Discount Amount]]</f>
        <v>9</v>
      </c>
      <c r="K1288">
        <v>232</v>
      </c>
      <c r="L1288" t="str">
        <f>IF(grocery_chain_data[[#This Row],[Final Amount]]&lt;0,"Return","Sale")</f>
        <v>Sale</v>
      </c>
      <c r="M1288">
        <f>IF(grocery_chain_data[[#This Row],[Final Amount]]&lt;0,0,grocery_chain_data[[#This Row],[Final Amount]])</f>
        <v>9</v>
      </c>
    </row>
    <row r="1289" spans="1:13" x14ac:dyDescent="0.3">
      <c r="A1289">
        <v>8007</v>
      </c>
      <c r="B1289" t="s">
        <v>5</v>
      </c>
      <c r="C1289" s="1">
        <v>45545</v>
      </c>
      <c r="D1289" s="1" t="str">
        <f t="shared" si="20"/>
        <v>Meat &amp; Seafood</v>
      </c>
      <c r="E1289" t="s">
        <v>26</v>
      </c>
      <c r="F1289" s="2">
        <v>4</v>
      </c>
      <c r="G1289" s="3">
        <v>12</v>
      </c>
      <c r="H1289" s="3">
        <f>grocery_chain_data[[#This Row],[Quantity]]*grocery_chain_data[[#This Row],[Unit Price]]</f>
        <v>48</v>
      </c>
      <c r="I1289" s="3">
        <v>0</v>
      </c>
      <c r="J1289" s="3">
        <f>grocery_chain_data[[#This Row],[Total Amount]]-grocery_chain_data[[#This Row],[Discount Amount]]</f>
        <v>48</v>
      </c>
      <c r="K1289">
        <v>56</v>
      </c>
      <c r="L1289" t="str">
        <f>IF(grocery_chain_data[[#This Row],[Final Amount]]&lt;0,"Return","Sale")</f>
        <v>Sale</v>
      </c>
      <c r="M1289">
        <f>IF(grocery_chain_data[[#This Row],[Final Amount]]&lt;0,0,grocery_chain_data[[#This Row],[Final Amount]])</f>
        <v>48</v>
      </c>
    </row>
    <row r="1290" spans="1:13" x14ac:dyDescent="0.3">
      <c r="A1290">
        <v>6372</v>
      </c>
      <c r="B1290" t="s">
        <v>13</v>
      </c>
      <c r="C1290" s="1">
        <v>45212</v>
      </c>
      <c r="D1290" s="1" t="str">
        <f t="shared" si="20"/>
        <v>Meat &amp; Seafood</v>
      </c>
      <c r="E1290" t="s">
        <v>9</v>
      </c>
      <c r="F1290" s="2">
        <v>1</v>
      </c>
      <c r="G1290" s="3">
        <v>9</v>
      </c>
      <c r="H1290" s="3">
        <f>grocery_chain_data[[#This Row],[Quantity]]*grocery_chain_data[[#This Row],[Unit Price]]</f>
        <v>9</v>
      </c>
      <c r="I1290" s="3">
        <v>5</v>
      </c>
      <c r="J1290" s="3">
        <f>grocery_chain_data[[#This Row],[Total Amount]]-grocery_chain_data[[#This Row],[Discount Amount]]</f>
        <v>4</v>
      </c>
      <c r="K1290">
        <v>480</v>
      </c>
      <c r="L1290" t="str">
        <f>IF(grocery_chain_data[[#This Row],[Final Amount]]&lt;0,"Return","Sale")</f>
        <v>Sale</v>
      </c>
      <c r="M1290">
        <f>IF(grocery_chain_data[[#This Row],[Final Amount]]&lt;0,0,grocery_chain_data[[#This Row],[Final Amount]])</f>
        <v>4</v>
      </c>
    </row>
    <row r="1291" spans="1:13" x14ac:dyDescent="0.3">
      <c r="A1291">
        <v>7567</v>
      </c>
      <c r="B1291" t="s">
        <v>0</v>
      </c>
      <c r="C1291" s="1">
        <v>45664</v>
      </c>
      <c r="D1291" s="1" t="str">
        <f t="shared" si="20"/>
        <v>Pantry</v>
      </c>
      <c r="E1291" t="s">
        <v>6</v>
      </c>
      <c r="F1291" s="2">
        <v>1</v>
      </c>
      <c r="G1291" s="3">
        <v>7</v>
      </c>
      <c r="H1291" s="3">
        <f>grocery_chain_data[[#This Row],[Quantity]]*grocery_chain_data[[#This Row],[Unit Price]]</f>
        <v>7</v>
      </c>
      <c r="I1291" s="3">
        <v>1</v>
      </c>
      <c r="J1291" s="3">
        <f>grocery_chain_data[[#This Row],[Total Amount]]-grocery_chain_data[[#This Row],[Discount Amount]]</f>
        <v>6</v>
      </c>
      <c r="K1291">
        <v>245</v>
      </c>
      <c r="L1291" t="str">
        <f>IF(grocery_chain_data[[#This Row],[Final Amount]]&lt;0,"Return","Sale")</f>
        <v>Sale</v>
      </c>
      <c r="M1291">
        <f>IF(grocery_chain_data[[#This Row],[Final Amount]]&lt;0,0,grocery_chain_data[[#This Row],[Final Amount]])</f>
        <v>6</v>
      </c>
    </row>
    <row r="1292" spans="1:13" x14ac:dyDescent="0.3">
      <c r="A1292">
        <v>2562</v>
      </c>
      <c r="B1292" t="s">
        <v>12</v>
      </c>
      <c r="C1292" s="1">
        <v>45288</v>
      </c>
      <c r="D1292" s="1" t="str">
        <f t="shared" si="20"/>
        <v>Produce</v>
      </c>
      <c r="E1292" t="s">
        <v>25</v>
      </c>
      <c r="F1292" s="2">
        <v>2</v>
      </c>
      <c r="G1292" s="3">
        <v>8</v>
      </c>
      <c r="H1292" s="3">
        <f>grocery_chain_data[[#This Row],[Quantity]]*grocery_chain_data[[#This Row],[Unit Price]]</f>
        <v>16</v>
      </c>
      <c r="I1292" s="3">
        <v>0</v>
      </c>
      <c r="J1292" s="3">
        <f>grocery_chain_data[[#This Row],[Total Amount]]-grocery_chain_data[[#This Row],[Discount Amount]]</f>
        <v>16</v>
      </c>
      <c r="K1292">
        <v>278</v>
      </c>
      <c r="L1292" t="str">
        <f>IF(grocery_chain_data[[#This Row],[Final Amount]]&lt;0,"Return","Sale")</f>
        <v>Sale</v>
      </c>
      <c r="M1292">
        <f>IF(grocery_chain_data[[#This Row],[Final Amount]]&lt;0,0,grocery_chain_data[[#This Row],[Final Amount]])</f>
        <v>16</v>
      </c>
    </row>
    <row r="1293" spans="1:13" x14ac:dyDescent="0.3">
      <c r="A1293">
        <v>3303</v>
      </c>
      <c r="B1293" t="s">
        <v>2</v>
      </c>
      <c r="C1293" s="1">
        <v>45515</v>
      </c>
      <c r="D1293" s="1" t="str">
        <f t="shared" si="20"/>
        <v>Produce</v>
      </c>
      <c r="E1293" t="s">
        <v>18</v>
      </c>
      <c r="F1293" s="2">
        <v>1</v>
      </c>
      <c r="G1293" s="3">
        <v>4</v>
      </c>
      <c r="H1293" s="3">
        <f>grocery_chain_data[[#This Row],[Quantity]]*grocery_chain_data[[#This Row],[Unit Price]]</f>
        <v>4</v>
      </c>
      <c r="I1293" s="3">
        <v>5</v>
      </c>
      <c r="J1293" s="3">
        <f>grocery_chain_data[[#This Row],[Total Amount]]-grocery_chain_data[[#This Row],[Discount Amount]]</f>
        <v>-1</v>
      </c>
      <c r="K1293">
        <v>151</v>
      </c>
      <c r="L1293" t="str">
        <f>IF(grocery_chain_data[[#This Row],[Final Amount]]&lt;0,"Return","Sale")</f>
        <v>Return</v>
      </c>
      <c r="M1293">
        <f>IF(grocery_chain_data[[#This Row],[Final Amount]]&lt;0,0,grocery_chain_data[[#This Row],[Final Amount]])</f>
        <v>0</v>
      </c>
    </row>
    <row r="1294" spans="1:13" x14ac:dyDescent="0.3">
      <c r="A1294">
        <v>6301</v>
      </c>
      <c r="B1294" t="s">
        <v>8</v>
      </c>
      <c r="C1294" s="1">
        <v>45871</v>
      </c>
      <c r="D1294" s="1" t="str">
        <f t="shared" si="20"/>
        <v>Produce</v>
      </c>
      <c r="E1294" t="s">
        <v>18</v>
      </c>
      <c r="F1294" s="2">
        <v>2</v>
      </c>
      <c r="G1294" s="3">
        <v>2</v>
      </c>
      <c r="H1294" s="3">
        <f>grocery_chain_data[[#This Row],[Quantity]]*grocery_chain_data[[#This Row],[Unit Price]]</f>
        <v>4</v>
      </c>
      <c r="I1294" s="3">
        <v>1</v>
      </c>
      <c r="J1294" s="3">
        <f>grocery_chain_data[[#This Row],[Total Amount]]-grocery_chain_data[[#This Row],[Discount Amount]]</f>
        <v>3</v>
      </c>
      <c r="K1294">
        <v>218</v>
      </c>
      <c r="L1294" t="str">
        <f>IF(grocery_chain_data[[#This Row],[Final Amount]]&lt;0,"Return","Sale")</f>
        <v>Sale</v>
      </c>
      <c r="M1294">
        <f>IF(grocery_chain_data[[#This Row],[Final Amount]]&lt;0,0,grocery_chain_data[[#This Row],[Final Amount]])</f>
        <v>3</v>
      </c>
    </row>
    <row r="1295" spans="1:13" x14ac:dyDescent="0.3">
      <c r="A1295">
        <v>5064</v>
      </c>
      <c r="B1295" t="s">
        <v>16</v>
      </c>
      <c r="C1295" s="1">
        <v>45150</v>
      </c>
      <c r="D1295" s="1" t="str">
        <f t="shared" si="20"/>
        <v>Produce</v>
      </c>
      <c r="E1295" t="s">
        <v>17</v>
      </c>
      <c r="F1295" s="2">
        <v>2</v>
      </c>
      <c r="G1295" s="3">
        <v>28</v>
      </c>
      <c r="H1295" s="3">
        <f>grocery_chain_data[[#This Row],[Quantity]]*grocery_chain_data[[#This Row],[Unit Price]]</f>
        <v>56</v>
      </c>
      <c r="I1295" s="3">
        <v>0</v>
      </c>
      <c r="J1295" s="3">
        <f>grocery_chain_data[[#This Row],[Total Amount]]-grocery_chain_data[[#This Row],[Discount Amount]]</f>
        <v>56</v>
      </c>
      <c r="K1295">
        <v>350</v>
      </c>
      <c r="L1295" t="str">
        <f>IF(grocery_chain_data[[#This Row],[Final Amount]]&lt;0,"Return","Sale")</f>
        <v>Sale</v>
      </c>
      <c r="M1295">
        <f>IF(grocery_chain_data[[#This Row],[Final Amount]]&lt;0,0,grocery_chain_data[[#This Row],[Final Amount]])</f>
        <v>56</v>
      </c>
    </row>
    <row r="1296" spans="1:13" x14ac:dyDescent="0.3">
      <c r="A1296">
        <v>5272</v>
      </c>
      <c r="B1296" t="s">
        <v>0</v>
      </c>
      <c r="C1296" s="1">
        <v>45442</v>
      </c>
      <c r="D1296" s="1" t="str">
        <f t="shared" si="20"/>
        <v>Produce</v>
      </c>
      <c r="E1296" t="s">
        <v>11</v>
      </c>
      <c r="F1296" s="2">
        <v>1</v>
      </c>
      <c r="G1296" s="3">
        <v>8</v>
      </c>
      <c r="H1296" s="3">
        <f>grocery_chain_data[[#This Row],[Quantity]]*grocery_chain_data[[#This Row],[Unit Price]]</f>
        <v>8</v>
      </c>
      <c r="I1296" s="3">
        <v>1</v>
      </c>
      <c r="J1296" s="3">
        <f>grocery_chain_data[[#This Row],[Total Amount]]-grocery_chain_data[[#This Row],[Discount Amount]]</f>
        <v>7</v>
      </c>
      <c r="K1296">
        <v>489</v>
      </c>
      <c r="L1296" t="str">
        <f>IF(grocery_chain_data[[#This Row],[Final Amount]]&lt;0,"Return","Sale")</f>
        <v>Sale</v>
      </c>
      <c r="M1296">
        <f>IF(grocery_chain_data[[#This Row],[Final Amount]]&lt;0,0,grocery_chain_data[[#This Row],[Final Amount]])</f>
        <v>7</v>
      </c>
    </row>
    <row r="1297" spans="1:13" x14ac:dyDescent="0.3">
      <c r="A1297">
        <v>4858</v>
      </c>
      <c r="B1297" t="s">
        <v>0</v>
      </c>
      <c r="C1297" s="1">
        <v>45491</v>
      </c>
      <c r="D1297" s="1" t="str">
        <f t="shared" si="20"/>
        <v>Pantry</v>
      </c>
      <c r="E1297" t="s">
        <v>6</v>
      </c>
      <c r="F1297" s="2">
        <v>1</v>
      </c>
      <c r="G1297" s="3">
        <v>11</v>
      </c>
      <c r="H1297" s="3">
        <f>grocery_chain_data[[#This Row],[Quantity]]*grocery_chain_data[[#This Row],[Unit Price]]</f>
        <v>11</v>
      </c>
      <c r="I1297" s="3">
        <v>3</v>
      </c>
      <c r="J1297" s="3">
        <f>grocery_chain_data[[#This Row],[Total Amount]]-grocery_chain_data[[#This Row],[Discount Amount]]</f>
        <v>8</v>
      </c>
      <c r="K1297">
        <v>473</v>
      </c>
      <c r="L1297" t="str">
        <f>IF(grocery_chain_data[[#This Row],[Final Amount]]&lt;0,"Return","Sale")</f>
        <v>Sale</v>
      </c>
      <c r="M1297">
        <f>IF(grocery_chain_data[[#This Row],[Final Amount]]&lt;0,0,grocery_chain_data[[#This Row],[Final Amount]])</f>
        <v>8</v>
      </c>
    </row>
    <row r="1298" spans="1:13" x14ac:dyDescent="0.3">
      <c r="A1298">
        <v>5374</v>
      </c>
      <c r="B1298" t="s">
        <v>5</v>
      </c>
      <c r="C1298" s="1">
        <v>45401</v>
      </c>
      <c r="D1298" s="1" t="str">
        <f t="shared" si="20"/>
        <v>Produce</v>
      </c>
      <c r="E1298" t="s">
        <v>24</v>
      </c>
      <c r="F1298" s="2">
        <v>3</v>
      </c>
      <c r="G1298" s="3">
        <v>18</v>
      </c>
      <c r="H1298" s="3">
        <f>grocery_chain_data[[#This Row],[Quantity]]*grocery_chain_data[[#This Row],[Unit Price]]</f>
        <v>54</v>
      </c>
      <c r="I1298" s="3">
        <v>11</v>
      </c>
      <c r="J1298" s="3">
        <f>grocery_chain_data[[#This Row],[Total Amount]]-grocery_chain_data[[#This Row],[Discount Amount]]</f>
        <v>43</v>
      </c>
      <c r="K1298">
        <v>347</v>
      </c>
      <c r="L1298" t="str">
        <f>IF(grocery_chain_data[[#This Row],[Final Amount]]&lt;0,"Return","Sale")</f>
        <v>Sale</v>
      </c>
      <c r="M1298">
        <f>IF(grocery_chain_data[[#This Row],[Final Amount]]&lt;0,0,grocery_chain_data[[#This Row],[Final Amount]])</f>
        <v>43</v>
      </c>
    </row>
    <row r="1299" spans="1:13" x14ac:dyDescent="0.3">
      <c r="A1299">
        <v>5947</v>
      </c>
      <c r="B1299" t="s">
        <v>12</v>
      </c>
      <c r="C1299" s="1">
        <v>45597</v>
      </c>
      <c r="D1299" s="1" t="str">
        <f t="shared" si="20"/>
        <v>Produce</v>
      </c>
      <c r="E1299" t="s">
        <v>17</v>
      </c>
      <c r="F1299" s="2">
        <v>3</v>
      </c>
      <c r="G1299" s="3">
        <v>26</v>
      </c>
      <c r="H1299" s="3">
        <f>grocery_chain_data[[#This Row],[Quantity]]*grocery_chain_data[[#This Row],[Unit Price]]</f>
        <v>78</v>
      </c>
      <c r="I1299" s="3">
        <v>0</v>
      </c>
      <c r="J1299" s="3">
        <f>grocery_chain_data[[#This Row],[Total Amount]]-grocery_chain_data[[#This Row],[Discount Amount]]</f>
        <v>78</v>
      </c>
      <c r="K1299">
        <v>138</v>
      </c>
      <c r="L1299" t="str">
        <f>IF(grocery_chain_data[[#This Row],[Final Amount]]&lt;0,"Return","Sale")</f>
        <v>Sale</v>
      </c>
      <c r="M1299">
        <f>IF(grocery_chain_data[[#This Row],[Final Amount]]&lt;0,0,grocery_chain_data[[#This Row],[Final Amount]])</f>
        <v>78</v>
      </c>
    </row>
    <row r="1300" spans="1:13" x14ac:dyDescent="0.3">
      <c r="A1300">
        <v>1187</v>
      </c>
      <c r="B1300" t="s">
        <v>16</v>
      </c>
      <c r="C1300" s="1">
        <v>45348</v>
      </c>
      <c r="D1300" s="1" t="str">
        <f t="shared" si="20"/>
        <v>Bakery</v>
      </c>
      <c r="E1300" t="s">
        <v>22</v>
      </c>
      <c r="F1300" s="2">
        <v>1</v>
      </c>
      <c r="G1300" s="3">
        <v>26</v>
      </c>
      <c r="H1300" s="3">
        <f>grocery_chain_data[[#This Row],[Quantity]]*grocery_chain_data[[#This Row],[Unit Price]]</f>
        <v>26</v>
      </c>
      <c r="I1300" s="3">
        <v>0</v>
      </c>
      <c r="J1300" s="3">
        <f>grocery_chain_data[[#This Row],[Total Amount]]-grocery_chain_data[[#This Row],[Discount Amount]]</f>
        <v>26</v>
      </c>
      <c r="K1300">
        <v>500</v>
      </c>
      <c r="L1300" t="str">
        <f>IF(grocery_chain_data[[#This Row],[Final Amount]]&lt;0,"Return","Sale")</f>
        <v>Sale</v>
      </c>
      <c r="M1300">
        <f>IF(grocery_chain_data[[#This Row],[Final Amount]]&lt;0,0,grocery_chain_data[[#This Row],[Final Amount]])</f>
        <v>26</v>
      </c>
    </row>
    <row r="1301" spans="1:13" x14ac:dyDescent="0.3">
      <c r="A1301">
        <v>6890</v>
      </c>
      <c r="B1301" t="s">
        <v>5</v>
      </c>
      <c r="C1301" s="1">
        <v>45683</v>
      </c>
      <c r="D1301" s="1" t="str">
        <f t="shared" si="20"/>
        <v>Dairy</v>
      </c>
      <c r="E1301" t="s">
        <v>20</v>
      </c>
      <c r="F1301" s="2">
        <v>4</v>
      </c>
      <c r="G1301" s="3">
        <v>14</v>
      </c>
      <c r="H1301" s="3">
        <f>grocery_chain_data[[#This Row],[Quantity]]*grocery_chain_data[[#This Row],[Unit Price]]</f>
        <v>56</v>
      </c>
      <c r="I1301" s="3">
        <v>1</v>
      </c>
      <c r="J1301" s="3">
        <f>grocery_chain_data[[#This Row],[Total Amount]]-grocery_chain_data[[#This Row],[Discount Amount]]</f>
        <v>55</v>
      </c>
      <c r="K1301">
        <v>407</v>
      </c>
      <c r="L1301" t="str">
        <f>IF(grocery_chain_data[[#This Row],[Final Amount]]&lt;0,"Return","Sale")</f>
        <v>Sale</v>
      </c>
      <c r="M1301">
        <f>IF(grocery_chain_data[[#This Row],[Final Amount]]&lt;0,0,grocery_chain_data[[#This Row],[Final Amount]])</f>
        <v>55</v>
      </c>
    </row>
    <row r="1302" spans="1:13" x14ac:dyDescent="0.3">
      <c r="A1302">
        <v>4871</v>
      </c>
      <c r="B1302" t="s">
        <v>8</v>
      </c>
      <c r="C1302" s="1">
        <v>45193</v>
      </c>
      <c r="D1302" s="1" t="str">
        <f t="shared" si="20"/>
        <v>Dairy</v>
      </c>
      <c r="E1302" t="s">
        <v>20</v>
      </c>
      <c r="F1302" s="2">
        <v>1</v>
      </c>
      <c r="G1302" s="3">
        <v>10</v>
      </c>
      <c r="H1302" s="3">
        <f>grocery_chain_data[[#This Row],[Quantity]]*grocery_chain_data[[#This Row],[Unit Price]]</f>
        <v>10</v>
      </c>
      <c r="I1302" s="3">
        <v>1</v>
      </c>
      <c r="J1302" s="3">
        <f>grocery_chain_data[[#This Row],[Total Amount]]-grocery_chain_data[[#This Row],[Discount Amount]]</f>
        <v>9</v>
      </c>
      <c r="K1302">
        <v>65</v>
      </c>
      <c r="L1302" t="str">
        <f>IF(grocery_chain_data[[#This Row],[Final Amount]]&lt;0,"Return","Sale")</f>
        <v>Sale</v>
      </c>
      <c r="M1302">
        <f>IF(grocery_chain_data[[#This Row],[Final Amount]]&lt;0,0,grocery_chain_data[[#This Row],[Final Amount]])</f>
        <v>9</v>
      </c>
    </row>
    <row r="1303" spans="1:13" x14ac:dyDescent="0.3">
      <c r="A1303">
        <v>2936</v>
      </c>
      <c r="B1303" t="s">
        <v>16</v>
      </c>
      <c r="C1303" s="1">
        <v>45506</v>
      </c>
      <c r="D1303" s="1" t="str">
        <f t="shared" si="20"/>
        <v>Produce</v>
      </c>
      <c r="E1303" t="s">
        <v>25</v>
      </c>
      <c r="F1303" s="2">
        <v>4</v>
      </c>
      <c r="G1303" s="3">
        <v>15</v>
      </c>
      <c r="H1303" s="3">
        <f>grocery_chain_data[[#This Row],[Quantity]]*grocery_chain_data[[#This Row],[Unit Price]]</f>
        <v>60</v>
      </c>
      <c r="I1303" s="3">
        <v>4</v>
      </c>
      <c r="J1303" s="3">
        <f>grocery_chain_data[[#This Row],[Total Amount]]-grocery_chain_data[[#This Row],[Discount Amount]]</f>
        <v>56</v>
      </c>
      <c r="K1303">
        <v>498</v>
      </c>
      <c r="L1303" t="str">
        <f>IF(grocery_chain_data[[#This Row],[Final Amount]]&lt;0,"Return","Sale")</f>
        <v>Sale</v>
      </c>
      <c r="M1303">
        <f>IF(grocery_chain_data[[#This Row],[Final Amount]]&lt;0,0,grocery_chain_data[[#This Row],[Final Amount]])</f>
        <v>56</v>
      </c>
    </row>
    <row r="1304" spans="1:13" x14ac:dyDescent="0.3">
      <c r="A1304">
        <v>6026</v>
      </c>
      <c r="B1304" t="s">
        <v>16</v>
      </c>
      <c r="C1304" s="1">
        <v>45269</v>
      </c>
      <c r="D1304" s="1" t="str">
        <f t="shared" si="20"/>
        <v>Meat &amp; Seafood</v>
      </c>
      <c r="E1304" t="s">
        <v>9</v>
      </c>
      <c r="F1304" s="2">
        <v>4</v>
      </c>
      <c r="G1304" s="3">
        <v>13</v>
      </c>
      <c r="H1304" s="3">
        <f>grocery_chain_data[[#This Row],[Quantity]]*grocery_chain_data[[#This Row],[Unit Price]]</f>
        <v>52</v>
      </c>
      <c r="I1304" s="3">
        <v>3</v>
      </c>
      <c r="J1304" s="3">
        <f>grocery_chain_data[[#This Row],[Total Amount]]-grocery_chain_data[[#This Row],[Discount Amount]]</f>
        <v>49</v>
      </c>
      <c r="K1304">
        <v>254</v>
      </c>
      <c r="L1304" t="str">
        <f>IF(grocery_chain_data[[#This Row],[Final Amount]]&lt;0,"Return","Sale")</f>
        <v>Sale</v>
      </c>
      <c r="M1304">
        <f>IF(grocery_chain_data[[#This Row],[Final Amount]]&lt;0,0,grocery_chain_data[[#This Row],[Final Amount]])</f>
        <v>49</v>
      </c>
    </row>
    <row r="1305" spans="1:13" x14ac:dyDescent="0.3">
      <c r="A1305">
        <v>7642</v>
      </c>
      <c r="B1305" t="s">
        <v>21</v>
      </c>
      <c r="C1305" s="1">
        <v>45677</v>
      </c>
      <c r="D1305" s="1" t="str">
        <f t="shared" si="20"/>
        <v>Bakery</v>
      </c>
      <c r="E1305" t="s">
        <v>22</v>
      </c>
      <c r="F1305" s="2">
        <v>5</v>
      </c>
      <c r="G1305" s="3">
        <v>22</v>
      </c>
      <c r="H1305" s="3">
        <f>grocery_chain_data[[#This Row],[Quantity]]*grocery_chain_data[[#This Row],[Unit Price]]</f>
        <v>110</v>
      </c>
      <c r="I1305" s="3">
        <v>0</v>
      </c>
      <c r="J1305" s="3">
        <f>grocery_chain_data[[#This Row],[Total Amount]]-grocery_chain_data[[#This Row],[Discount Amount]]</f>
        <v>110</v>
      </c>
      <c r="K1305">
        <v>269</v>
      </c>
      <c r="L1305" t="str">
        <f>IF(grocery_chain_data[[#This Row],[Final Amount]]&lt;0,"Return","Sale")</f>
        <v>Sale</v>
      </c>
      <c r="M1305">
        <f>IF(grocery_chain_data[[#This Row],[Final Amount]]&lt;0,0,grocery_chain_data[[#This Row],[Final Amount]])</f>
        <v>110</v>
      </c>
    </row>
    <row r="1306" spans="1:13" x14ac:dyDescent="0.3">
      <c r="A1306">
        <v>9233</v>
      </c>
      <c r="B1306" t="s">
        <v>0</v>
      </c>
      <c r="C1306" s="1">
        <v>45861</v>
      </c>
      <c r="D1306" s="1" t="str">
        <f t="shared" si="20"/>
        <v>Beverages</v>
      </c>
      <c r="E1306" t="s">
        <v>7</v>
      </c>
      <c r="F1306" s="2">
        <v>1</v>
      </c>
      <c r="G1306" s="3">
        <v>7</v>
      </c>
      <c r="H1306" s="3">
        <f>grocery_chain_data[[#This Row],[Quantity]]*grocery_chain_data[[#This Row],[Unit Price]]</f>
        <v>7</v>
      </c>
      <c r="I1306" s="3">
        <v>1</v>
      </c>
      <c r="J1306" s="3">
        <f>grocery_chain_data[[#This Row],[Total Amount]]-grocery_chain_data[[#This Row],[Discount Amount]]</f>
        <v>6</v>
      </c>
      <c r="K1306">
        <v>435</v>
      </c>
      <c r="L1306" t="str">
        <f>IF(grocery_chain_data[[#This Row],[Final Amount]]&lt;0,"Return","Sale")</f>
        <v>Sale</v>
      </c>
      <c r="M1306">
        <f>IF(grocery_chain_data[[#This Row],[Final Amount]]&lt;0,0,grocery_chain_data[[#This Row],[Final Amount]])</f>
        <v>6</v>
      </c>
    </row>
    <row r="1307" spans="1:13" x14ac:dyDescent="0.3">
      <c r="A1307">
        <v>6095</v>
      </c>
      <c r="B1307" t="s">
        <v>2</v>
      </c>
      <c r="C1307" s="1">
        <v>45681</v>
      </c>
      <c r="D1307" s="1" t="str">
        <f t="shared" si="20"/>
        <v>Dairy</v>
      </c>
      <c r="E1307" t="s">
        <v>20</v>
      </c>
      <c r="F1307" s="2">
        <v>1</v>
      </c>
      <c r="G1307" s="3">
        <v>3</v>
      </c>
      <c r="H1307" s="3">
        <f>grocery_chain_data[[#This Row],[Quantity]]*grocery_chain_data[[#This Row],[Unit Price]]</f>
        <v>3</v>
      </c>
      <c r="I1307" s="3">
        <v>1</v>
      </c>
      <c r="J1307" s="3">
        <f>grocery_chain_data[[#This Row],[Total Amount]]-grocery_chain_data[[#This Row],[Discount Amount]]</f>
        <v>2</v>
      </c>
      <c r="K1307">
        <v>178</v>
      </c>
      <c r="L1307" t="str">
        <f>IF(grocery_chain_data[[#This Row],[Final Amount]]&lt;0,"Return","Sale")</f>
        <v>Sale</v>
      </c>
      <c r="M1307">
        <f>IF(grocery_chain_data[[#This Row],[Final Amount]]&lt;0,0,grocery_chain_data[[#This Row],[Final Amount]])</f>
        <v>2</v>
      </c>
    </row>
    <row r="1308" spans="1:13" x14ac:dyDescent="0.3">
      <c r="A1308">
        <v>2923</v>
      </c>
      <c r="B1308" t="s">
        <v>12</v>
      </c>
      <c r="C1308" s="1">
        <v>45641</v>
      </c>
      <c r="D1308" s="1" t="str">
        <f t="shared" si="20"/>
        <v>Dairy</v>
      </c>
      <c r="E1308" t="s">
        <v>20</v>
      </c>
      <c r="F1308" s="2">
        <v>5</v>
      </c>
      <c r="G1308" s="3">
        <v>29</v>
      </c>
      <c r="H1308" s="3">
        <f>grocery_chain_data[[#This Row],[Quantity]]*grocery_chain_data[[#This Row],[Unit Price]]</f>
        <v>145</v>
      </c>
      <c r="I1308" s="3">
        <v>29</v>
      </c>
      <c r="J1308" s="3">
        <f>grocery_chain_data[[#This Row],[Total Amount]]-grocery_chain_data[[#This Row],[Discount Amount]]</f>
        <v>116</v>
      </c>
      <c r="K1308">
        <v>467</v>
      </c>
      <c r="L1308" t="str">
        <f>IF(grocery_chain_data[[#This Row],[Final Amount]]&lt;0,"Return","Sale")</f>
        <v>Sale</v>
      </c>
      <c r="M1308">
        <f>IF(grocery_chain_data[[#This Row],[Final Amount]]&lt;0,0,grocery_chain_data[[#This Row],[Final Amount]])</f>
        <v>116</v>
      </c>
    </row>
    <row r="1309" spans="1:13" x14ac:dyDescent="0.3">
      <c r="A1309">
        <v>5833</v>
      </c>
      <c r="B1309" t="s">
        <v>21</v>
      </c>
      <c r="C1309" s="1">
        <v>45430</v>
      </c>
      <c r="D1309" s="1" t="str">
        <f t="shared" si="20"/>
        <v>Dairy</v>
      </c>
      <c r="E1309" t="s">
        <v>19</v>
      </c>
      <c r="F1309" s="2">
        <v>2</v>
      </c>
      <c r="G1309" s="3">
        <v>4</v>
      </c>
      <c r="H1309" s="3">
        <f>grocery_chain_data[[#This Row],[Quantity]]*grocery_chain_data[[#This Row],[Unit Price]]</f>
        <v>8</v>
      </c>
      <c r="I1309" s="3">
        <v>1</v>
      </c>
      <c r="J1309" s="3">
        <f>grocery_chain_data[[#This Row],[Total Amount]]-grocery_chain_data[[#This Row],[Discount Amount]]</f>
        <v>7</v>
      </c>
      <c r="K1309">
        <v>356</v>
      </c>
      <c r="L1309" t="str">
        <f>IF(grocery_chain_data[[#This Row],[Final Amount]]&lt;0,"Return","Sale")</f>
        <v>Sale</v>
      </c>
      <c r="M1309">
        <f>IF(grocery_chain_data[[#This Row],[Final Amount]]&lt;0,0,grocery_chain_data[[#This Row],[Final Amount]])</f>
        <v>7</v>
      </c>
    </row>
    <row r="1310" spans="1:13" x14ac:dyDescent="0.3">
      <c r="A1310">
        <v>4618</v>
      </c>
      <c r="B1310" t="s">
        <v>13</v>
      </c>
      <c r="C1310" s="1">
        <v>45315</v>
      </c>
      <c r="D1310" s="1" t="str">
        <f t="shared" si="20"/>
        <v>Beverages</v>
      </c>
      <c r="E1310" t="s">
        <v>7</v>
      </c>
      <c r="F1310" s="2">
        <v>1</v>
      </c>
      <c r="G1310" s="3">
        <v>21</v>
      </c>
      <c r="H1310" s="3">
        <f>grocery_chain_data[[#This Row],[Quantity]]*grocery_chain_data[[#This Row],[Unit Price]]</f>
        <v>21</v>
      </c>
      <c r="I1310" s="3">
        <v>2</v>
      </c>
      <c r="J1310" s="3">
        <f>grocery_chain_data[[#This Row],[Total Amount]]-grocery_chain_data[[#This Row],[Discount Amount]]</f>
        <v>19</v>
      </c>
      <c r="K1310">
        <v>339</v>
      </c>
      <c r="L1310" t="str">
        <f>IF(grocery_chain_data[[#This Row],[Final Amount]]&lt;0,"Return","Sale")</f>
        <v>Sale</v>
      </c>
      <c r="M1310">
        <f>IF(grocery_chain_data[[#This Row],[Final Amount]]&lt;0,0,grocery_chain_data[[#This Row],[Final Amount]])</f>
        <v>19</v>
      </c>
    </row>
    <row r="1311" spans="1:13" x14ac:dyDescent="0.3">
      <c r="A1311">
        <v>3188</v>
      </c>
      <c r="B1311" t="s">
        <v>5</v>
      </c>
      <c r="C1311" s="1">
        <v>45516</v>
      </c>
      <c r="D1311" s="1" t="str">
        <f t="shared" si="20"/>
        <v>Dairy</v>
      </c>
      <c r="E1311" t="s">
        <v>20</v>
      </c>
      <c r="F1311" s="2">
        <v>3</v>
      </c>
      <c r="G1311" s="3">
        <v>5</v>
      </c>
      <c r="H1311" s="3">
        <f>grocery_chain_data[[#This Row],[Quantity]]*grocery_chain_data[[#This Row],[Unit Price]]</f>
        <v>15</v>
      </c>
      <c r="I1311" s="3">
        <v>3</v>
      </c>
      <c r="J1311" s="3">
        <f>grocery_chain_data[[#This Row],[Total Amount]]-grocery_chain_data[[#This Row],[Discount Amount]]</f>
        <v>12</v>
      </c>
      <c r="K1311">
        <v>125</v>
      </c>
      <c r="L1311" t="str">
        <f>IF(grocery_chain_data[[#This Row],[Final Amount]]&lt;0,"Return","Sale")</f>
        <v>Sale</v>
      </c>
      <c r="M1311">
        <f>IF(grocery_chain_data[[#This Row],[Final Amount]]&lt;0,0,grocery_chain_data[[#This Row],[Final Amount]])</f>
        <v>12</v>
      </c>
    </row>
    <row r="1312" spans="1:13" x14ac:dyDescent="0.3">
      <c r="A1312">
        <v>3509</v>
      </c>
      <c r="B1312" t="s">
        <v>8</v>
      </c>
      <c r="C1312" s="1">
        <v>45498</v>
      </c>
      <c r="D1312" s="1" t="str">
        <f t="shared" si="20"/>
        <v>Produce</v>
      </c>
      <c r="E1312" t="s">
        <v>11</v>
      </c>
      <c r="F1312" s="2">
        <v>4</v>
      </c>
      <c r="G1312" s="3">
        <v>23</v>
      </c>
      <c r="H1312" s="3">
        <f>grocery_chain_data[[#This Row],[Quantity]]*grocery_chain_data[[#This Row],[Unit Price]]</f>
        <v>92</v>
      </c>
      <c r="I1312" s="3">
        <v>9</v>
      </c>
      <c r="J1312" s="3">
        <f>grocery_chain_data[[#This Row],[Total Amount]]-grocery_chain_data[[#This Row],[Discount Amount]]</f>
        <v>83</v>
      </c>
      <c r="K1312">
        <v>383</v>
      </c>
      <c r="L1312" t="str">
        <f>IF(grocery_chain_data[[#This Row],[Final Amount]]&lt;0,"Return","Sale")</f>
        <v>Sale</v>
      </c>
      <c r="M1312">
        <f>IF(grocery_chain_data[[#This Row],[Final Amount]]&lt;0,0,grocery_chain_data[[#This Row],[Final Amount]])</f>
        <v>83</v>
      </c>
    </row>
    <row r="1313" spans="1:13" x14ac:dyDescent="0.3">
      <c r="A1313">
        <v>7121</v>
      </c>
      <c r="B1313" t="s">
        <v>8</v>
      </c>
      <c r="C1313" s="1">
        <v>45467</v>
      </c>
      <c r="D1313" s="1" t="str">
        <f t="shared" si="20"/>
        <v>Meat &amp; Seafood</v>
      </c>
      <c r="E1313" t="s">
        <v>15</v>
      </c>
      <c r="F1313" s="2">
        <v>1</v>
      </c>
      <c r="G1313" s="3">
        <v>9</v>
      </c>
      <c r="H1313" s="3">
        <f>grocery_chain_data[[#This Row],[Quantity]]*grocery_chain_data[[#This Row],[Unit Price]]</f>
        <v>9</v>
      </c>
      <c r="I1313" s="3">
        <v>0</v>
      </c>
      <c r="J1313" s="3">
        <f>grocery_chain_data[[#This Row],[Total Amount]]-grocery_chain_data[[#This Row],[Discount Amount]]</f>
        <v>9</v>
      </c>
      <c r="K1313">
        <v>79</v>
      </c>
      <c r="L1313" t="str">
        <f>IF(grocery_chain_data[[#This Row],[Final Amount]]&lt;0,"Return","Sale")</f>
        <v>Sale</v>
      </c>
      <c r="M1313">
        <f>IF(grocery_chain_data[[#This Row],[Final Amount]]&lt;0,0,grocery_chain_data[[#This Row],[Final Amount]])</f>
        <v>9</v>
      </c>
    </row>
    <row r="1314" spans="1:13" x14ac:dyDescent="0.3">
      <c r="A1314">
        <v>9998</v>
      </c>
      <c r="B1314" t="s">
        <v>13</v>
      </c>
      <c r="C1314" s="1">
        <v>45853</v>
      </c>
      <c r="D1314" s="1" t="str">
        <f t="shared" si="20"/>
        <v>Produce</v>
      </c>
      <c r="E1314" t="s">
        <v>11</v>
      </c>
      <c r="F1314" s="2">
        <v>5</v>
      </c>
      <c r="G1314" s="3">
        <v>6</v>
      </c>
      <c r="H1314" s="3">
        <f>grocery_chain_data[[#This Row],[Quantity]]*grocery_chain_data[[#This Row],[Unit Price]]</f>
        <v>30</v>
      </c>
      <c r="I1314" s="3">
        <v>0</v>
      </c>
      <c r="J1314" s="3">
        <f>grocery_chain_data[[#This Row],[Total Amount]]-grocery_chain_data[[#This Row],[Discount Amount]]</f>
        <v>30</v>
      </c>
      <c r="K1314">
        <v>202</v>
      </c>
      <c r="L1314" t="str">
        <f>IF(grocery_chain_data[[#This Row],[Final Amount]]&lt;0,"Return","Sale")</f>
        <v>Sale</v>
      </c>
      <c r="M1314">
        <f>IF(grocery_chain_data[[#This Row],[Final Amount]]&lt;0,0,grocery_chain_data[[#This Row],[Final Amount]])</f>
        <v>30</v>
      </c>
    </row>
    <row r="1315" spans="1:13" x14ac:dyDescent="0.3">
      <c r="A1315">
        <v>8714</v>
      </c>
      <c r="B1315" t="s">
        <v>10</v>
      </c>
      <c r="C1315" s="1">
        <v>45733</v>
      </c>
      <c r="D1315" s="1" t="str">
        <f t="shared" si="20"/>
        <v>Pantry</v>
      </c>
      <c r="E1315" t="s">
        <v>1</v>
      </c>
      <c r="F1315" s="2">
        <v>5</v>
      </c>
      <c r="G1315" s="3">
        <v>16</v>
      </c>
      <c r="H1315" s="3">
        <f>grocery_chain_data[[#This Row],[Quantity]]*grocery_chain_data[[#This Row],[Unit Price]]</f>
        <v>80</v>
      </c>
      <c r="I1315" s="3">
        <v>8</v>
      </c>
      <c r="J1315" s="3">
        <f>grocery_chain_data[[#This Row],[Total Amount]]-grocery_chain_data[[#This Row],[Discount Amount]]</f>
        <v>72</v>
      </c>
      <c r="K1315">
        <v>363</v>
      </c>
      <c r="L1315" t="str">
        <f>IF(grocery_chain_data[[#This Row],[Final Amount]]&lt;0,"Return","Sale")</f>
        <v>Sale</v>
      </c>
      <c r="M1315">
        <f>IF(grocery_chain_data[[#This Row],[Final Amount]]&lt;0,0,grocery_chain_data[[#This Row],[Final Amount]])</f>
        <v>72</v>
      </c>
    </row>
    <row r="1316" spans="1:13" x14ac:dyDescent="0.3">
      <c r="A1316">
        <v>9806</v>
      </c>
      <c r="B1316" t="s">
        <v>5</v>
      </c>
      <c r="C1316" s="1">
        <v>45767</v>
      </c>
      <c r="D1316" s="1" t="str">
        <f t="shared" si="20"/>
        <v>Bakery</v>
      </c>
      <c r="E1316" t="s">
        <v>22</v>
      </c>
      <c r="F1316" s="2">
        <v>5</v>
      </c>
      <c r="G1316" s="3">
        <v>12</v>
      </c>
      <c r="H1316" s="3">
        <f>grocery_chain_data[[#This Row],[Quantity]]*grocery_chain_data[[#This Row],[Unit Price]]</f>
        <v>60</v>
      </c>
      <c r="I1316" s="3">
        <v>0</v>
      </c>
      <c r="J1316" s="3">
        <f>grocery_chain_data[[#This Row],[Total Amount]]-grocery_chain_data[[#This Row],[Discount Amount]]</f>
        <v>60</v>
      </c>
      <c r="K1316">
        <v>486</v>
      </c>
      <c r="L1316" t="str">
        <f>IF(grocery_chain_data[[#This Row],[Final Amount]]&lt;0,"Return","Sale")</f>
        <v>Sale</v>
      </c>
      <c r="M1316">
        <f>IF(grocery_chain_data[[#This Row],[Final Amount]]&lt;0,0,grocery_chain_data[[#This Row],[Final Amount]])</f>
        <v>60</v>
      </c>
    </row>
    <row r="1317" spans="1:13" x14ac:dyDescent="0.3">
      <c r="A1317">
        <v>4578</v>
      </c>
      <c r="B1317" t="s">
        <v>21</v>
      </c>
      <c r="C1317" s="1">
        <v>45736</v>
      </c>
      <c r="D1317" s="1" t="str">
        <f t="shared" si="20"/>
        <v>Dairy</v>
      </c>
      <c r="E1317" t="s">
        <v>19</v>
      </c>
      <c r="F1317" s="2">
        <v>2</v>
      </c>
      <c r="G1317" s="3">
        <v>12</v>
      </c>
      <c r="H1317" s="3">
        <f>grocery_chain_data[[#This Row],[Quantity]]*grocery_chain_data[[#This Row],[Unit Price]]</f>
        <v>24</v>
      </c>
      <c r="I1317" s="3">
        <v>0</v>
      </c>
      <c r="J1317" s="3">
        <f>grocery_chain_data[[#This Row],[Total Amount]]-grocery_chain_data[[#This Row],[Discount Amount]]</f>
        <v>24</v>
      </c>
      <c r="K1317">
        <v>421</v>
      </c>
      <c r="L1317" t="str">
        <f>IF(grocery_chain_data[[#This Row],[Final Amount]]&lt;0,"Return","Sale")</f>
        <v>Sale</v>
      </c>
      <c r="M1317">
        <f>IF(grocery_chain_data[[#This Row],[Final Amount]]&lt;0,0,grocery_chain_data[[#This Row],[Final Amount]])</f>
        <v>24</v>
      </c>
    </row>
    <row r="1318" spans="1:13" x14ac:dyDescent="0.3">
      <c r="A1318">
        <v>5054</v>
      </c>
      <c r="B1318" t="s">
        <v>10</v>
      </c>
      <c r="C1318" s="1">
        <v>45673</v>
      </c>
      <c r="D1318" s="1" t="str">
        <f t="shared" si="20"/>
        <v>Pantry</v>
      </c>
      <c r="E1318" t="s">
        <v>6</v>
      </c>
      <c r="F1318" s="2">
        <v>4</v>
      </c>
      <c r="G1318" s="3">
        <v>25</v>
      </c>
      <c r="H1318" s="3">
        <f>grocery_chain_data[[#This Row],[Quantity]]*grocery_chain_data[[#This Row],[Unit Price]]</f>
        <v>100</v>
      </c>
      <c r="I1318" s="3">
        <v>15</v>
      </c>
      <c r="J1318" s="3">
        <f>grocery_chain_data[[#This Row],[Total Amount]]-grocery_chain_data[[#This Row],[Discount Amount]]</f>
        <v>85</v>
      </c>
      <c r="K1318">
        <v>84</v>
      </c>
      <c r="L1318" t="str">
        <f>IF(grocery_chain_data[[#This Row],[Final Amount]]&lt;0,"Return","Sale")</f>
        <v>Sale</v>
      </c>
      <c r="M1318">
        <f>IF(grocery_chain_data[[#This Row],[Final Amount]]&lt;0,0,grocery_chain_data[[#This Row],[Final Amount]])</f>
        <v>85</v>
      </c>
    </row>
    <row r="1319" spans="1:13" x14ac:dyDescent="0.3">
      <c r="A1319">
        <v>2341</v>
      </c>
      <c r="B1319" t="s">
        <v>8</v>
      </c>
      <c r="C1319" s="1">
        <v>45553</v>
      </c>
      <c r="D1319" s="1" t="str">
        <f t="shared" si="20"/>
        <v>Pantry</v>
      </c>
      <c r="E1319" t="s">
        <v>1</v>
      </c>
      <c r="F1319" s="2">
        <v>1</v>
      </c>
      <c r="G1319" s="3">
        <v>4</v>
      </c>
      <c r="H1319" s="3">
        <f>grocery_chain_data[[#This Row],[Quantity]]*grocery_chain_data[[#This Row],[Unit Price]]</f>
        <v>4</v>
      </c>
      <c r="I1319" s="3">
        <v>2</v>
      </c>
      <c r="J1319" s="3">
        <f>grocery_chain_data[[#This Row],[Total Amount]]-grocery_chain_data[[#This Row],[Discount Amount]]</f>
        <v>2</v>
      </c>
      <c r="K1319">
        <v>185</v>
      </c>
      <c r="L1319" t="str">
        <f>IF(grocery_chain_data[[#This Row],[Final Amount]]&lt;0,"Return","Sale")</f>
        <v>Sale</v>
      </c>
      <c r="M1319">
        <f>IF(grocery_chain_data[[#This Row],[Final Amount]]&lt;0,0,grocery_chain_data[[#This Row],[Final Amount]])</f>
        <v>2</v>
      </c>
    </row>
    <row r="1320" spans="1:13" x14ac:dyDescent="0.3">
      <c r="A1320">
        <v>8319</v>
      </c>
      <c r="B1320" t="s">
        <v>5</v>
      </c>
      <c r="C1320" s="1">
        <v>45555</v>
      </c>
      <c r="D1320" s="1" t="str">
        <f t="shared" si="20"/>
        <v>Meat &amp; Seafood</v>
      </c>
      <c r="E1320" t="s">
        <v>26</v>
      </c>
      <c r="F1320" s="2">
        <v>1</v>
      </c>
      <c r="G1320" s="3">
        <v>7</v>
      </c>
      <c r="H1320" s="3">
        <f>grocery_chain_data[[#This Row],[Quantity]]*grocery_chain_data[[#This Row],[Unit Price]]</f>
        <v>7</v>
      </c>
      <c r="I1320" s="3">
        <v>1</v>
      </c>
      <c r="J1320" s="3">
        <f>grocery_chain_data[[#This Row],[Total Amount]]-grocery_chain_data[[#This Row],[Discount Amount]]</f>
        <v>6</v>
      </c>
      <c r="K1320">
        <v>5</v>
      </c>
      <c r="L1320" t="str">
        <f>IF(grocery_chain_data[[#This Row],[Final Amount]]&lt;0,"Return","Sale")</f>
        <v>Sale</v>
      </c>
      <c r="M1320">
        <f>IF(grocery_chain_data[[#This Row],[Final Amount]]&lt;0,0,grocery_chain_data[[#This Row],[Final Amount]])</f>
        <v>6</v>
      </c>
    </row>
    <row r="1321" spans="1:13" x14ac:dyDescent="0.3">
      <c r="A1321">
        <v>6927</v>
      </c>
      <c r="B1321" t="s">
        <v>2</v>
      </c>
      <c r="C1321" s="1">
        <v>45205</v>
      </c>
      <c r="D1321" s="1" t="str">
        <f t="shared" si="20"/>
        <v>Dairy</v>
      </c>
      <c r="E1321" t="s">
        <v>19</v>
      </c>
      <c r="F1321" s="2">
        <v>2</v>
      </c>
      <c r="G1321" s="3">
        <v>9</v>
      </c>
      <c r="H1321" s="3">
        <f>grocery_chain_data[[#This Row],[Quantity]]*grocery_chain_data[[#This Row],[Unit Price]]</f>
        <v>18</v>
      </c>
      <c r="I1321" s="3">
        <v>5</v>
      </c>
      <c r="J1321" s="3">
        <f>grocery_chain_data[[#This Row],[Total Amount]]-grocery_chain_data[[#This Row],[Discount Amount]]</f>
        <v>13</v>
      </c>
      <c r="K1321">
        <v>500</v>
      </c>
      <c r="L1321" t="str">
        <f>IF(grocery_chain_data[[#This Row],[Final Amount]]&lt;0,"Return","Sale")</f>
        <v>Sale</v>
      </c>
      <c r="M1321">
        <f>IF(grocery_chain_data[[#This Row],[Final Amount]]&lt;0,0,grocery_chain_data[[#This Row],[Final Amount]])</f>
        <v>13</v>
      </c>
    </row>
    <row r="1322" spans="1:13" x14ac:dyDescent="0.3">
      <c r="A1322">
        <v>2838</v>
      </c>
      <c r="B1322" t="s">
        <v>10</v>
      </c>
      <c r="C1322" s="1">
        <v>45192</v>
      </c>
      <c r="D1322" s="1" t="str">
        <f t="shared" si="20"/>
        <v>Dairy</v>
      </c>
      <c r="E1322" t="s">
        <v>19</v>
      </c>
      <c r="F1322" s="2">
        <v>3</v>
      </c>
      <c r="G1322" s="3">
        <v>4</v>
      </c>
      <c r="H1322" s="3">
        <f>grocery_chain_data[[#This Row],[Quantity]]*grocery_chain_data[[#This Row],[Unit Price]]</f>
        <v>12</v>
      </c>
      <c r="I1322" s="3">
        <v>2</v>
      </c>
      <c r="J1322" s="3">
        <f>grocery_chain_data[[#This Row],[Total Amount]]-grocery_chain_data[[#This Row],[Discount Amount]]</f>
        <v>10</v>
      </c>
      <c r="K1322">
        <v>158</v>
      </c>
      <c r="L1322" t="str">
        <f>IF(grocery_chain_data[[#This Row],[Final Amount]]&lt;0,"Return","Sale")</f>
        <v>Sale</v>
      </c>
      <c r="M1322">
        <f>IF(grocery_chain_data[[#This Row],[Final Amount]]&lt;0,0,grocery_chain_data[[#This Row],[Final Amount]])</f>
        <v>10</v>
      </c>
    </row>
    <row r="1323" spans="1:13" x14ac:dyDescent="0.3">
      <c r="A1323">
        <v>9972</v>
      </c>
      <c r="B1323" t="s">
        <v>12</v>
      </c>
      <c r="C1323" s="1">
        <v>45846</v>
      </c>
      <c r="D1323" s="1" t="str">
        <f t="shared" si="20"/>
        <v>Produce</v>
      </c>
      <c r="E1323" t="s">
        <v>24</v>
      </c>
      <c r="F1323" s="2">
        <v>2</v>
      </c>
      <c r="G1323" s="3">
        <v>10</v>
      </c>
      <c r="H1323" s="3">
        <f>grocery_chain_data[[#This Row],[Quantity]]*grocery_chain_data[[#This Row],[Unit Price]]</f>
        <v>20</v>
      </c>
      <c r="I1323" s="3">
        <v>4</v>
      </c>
      <c r="J1323" s="3">
        <f>grocery_chain_data[[#This Row],[Total Amount]]-grocery_chain_data[[#This Row],[Discount Amount]]</f>
        <v>16</v>
      </c>
      <c r="K1323">
        <v>200</v>
      </c>
      <c r="L1323" t="str">
        <f>IF(grocery_chain_data[[#This Row],[Final Amount]]&lt;0,"Return","Sale")</f>
        <v>Sale</v>
      </c>
      <c r="M1323">
        <f>IF(grocery_chain_data[[#This Row],[Final Amount]]&lt;0,0,grocery_chain_data[[#This Row],[Final Amount]])</f>
        <v>16</v>
      </c>
    </row>
    <row r="1324" spans="1:13" x14ac:dyDescent="0.3">
      <c r="A1324">
        <v>9281</v>
      </c>
      <c r="B1324" t="s">
        <v>0</v>
      </c>
      <c r="C1324" s="1">
        <v>45302</v>
      </c>
      <c r="D1324" s="1" t="str">
        <f t="shared" si="20"/>
        <v>Dairy</v>
      </c>
      <c r="E1324" t="s">
        <v>3</v>
      </c>
      <c r="F1324" s="2">
        <v>5</v>
      </c>
      <c r="G1324" s="3">
        <v>4</v>
      </c>
      <c r="H1324" s="3">
        <f>grocery_chain_data[[#This Row],[Quantity]]*grocery_chain_data[[#This Row],[Unit Price]]</f>
        <v>20</v>
      </c>
      <c r="I1324" s="3">
        <v>3</v>
      </c>
      <c r="J1324" s="3">
        <f>grocery_chain_data[[#This Row],[Total Amount]]-grocery_chain_data[[#This Row],[Discount Amount]]</f>
        <v>17</v>
      </c>
      <c r="K1324">
        <v>413</v>
      </c>
      <c r="L1324" t="str">
        <f>IF(grocery_chain_data[[#This Row],[Final Amount]]&lt;0,"Return","Sale")</f>
        <v>Sale</v>
      </c>
      <c r="M1324">
        <f>IF(grocery_chain_data[[#This Row],[Final Amount]]&lt;0,0,grocery_chain_data[[#This Row],[Final Amount]])</f>
        <v>17</v>
      </c>
    </row>
    <row r="1325" spans="1:13" x14ac:dyDescent="0.3">
      <c r="A1325">
        <v>9792</v>
      </c>
      <c r="B1325" t="s">
        <v>8</v>
      </c>
      <c r="C1325" s="1">
        <v>45261</v>
      </c>
      <c r="D1325" s="1" t="str">
        <f t="shared" si="20"/>
        <v>Dairy</v>
      </c>
      <c r="E1325" t="s">
        <v>19</v>
      </c>
      <c r="F1325" s="2">
        <v>3</v>
      </c>
      <c r="G1325" s="3">
        <v>6</v>
      </c>
      <c r="H1325" s="3">
        <f>grocery_chain_data[[#This Row],[Quantity]]*grocery_chain_data[[#This Row],[Unit Price]]</f>
        <v>18</v>
      </c>
      <c r="I1325" s="3">
        <v>5</v>
      </c>
      <c r="J1325" s="3">
        <f>grocery_chain_data[[#This Row],[Total Amount]]-grocery_chain_data[[#This Row],[Discount Amount]]</f>
        <v>13</v>
      </c>
      <c r="K1325">
        <v>349</v>
      </c>
      <c r="L1325" t="str">
        <f>IF(grocery_chain_data[[#This Row],[Final Amount]]&lt;0,"Return","Sale")</f>
        <v>Sale</v>
      </c>
      <c r="M1325">
        <f>IF(grocery_chain_data[[#This Row],[Final Amount]]&lt;0,0,grocery_chain_data[[#This Row],[Final Amount]])</f>
        <v>13</v>
      </c>
    </row>
    <row r="1326" spans="1:13" x14ac:dyDescent="0.3">
      <c r="A1326">
        <v>3695</v>
      </c>
      <c r="B1326" t="s">
        <v>0</v>
      </c>
      <c r="C1326" s="1">
        <v>45399</v>
      </c>
      <c r="D1326" s="1" t="str">
        <f t="shared" si="20"/>
        <v>Dairy</v>
      </c>
      <c r="E1326" t="s">
        <v>23</v>
      </c>
      <c r="F1326" s="2">
        <v>2</v>
      </c>
      <c r="G1326" s="3">
        <v>23</v>
      </c>
      <c r="H1326" s="3">
        <f>grocery_chain_data[[#This Row],[Quantity]]*grocery_chain_data[[#This Row],[Unit Price]]</f>
        <v>46</v>
      </c>
      <c r="I1326" s="3">
        <v>5</v>
      </c>
      <c r="J1326" s="3">
        <f>grocery_chain_data[[#This Row],[Total Amount]]-grocery_chain_data[[#This Row],[Discount Amount]]</f>
        <v>41</v>
      </c>
      <c r="K1326">
        <v>82</v>
      </c>
      <c r="L1326" t="str">
        <f>IF(grocery_chain_data[[#This Row],[Final Amount]]&lt;0,"Return","Sale")</f>
        <v>Sale</v>
      </c>
      <c r="M1326">
        <f>IF(grocery_chain_data[[#This Row],[Final Amount]]&lt;0,0,grocery_chain_data[[#This Row],[Final Amount]])</f>
        <v>41</v>
      </c>
    </row>
    <row r="1327" spans="1:13" x14ac:dyDescent="0.3">
      <c r="A1327">
        <v>9525</v>
      </c>
      <c r="B1327" t="s">
        <v>5</v>
      </c>
      <c r="C1327" s="1">
        <v>45488</v>
      </c>
      <c r="D1327" s="1" t="str">
        <f t="shared" si="20"/>
        <v>Produce</v>
      </c>
      <c r="E1327" t="s">
        <v>17</v>
      </c>
      <c r="F1327" s="2">
        <v>3</v>
      </c>
      <c r="G1327" s="3">
        <v>19</v>
      </c>
      <c r="H1327" s="3">
        <f>grocery_chain_data[[#This Row],[Quantity]]*grocery_chain_data[[#This Row],[Unit Price]]</f>
        <v>57</v>
      </c>
      <c r="I1327" s="3">
        <v>5</v>
      </c>
      <c r="J1327" s="3">
        <f>grocery_chain_data[[#This Row],[Total Amount]]-grocery_chain_data[[#This Row],[Discount Amount]]</f>
        <v>52</v>
      </c>
      <c r="K1327">
        <v>481</v>
      </c>
      <c r="L1327" t="str">
        <f>IF(grocery_chain_data[[#This Row],[Final Amount]]&lt;0,"Return","Sale")</f>
        <v>Sale</v>
      </c>
      <c r="M1327">
        <f>IF(grocery_chain_data[[#This Row],[Final Amount]]&lt;0,0,grocery_chain_data[[#This Row],[Final Amount]])</f>
        <v>52</v>
      </c>
    </row>
    <row r="1328" spans="1:13" x14ac:dyDescent="0.3">
      <c r="A1328">
        <v>2904</v>
      </c>
      <c r="B1328" t="s">
        <v>8</v>
      </c>
      <c r="C1328" s="1">
        <v>45673</v>
      </c>
      <c r="D1328" s="1" t="str">
        <f t="shared" si="20"/>
        <v>Dairy</v>
      </c>
      <c r="E1328" t="s">
        <v>23</v>
      </c>
      <c r="F1328" s="2">
        <v>5</v>
      </c>
      <c r="G1328" s="3">
        <v>19</v>
      </c>
      <c r="H1328" s="3">
        <f>grocery_chain_data[[#This Row],[Quantity]]*grocery_chain_data[[#This Row],[Unit Price]]</f>
        <v>95</v>
      </c>
      <c r="I1328" s="3">
        <v>4</v>
      </c>
      <c r="J1328" s="3">
        <f>grocery_chain_data[[#This Row],[Total Amount]]-grocery_chain_data[[#This Row],[Discount Amount]]</f>
        <v>91</v>
      </c>
      <c r="K1328">
        <v>490</v>
      </c>
      <c r="L1328" t="str">
        <f>IF(grocery_chain_data[[#This Row],[Final Amount]]&lt;0,"Return","Sale")</f>
        <v>Sale</v>
      </c>
      <c r="M1328">
        <f>IF(grocery_chain_data[[#This Row],[Final Amount]]&lt;0,0,grocery_chain_data[[#This Row],[Final Amount]])</f>
        <v>91</v>
      </c>
    </row>
    <row r="1329" spans="1:13" x14ac:dyDescent="0.3">
      <c r="A1329">
        <v>4365</v>
      </c>
      <c r="B1329" t="s">
        <v>10</v>
      </c>
      <c r="C1329" s="1">
        <v>45701</v>
      </c>
      <c r="D1329" s="1" t="str">
        <f t="shared" si="20"/>
        <v>Produce</v>
      </c>
      <c r="E1329" t="s">
        <v>18</v>
      </c>
      <c r="F1329" s="2">
        <v>2</v>
      </c>
      <c r="G1329" s="3">
        <v>23</v>
      </c>
      <c r="H1329" s="3">
        <f>grocery_chain_data[[#This Row],[Quantity]]*grocery_chain_data[[#This Row],[Unit Price]]</f>
        <v>46</v>
      </c>
      <c r="I1329" s="3">
        <v>5</v>
      </c>
      <c r="J1329" s="3">
        <f>grocery_chain_data[[#This Row],[Total Amount]]-grocery_chain_data[[#This Row],[Discount Amount]]</f>
        <v>41</v>
      </c>
      <c r="K1329">
        <v>158</v>
      </c>
      <c r="L1329" t="str">
        <f>IF(grocery_chain_data[[#This Row],[Final Amount]]&lt;0,"Return","Sale")</f>
        <v>Sale</v>
      </c>
      <c r="M1329">
        <f>IF(grocery_chain_data[[#This Row],[Final Amount]]&lt;0,0,grocery_chain_data[[#This Row],[Final Amount]])</f>
        <v>41</v>
      </c>
    </row>
    <row r="1330" spans="1:13" x14ac:dyDescent="0.3">
      <c r="A1330">
        <v>9008</v>
      </c>
      <c r="B1330" t="s">
        <v>0</v>
      </c>
      <c r="C1330" s="1">
        <v>45215</v>
      </c>
      <c r="D1330" s="1" t="str">
        <f t="shared" si="20"/>
        <v>Pantry</v>
      </c>
      <c r="E1330" t="s">
        <v>6</v>
      </c>
      <c r="F1330" s="2">
        <v>2</v>
      </c>
      <c r="G1330" s="3">
        <v>28</v>
      </c>
      <c r="H1330" s="3">
        <f>grocery_chain_data[[#This Row],[Quantity]]*grocery_chain_data[[#This Row],[Unit Price]]</f>
        <v>56</v>
      </c>
      <c r="I1330" s="3">
        <v>8</v>
      </c>
      <c r="J1330" s="3">
        <f>grocery_chain_data[[#This Row],[Total Amount]]-grocery_chain_data[[#This Row],[Discount Amount]]</f>
        <v>48</v>
      </c>
      <c r="K1330">
        <v>82</v>
      </c>
      <c r="L1330" t="str">
        <f>IF(grocery_chain_data[[#This Row],[Final Amount]]&lt;0,"Return","Sale")</f>
        <v>Sale</v>
      </c>
      <c r="M1330">
        <f>IF(grocery_chain_data[[#This Row],[Final Amount]]&lt;0,0,grocery_chain_data[[#This Row],[Final Amount]])</f>
        <v>48</v>
      </c>
    </row>
    <row r="1331" spans="1:13" x14ac:dyDescent="0.3">
      <c r="A1331">
        <v>9361</v>
      </c>
      <c r="B1331" t="s">
        <v>16</v>
      </c>
      <c r="C1331" s="1">
        <v>45491</v>
      </c>
      <c r="D1331" s="1" t="str">
        <f t="shared" si="20"/>
        <v>Bakery</v>
      </c>
      <c r="E1331" t="s">
        <v>22</v>
      </c>
      <c r="F1331" s="2">
        <v>1</v>
      </c>
      <c r="G1331" s="3">
        <v>6</v>
      </c>
      <c r="H1331" s="3">
        <f>grocery_chain_data[[#This Row],[Quantity]]*grocery_chain_data[[#This Row],[Unit Price]]</f>
        <v>6</v>
      </c>
      <c r="I1331" s="3">
        <v>1</v>
      </c>
      <c r="J1331" s="3">
        <f>grocery_chain_data[[#This Row],[Total Amount]]-grocery_chain_data[[#This Row],[Discount Amount]]</f>
        <v>5</v>
      </c>
      <c r="K1331">
        <v>395</v>
      </c>
      <c r="L1331" t="str">
        <f>IF(grocery_chain_data[[#This Row],[Final Amount]]&lt;0,"Return","Sale")</f>
        <v>Sale</v>
      </c>
      <c r="M1331">
        <f>IF(grocery_chain_data[[#This Row],[Final Amount]]&lt;0,0,grocery_chain_data[[#This Row],[Final Amount]])</f>
        <v>5</v>
      </c>
    </row>
    <row r="1332" spans="1:13" x14ac:dyDescent="0.3">
      <c r="A1332">
        <v>1911</v>
      </c>
      <c r="B1332" t="s">
        <v>10</v>
      </c>
      <c r="C1332" s="1">
        <v>45497</v>
      </c>
      <c r="D1332" s="1" t="str">
        <f t="shared" si="20"/>
        <v>Meat &amp; Seafood</v>
      </c>
      <c r="E1332" t="s">
        <v>15</v>
      </c>
      <c r="F1332" s="2">
        <v>2</v>
      </c>
      <c r="G1332" s="3">
        <v>28</v>
      </c>
      <c r="H1332" s="3">
        <f>grocery_chain_data[[#This Row],[Quantity]]*grocery_chain_data[[#This Row],[Unit Price]]</f>
        <v>56</v>
      </c>
      <c r="I1332" s="3">
        <v>2</v>
      </c>
      <c r="J1332" s="3">
        <f>grocery_chain_data[[#This Row],[Total Amount]]-grocery_chain_data[[#This Row],[Discount Amount]]</f>
        <v>54</v>
      </c>
      <c r="K1332">
        <v>497</v>
      </c>
      <c r="L1332" t="str">
        <f>IF(grocery_chain_data[[#This Row],[Final Amount]]&lt;0,"Return","Sale")</f>
        <v>Sale</v>
      </c>
      <c r="M1332">
        <f>IF(grocery_chain_data[[#This Row],[Final Amount]]&lt;0,0,grocery_chain_data[[#This Row],[Final Amount]])</f>
        <v>54</v>
      </c>
    </row>
    <row r="1333" spans="1:13" x14ac:dyDescent="0.3">
      <c r="A1333">
        <v>3161</v>
      </c>
      <c r="B1333" t="s">
        <v>12</v>
      </c>
      <c r="C1333" s="1">
        <v>45543</v>
      </c>
      <c r="D1333" s="1" t="str">
        <f t="shared" si="20"/>
        <v>Dairy</v>
      </c>
      <c r="E1333" t="s">
        <v>3</v>
      </c>
      <c r="F1333" s="2">
        <v>5</v>
      </c>
      <c r="G1333" s="3">
        <v>28</v>
      </c>
      <c r="H1333" s="3">
        <f>grocery_chain_data[[#This Row],[Quantity]]*grocery_chain_data[[#This Row],[Unit Price]]</f>
        <v>140</v>
      </c>
      <c r="I1333" s="3">
        <v>21</v>
      </c>
      <c r="J1333" s="3">
        <f>grocery_chain_data[[#This Row],[Total Amount]]-grocery_chain_data[[#This Row],[Discount Amount]]</f>
        <v>119</v>
      </c>
      <c r="K1333">
        <v>66</v>
      </c>
      <c r="L1333" t="str">
        <f>IF(grocery_chain_data[[#This Row],[Final Amount]]&lt;0,"Return","Sale")</f>
        <v>Sale</v>
      </c>
      <c r="M1333">
        <f>IF(grocery_chain_data[[#This Row],[Final Amount]]&lt;0,0,grocery_chain_data[[#This Row],[Final Amount]])</f>
        <v>119</v>
      </c>
    </row>
    <row r="1334" spans="1:13" x14ac:dyDescent="0.3">
      <c r="A1334">
        <v>7806</v>
      </c>
      <c r="B1334" t="s">
        <v>2</v>
      </c>
      <c r="C1334" s="1">
        <v>45499</v>
      </c>
      <c r="D1334" s="1" t="str">
        <f t="shared" si="20"/>
        <v>Pantry</v>
      </c>
      <c r="E1334" t="s">
        <v>6</v>
      </c>
      <c r="F1334" s="2">
        <v>3</v>
      </c>
      <c r="G1334" s="3">
        <v>3</v>
      </c>
      <c r="H1334" s="3">
        <f>grocery_chain_data[[#This Row],[Quantity]]*grocery_chain_data[[#This Row],[Unit Price]]</f>
        <v>9</v>
      </c>
      <c r="I1334" s="3">
        <v>2</v>
      </c>
      <c r="J1334" s="3">
        <f>grocery_chain_data[[#This Row],[Total Amount]]-grocery_chain_data[[#This Row],[Discount Amount]]</f>
        <v>7</v>
      </c>
      <c r="K1334">
        <v>211</v>
      </c>
      <c r="L1334" t="str">
        <f>IF(grocery_chain_data[[#This Row],[Final Amount]]&lt;0,"Return","Sale")</f>
        <v>Sale</v>
      </c>
      <c r="M1334">
        <f>IF(grocery_chain_data[[#This Row],[Final Amount]]&lt;0,0,grocery_chain_data[[#This Row],[Final Amount]])</f>
        <v>7</v>
      </c>
    </row>
    <row r="1335" spans="1:13" x14ac:dyDescent="0.3">
      <c r="A1335">
        <v>1945</v>
      </c>
      <c r="B1335" t="s">
        <v>13</v>
      </c>
      <c r="C1335" s="1">
        <v>45579</v>
      </c>
      <c r="D1335" s="1" t="str">
        <f t="shared" si="20"/>
        <v>Dairy</v>
      </c>
      <c r="E1335" t="s">
        <v>19</v>
      </c>
      <c r="F1335" s="2">
        <v>2</v>
      </c>
      <c r="G1335" s="3">
        <v>21</v>
      </c>
      <c r="H1335" s="3">
        <f>grocery_chain_data[[#This Row],[Quantity]]*grocery_chain_data[[#This Row],[Unit Price]]</f>
        <v>42</v>
      </c>
      <c r="I1335" s="3">
        <v>9</v>
      </c>
      <c r="J1335" s="3">
        <f>grocery_chain_data[[#This Row],[Total Amount]]-grocery_chain_data[[#This Row],[Discount Amount]]</f>
        <v>33</v>
      </c>
      <c r="K1335">
        <v>287</v>
      </c>
      <c r="L1335" t="str">
        <f>IF(grocery_chain_data[[#This Row],[Final Amount]]&lt;0,"Return","Sale")</f>
        <v>Sale</v>
      </c>
      <c r="M1335">
        <f>IF(grocery_chain_data[[#This Row],[Final Amount]]&lt;0,0,grocery_chain_data[[#This Row],[Final Amount]])</f>
        <v>33</v>
      </c>
    </row>
    <row r="1336" spans="1:13" x14ac:dyDescent="0.3">
      <c r="A1336">
        <v>8575</v>
      </c>
      <c r="B1336" t="s">
        <v>0</v>
      </c>
      <c r="C1336" s="1">
        <v>45667</v>
      </c>
      <c r="D1336" s="1" t="str">
        <f t="shared" si="20"/>
        <v>Produce</v>
      </c>
      <c r="E1336" t="s">
        <v>14</v>
      </c>
      <c r="F1336" s="2">
        <v>2</v>
      </c>
      <c r="G1336" s="3">
        <v>18</v>
      </c>
      <c r="H1336" s="3">
        <f>grocery_chain_data[[#This Row],[Quantity]]*grocery_chain_data[[#This Row],[Unit Price]]</f>
        <v>36</v>
      </c>
      <c r="I1336" s="3">
        <v>7</v>
      </c>
      <c r="J1336" s="3">
        <f>grocery_chain_data[[#This Row],[Total Amount]]-grocery_chain_data[[#This Row],[Discount Amount]]</f>
        <v>29</v>
      </c>
      <c r="K1336">
        <v>437</v>
      </c>
      <c r="L1336" t="str">
        <f>IF(grocery_chain_data[[#This Row],[Final Amount]]&lt;0,"Return","Sale")</f>
        <v>Sale</v>
      </c>
      <c r="M1336">
        <f>IF(grocery_chain_data[[#This Row],[Final Amount]]&lt;0,0,grocery_chain_data[[#This Row],[Final Amount]])</f>
        <v>29</v>
      </c>
    </row>
    <row r="1337" spans="1:13" x14ac:dyDescent="0.3">
      <c r="A1337">
        <v>6049</v>
      </c>
      <c r="B1337" t="s">
        <v>8</v>
      </c>
      <c r="C1337" s="1">
        <v>45706</v>
      </c>
      <c r="D1337" s="1" t="str">
        <f t="shared" si="20"/>
        <v>Bakery</v>
      </c>
      <c r="E1337" t="s">
        <v>22</v>
      </c>
      <c r="F1337" s="2">
        <v>3</v>
      </c>
      <c r="G1337" s="3">
        <v>14</v>
      </c>
      <c r="H1337" s="3">
        <f>grocery_chain_data[[#This Row],[Quantity]]*grocery_chain_data[[#This Row],[Unit Price]]</f>
        <v>42</v>
      </c>
      <c r="I1337" s="3">
        <v>1</v>
      </c>
      <c r="J1337" s="3">
        <f>grocery_chain_data[[#This Row],[Total Amount]]-grocery_chain_data[[#This Row],[Discount Amount]]</f>
        <v>41</v>
      </c>
      <c r="K1337">
        <v>328</v>
      </c>
      <c r="L1337" t="str">
        <f>IF(grocery_chain_data[[#This Row],[Final Amount]]&lt;0,"Return","Sale")</f>
        <v>Sale</v>
      </c>
      <c r="M1337">
        <f>IF(grocery_chain_data[[#This Row],[Final Amount]]&lt;0,0,grocery_chain_data[[#This Row],[Final Amount]])</f>
        <v>41</v>
      </c>
    </row>
    <row r="1338" spans="1:13" x14ac:dyDescent="0.3">
      <c r="A1338">
        <v>1356</v>
      </c>
      <c r="B1338" t="s">
        <v>0</v>
      </c>
      <c r="C1338" s="1">
        <v>45452</v>
      </c>
      <c r="D1338" s="1" t="str">
        <f t="shared" si="20"/>
        <v>Dairy</v>
      </c>
      <c r="E1338" t="s">
        <v>3</v>
      </c>
      <c r="F1338" s="2">
        <v>2</v>
      </c>
      <c r="G1338" s="3">
        <v>13</v>
      </c>
      <c r="H1338" s="3">
        <f>grocery_chain_data[[#This Row],[Quantity]]*grocery_chain_data[[#This Row],[Unit Price]]</f>
        <v>26</v>
      </c>
      <c r="I1338" s="3">
        <v>4</v>
      </c>
      <c r="J1338" s="3">
        <f>grocery_chain_data[[#This Row],[Total Amount]]-grocery_chain_data[[#This Row],[Discount Amount]]</f>
        <v>22</v>
      </c>
      <c r="K1338">
        <v>33</v>
      </c>
      <c r="L1338" t="str">
        <f>IF(grocery_chain_data[[#This Row],[Final Amount]]&lt;0,"Return","Sale")</f>
        <v>Sale</v>
      </c>
      <c r="M1338">
        <f>IF(grocery_chain_data[[#This Row],[Final Amount]]&lt;0,0,grocery_chain_data[[#This Row],[Final Amount]])</f>
        <v>22</v>
      </c>
    </row>
    <row r="1339" spans="1:13" x14ac:dyDescent="0.3">
      <c r="A1339">
        <v>5169</v>
      </c>
      <c r="B1339" t="s">
        <v>10</v>
      </c>
      <c r="C1339" s="1">
        <v>45779</v>
      </c>
      <c r="D1339" s="1" t="str">
        <f t="shared" si="20"/>
        <v>Produce</v>
      </c>
      <c r="E1339" t="s">
        <v>25</v>
      </c>
      <c r="F1339" s="2">
        <v>1</v>
      </c>
      <c r="G1339" s="3">
        <v>9</v>
      </c>
      <c r="H1339" s="3">
        <f>grocery_chain_data[[#This Row],[Quantity]]*grocery_chain_data[[#This Row],[Unit Price]]</f>
        <v>9</v>
      </c>
      <c r="I1339" s="3">
        <v>1</v>
      </c>
      <c r="J1339" s="3">
        <f>grocery_chain_data[[#This Row],[Total Amount]]-grocery_chain_data[[#This Row],[Discount Amount]]</f>
        <v>8</v>
      </c>
      <c r="K1339">
        <v>19</v>
      </c>
      <c r="L1339" t="str">
        <f>IF(grocery_chain_data[[#This Row],[Final Amount]]&lt;0,"Return","Sale")</f>
        <v>Sale</v>
      </c>
      <c r="M1339">
        <f>IF(grocery_chain_data[[#This Row],[Final Amount]]&lt;0,0,grocery_chain_data[[#This Row],[Final Amount]])</f>
        <v>8</v>
      </c>
    </row>
    <row r="1340" spans="1:13" x14ac:dyDescent="0.3">
      <c r="A1340">
        <v>1049</v>
      </c>
      <c r="B1340" t="s">
        <v>5</v>
      </c>
      <c r="C1340" s="1">
        <v>45724</v>
      </c>
      <c r="D1340" s="1" t="str">
        <f t="shared" si="20"/>
        <v>Dairy</v>
      </c>
      <c r="E1340" t="s">
        <v>23</v>
      </c>
      <c r="F1340" s="2">
        <v>3</v>
      </c>
      <c r="G1340" s="3">
        <v>17</v>
      </c>
      <c r="H1340" s="3">
        <f>grocery_chain_data[[#This Row],[Quantity]]*grocery_chain_data[[#This Row],[Unit Price]]</f>
        <v>51</v>
      </c>
      <c r="I1340" s="3">
        <v>5</v>
      </c>
      <c r="J1340" s="3">
        <f>grocery_chain_data[[#This Row],[Total Amount]]-grocery_chain_data[[#This Row],[Discount Amount]]</f>
        <v>46</v>
      </c>
      <c r="K1340">
        <v>307</v>
      </c>
      <c r="L1340" t="str">
        <f>IF(grocery_chain_data[[#This Row],[Final Amount]]&lt;0,"Return","Sale")</f>
        <v>Sale</v>
      </c>
      <c r="M1340">
        <f>IF(grocery_chain_data[[#This Row],[Final Amount]]&lt;0,0,grocery_chain_data[[#This Row],[Final Amount]])</f>
        <v>46</v>
      </c>
    </row>
    <row r="1341" spans="1:13" x14ac:dyDescent="0.3">
      <c r="A1341">
        <v>4570</v>
      </c>
      <c r="B1341" t="s">
        <v>16</v>
      </c>
      <c r="C1341" s="1">
        <v>45594</v>
      </c>
      <c r="D1341" s="1" t="str">
        <f t="shared" si="20"/>
        <v>Produce</v>
      </c>
      <c r="E1341" t="s">
        <v>25</v>
      </c>
      <c r="F1341" s="2">
        <v>2</v>
      </c>
      <c r="G1341" s="3">
        <v>3</v>
      </c>
      <c r="H1341" s="3">
        <f>grocery_chain_data[[#This Row],[Quantity]]*grocery_chain_data[[#This Row],[Unit Price]]</f>
        <v>6</v>
      </c>
      <c r="I1341" s="3">
        <v>0</v>
      </c>
      <c r="J1341" s="3">
        <f>grocery_chain_data[[#This Row],[Total Amount]]-grocery_chain_data[[#This Row],[Discount Amount]]</f>
        <v>6</v>
      </c>
      <c r="K1341">
        <v>444</v>
      </c>
      <c r="L1341" t="str">
        <f>IF(grocery_chain_data[[#This Row],[Final Amount]]&lt;0,"Return","Sale")</f>
        <v>Sale</v>
      </c>
      <c r="M1341">
        <f>IF(grocery_chain_data[[#This Row],[Final Amount]]&lt;0,0,grocery_chain_data[[#This Row],[Final Amount]])</f>
        <v>6</v>
      </c>
    </row>
    <row r="1342" spans="1:13" x14ac:dyDescent="0.3">
      <c r="A1342">
        <v>2196</v>
      </c>
      <c r="B1342" t="s">
        <v>8</v>
      </c>
      <c r="C1342" s="1">
        <v>45180</v>
      </c>
      <c r="D1342" s="1" t="str">
        <f t="shared" si="20"/>
        <v>Pantry</v>
      </c>
      <c r="E1342" t="s">
        <v>1</v>
      </c>
      <c r="F1342" s="2">
        <v>2</v>
      </c>
      <c r="G1342" s="3">
        <v>3</v>
      </c>
      <c r="H1342" s="3">
        <f>grocery_chain_data[[#This Row],[Quantity]]*grocery_chain_data[[#This Row],[Unit Price]]</f>
        <v>6</v>
      </c>
      <c r="I1342" s="3">
        <v>1</v>
      </c>
      <c r="J1342" s="3">
        <f>grocery_chain_data[[#This Row],[Total Amount]]-grocery_chain_data[[#This Row],[Discount Amount]]</f>
        <v>5</v>
      </c>
      <c r="K1342">
        <v>35</v>
      </c>
      <c r="L1342" t="str">
        <f>IF(grocery_chain_data[[#This Row],[Final Amount]]&lt;0,"Return","Sale")</f>
        <v>Sale</v>
      </c>
      <c r="M1342">
        <f>IF(grocery_chain_data[[#This Row],[Final Amount]]&lt;0,0,grocery_chain_data[[#This Row],[Final Amount]])</f>
        <v>5</v>
      </c>
    </row>
    <row r="1343" spans="1:13" x14ac:dyDescent="0.3">
      <c r="A1343">
        <v>7941</v>
      </c>
      <c r="B1343" t="s">
        <v>0</v>
      </c>
      <c r="C1343" s="1">
        <v>45412</v>
      </c>
      <c r="D1343" s="1" t="str">
        <f t="shared" si="20"/>
        <v>Meat &amp; Seafood</v>
      </c>
      <c r="E1343" t="s">
        <v>15</v>
      </c>
      <c r="F1343" s="2">
        <v>4</v>
      </c>
      <c r="G1343" s="3">
        <v>16</v>
      </c>
      <c r="H1343" s="3">
        <f>grocery_chain_data[[#This Row],[Quantity]]*grocery_chain_data[[#This Row],[Unit Price]]</f>
        <v>64</v>
      </c>
      <c r="I1343" s="3">
        <v>13</v>
      </c>
      <c r="J1343" s="3">
        <f>grocery_chain_data[[#This Row],[Total Amount]]-grocery_chain_data[[#This Row],[Discount Amount]]</f>
        <v>51</v>
      </c>
      <c r="K1343">
        <v>342</v>
      </c>
      <c r="L1343" t="str">
        <f>IF(grocery_chain_data[[#This Row],[Final Amount]]&lt;0,"Return","Sale")</f>
        <v>Sale</v>
      </c>
      <c r="M1343">
        <f>IF(grocery_chain_data[[#This Row],[Final Amount]]&lt;0,0,grocery_chain_data[[#This Row],[Final Amount]])</f>
        <v>51</v>
      </c>
    </row>
    <row r="1344" spans="1:13" x14ac:dyDescent="0.3">
      <c r="A1344">
        <v>2044</v>
      </c>
      <c r="B1344" t="s">
        <v>13</v>
      </c>
      <c r="C1344" s="1">
        <v>45565</v>
      </c>
      <c r="D1344" s="1" t="str">
        <f t="shared" si="20"/>
        <v>Dairy</v>
      </c>
      <c r="E1344" t="s">
        <v>3</v>
      </c>
      <c r="F1344" s="2">
        <v>3</v>
      </c>
      <c r="G1344" s="3">
        <v>29</v>
      </c>
      <c r="H1344" s="3">
        <f>grocery_chain_data[[#This Row],[Quantity]]*grocery_chain_data[[#This Row],[Unit Price]]</f>
        <v>87</v>
      </c>
      <c r="I1344" s="3">
        <v>17</v>
      </c>
      <c r="J1344" s="3">
        <f>grocery_chain_data[[#This Row],[Total Amount]]-grocery_chain_data[[#This Row],[Discount Amount]]</f>
        <v>70</v>
      </c>
      <c r="K1344">
        <v>152</v>
      </c>
      <c r="L1344" t="str">
        <f>IF(grocery_chain_data[[#This Row],[Final Amount]]&lt;0,"Return","Sale")</f>
        <v>Sale</v>
      </c>
      <c r="M1344">
        <f>IF(grocery_chain_data[[#This Row],[Final Amount]]&lt;0,0,grocery_chain_data[[#This Row],[Final Amount]])</f>
        <v>70</v>
      </c>
    </row>
    <row r="1345" spans="1:13" x14ac:dyDescent="0.3">
      <c r="A1345">
        <v>1987</v>
      </c>
      <c r="B1345" t="s">
        <v>16</v>
      </c>
      <c r="C1345" s="1">
        <v>45870</v>
      </c>
      <c r="D1345" s="1" t="str">
        <f t="shared" si="20"/>
        <v>Produce</v>
      </c>
      <c r="E1345" t="s">
        <v>25</v>
      </c>
      <c r="F1345" s="2">
        <v>4</v>
      </c>
      <c r="G1345" s="3">
        <v>17</v>
      </c>
      <c r="H1345" s="3">
        <f>grocery_chain_data[[#This Row],[Quantity]]*grocery_chain_data[[#This Row],[Unit Price]]</f>
        <v>68</v>
      </c>
      <c r="I1345" s="3">
        <v>0</v>
      </c>
      <c r="J1345" s="3">
        <f>grocery_chain_data[[#This Row],[Total Amount]]-grocery_chain_data[[#This Row],[Discount Amount]]</f>
        <v>68</v>
      </c>
      <c r="K1345">
        <v>401</v>
      </c>
      <c r="L1345" t="str">
        <f>IF(grocery_chain_data[[#This Row],[Final Amount]]&lt;0,"Return","Sale")</f>
        <v>Sale</v>
      </c>
      <c r="M1345">
        <f>IF(grocery_chain_data[[#This Row],[Final Amount]]&lt;0,0,grocery_chain_data[[#This Row],[Final Amount]])</f>
        <v>68</v>
      </c>
    </row>
    <row r="1346" spans="1:13" x14ac:dyDescent="0.3">
      <c r="A1346">
        <v>2130</v>
      </c>
      <c r="B1346" t="s">
        <v>8</v>
      </c>
      <c r="C1346" s="1">
        <v>45870</v>
      </c>
      <c r="D1346" s="1" t="str">
        <f t="shared" ref="D1346:D1409" si="21">IF(E1346="Pasta","Pantry",
IF(E1346="Cheese","Dairy",
IF(E1346="Onions","Produce",
IF(E1346="Cereal","Pantry",
IF(E1346="Orange Juice","Beverages",
IF(E1346="Ground Beef","Meat &amp; Seafood",
IF(E1346="Apples","Produce",
IF(E1346="Milk","Dairy",
IF(E1346="Bananas","Produce",
IF(E1346="Bread","Bakery",
IF(E1346="Carrots","Produce",
IF(E1346="Chicken Breast","Meat &amp; Seafood",
IF(E1346="Eggs","Dairy",
IF(E1346="Potatoes","Produce",
IF(E1346="Rice","Produce",
IF(E1346="Salmon","Meat &amp; Seafood",
IF(E1346="Tomatoes","Produce",
IF(E1346="Yogurt","Dairy",
"Others"))))))))))))))))))</f>
        <v>Produce</v>
      </c>
      <c r="E1346" t="s">
        <v>14</v>
      </c>
      <c r="F1346" s="2">
        <v>1</v>
      </c>
      <c r="G1346" s="3">
        <v>17</v>
      </c>
      <c r="H1346" s="3">
        <f>grocery_chain_data[[#This Row],[Quantity]]*grocery_chain_data[[#This Row],[Unit Price]]</f>
        <v>17</v>
      </c>
      <c r="I1346" s="3">
        <v>4</v>
      </c>
      <c r="J1346" s="3">
        <f>grocery_chain_data[[#This Row],[Total Amount]]-grocery_chain_data[[#This Row],[Discount Amount]]</f>
        <v>13</v>
      </c>
      <c r="K1346">
        <v>457</v>
      </c>
      <c r="L1346" t="str">
        <f>IF(grocery_chain_data[[#This Row],[Final Amount]]&lt;0,"Return","Sale")</f>
        <v>Sale</v>
      </c>
      <c r="M1346">
        <f>IF(grocery_chain_data[[#This Row],[Final Amount]]&lt;0,0,grocery_chain_data[[#This Row],[Final Amount]])</f>
        <v>13</v>
      </c>
    </row>
    <row r="1347" spans="1:13" x14ac:dyDescent="0.3">
      <c r="A1347">
        <v>8734</v>
      </c>
      <c r="B1347" t="s">
        <v>5</v>
      </c>
      <c r="C1347" s="1">
        <v>45169</v>
      </c>
      <c r="D1347" s="1" t="str">
        <f t="shared" si="21"/>
        <v>Pantry</v>
      </c>
      <c r="E1347" t="s">
        <v>6</v>
      </c>
      <c r="F1347" s="2">
        <v>1</v>
      </c>
      <c r="G1347" s="3">
        <v>5</v>
      </c>
      <c r="H1347" s="3">
        <f>grocery_chain_data[[#This Row],[Quantity]]*grocery_chain_data[[#This Row],[Unit Price]]</f>
        <v>5</v>
      </c>
      <c r="I1347" s="3">
        <v>1</v>
      </c>
      <c r="J1347" s="3">
        <f>grocery_chain_data[[#This Row],[Total Amount]]-grocery_chain_data[[#This Row],[Discount Amount]]</f>
        <v>4</v>
      </c>
      <c r="K1347">
        <v>234</v>
      </c>
      <c r="L1347" t="str">
        <f>IF(grocery_chain_data[[#This Row],[Final Amount]]&lt;0,"Return","Sale")</f>
        <v>Sale</v>
      </c>
      <c r="M1347">
        <f>IF(grocery_chain_data[[#This Row],[Final Amount]]&lt;0,0,grocery_chain_data[[#This Row],[Final Amount]])</f>
        <v>4</v>
      </c>
    </row>
    <row r="1348" spans="1:13" x14ac:dyDescent="0.3">
      <c r="A1348">
        <v>5703</v>
      </c>
      <c r="B1348" t="s">
        <v>16</v>
      </c>
      <c r="C1348" s="1">
        <v>45462</v>
      </c>
      <c r="D1348" s="1" t="str">
        <f t="shared" si="21"/>
        <v>Dairy</v>
      </c>
      <c r="E1348" t="s">
        <v>3</v>
      </c>
      <c r="F1348" s="2">
        <v>3</v>
      </c>
      <c r="G1348" s="3">
        <v>16</v>
      </c>
      <c r="H1348" s="3">
        <f>grocery_chain_data[[#This Row],[Quantity]]*grocery_chain_data[[#This Row],[Unit Price]]</f>
        <v>48</v>
      </c>
      <c r="I1348" s="3">
        <v>10</v>
      </c>
      <c r="J1348" s="3">
        <f>grocery_chain_data[[#This Row],[Total Amount]]-grocery_chain_data[[#This Row],[Discount Amount]]</f>
        <v>38</v>
      </c>
      <c r="K1348">
        <v>1</v>
      </c>
      <c r="L1348" t="str">
        <f>IF(grocery_chain_data[[#This Row],[Final Amount]]&lt;0,"Return","Sale")</f>
        <v>Sale</v>
      </c>
      <c r="M1348">
        <f>IF(grocery_chain_data[[#This Row],[Final Amount]]&lt;0,0,grocery_chain_data[[#This Row],[Final Amount]])</f>
        <v>38</v>
      </c>
    </row>
    <row r="1349" spans="1:13" x14ac:dyDescent="0.3">
      <c r="A1349">
        <v>3948</v>
      </c>
      <c r="B1349" t="s">
        <v>10</v>
      </c>
      <c r="C1349" s="1">
        <v>45742</v>
      </c>
      <c r="D1349" s="1" t="str">
        <f t="shared" si="21"/>
        <v>Meat &amp; Seafood</v>
      </c>
      <c r="E1349" t="s">
        <v>26</v>
      </c>
      <c r="F1349" s="2">
        <v>1</v>
      </c>
      <c r="G1349" s="3">
        <v>7</v>
      </c>
      <c r="H1349" s="3">
        <f>grocery_chain_data[[#This Row],[Quantity]]*grocery_chain_data[[#This Row],[Unit Price]]</f>
        <v>7</v>
      </c>
      <c r="I1349" s="3">
        <v>0</v>
      </c>
      <c r="J1349" s="3">
        <f>grocery_chain_data[[#This Row],[Total Amount]]-grocery_chain_data[[#This Row],[Discount Amount]]</f>
        <v>7</v>
      </c>
      <c r="K1349">
        <v>96</v>
      </c>
      <c r="L1349" t="str">
        <f>IF(grocery_chain_data[[#This Row],[Final Amount]]&lt;0,"Return","Sale")</f>
        <v>Sale</v>
      </c>
      <c r="M1349">
        <f>IF(grocery_chain_data[[#This Row],[Final Amount]]&lt;0,0,grocery_chain_data[[#This Row],[Final Amount]])</f>
        <v>7</v>
      </c>
    </row>
    <row r="1350" spans="1:13" x14ac:dyDescent="0.3">
      <c r="A1350">
        <v>3218</v>
      </c>
      <c r="B1350" t="s">
        <v>2</v>
      </c>
      <c r="C1350" s="1">
        <v>45739</v>
      </c>
      <c r="D1350" s="1" t="str">
        <f t="shared" si="21"/>
        <v>Produce</v>
      </c>
      <c r="E1350" t="s">
        <v>14</v>
      </c>
      <c r="F1350" s="2">
        <v>2</v>
      </c>
      <c r="G1350" s="3">
        <v>11</v>
      </c>
      <c r="H1350" s="3">
        <f>grocery_chain_data[[#This Row],[Quantity]]*grocery_chain_data[[#This Row],[Unit Price]]</f>
        <v>22</v>
      </c>
      <c r="I1350" s="3">
        <v>0</v>
      </c>
      <c r="J1350" s="3">
        <f>grocery_chain_data[[#This Row],[Total Amount]]-grocery_chain_data[[#This Row],[Discount Amount]]</f>
        <v>22</v>
      </c>
      <c r="K1350">
        <v>487</v>
      </c>
      <c r="L1350" t="str">
        <f>IF(grocery_chain_data[[#This Row],[Final Amount]]&lt;0,"Return","Sale")</f>
        <v>Sale</v>
      </c>
      <c r="M1350">
        <f>IF(grocery_chain_data[[#This Row],[Final Amount]]&lt;0,0,grocery_chain_data[[#This Row],[Final Amount]])</f>
        <v>22</v>
      </c>
    </row>
    <row r="1351" spans="1:13" x14ac:dyDescent="0.3">
      <c r="A1351">
        <v>7887</v>
      </c>
      <c r="B1351" t="s">
        <v>27</v>
      </c>
      <c r="C1351" s="1">
        <v>45435</v>
      </c>
      <c r="D1351" s="1" t="str">
        <f t="shared" si="21"/>
        <v>Beverages</v>
      </c>
      <c r="E1351" t="s">
        <v>7</v>
      </c>
      <c r="F1351" s="2">
        <v>1</v>
      </c>
      <c r="G1351" s="3">
        <v>10</v>
      </c>
      <c r="H1351" s="3">
        <f>grocery_chain_data[[#This Row],[Quantity]]*grocery_chain_data[[#This Row],[Unit Price]]</f>
        <v>10</v>
      </c>
      <c r="I1351" s="3">
        <v>0</v>
      </c>
      <c r="J1351" s="3">
        <f>grocery_chain_data[[#This Row],[Total Amount]]-grocery_chain_data[[#This Row],[Discount Amount]]</f>
        <v>10</v>
      </c>
      <c r="K1351">
        <v>157</v>
      </c>
      <c r="L1351" t="str">
        <f>IF(grocery_chain_data[[#This Row],[Final Amount]]&lt;0,"Return","Sale")</f>
        <v>Sale</v>
      </c>
      <c r="M1351">
        <f>IF(grocery_chain_data[[#This Row],[Final Amount]]&lt;0,0,grocery_chain_data[[#This Row],[Final Amount]])</f>
        <v>10</v>
      </c>
    </row>
    <row r="1352" spans="1:13" x14ac:dyDescent="0.3">
      <c r="A1352">
        <v>7266</v>
      </c>
      <c r="B1352" t="s">
        <v>10</v>
      </c>
      <c r="C1352" s="1">
        <v>45493</v>
      </c>
      <c r="D1352" s="1" t="str">
        <f t="shared" si="21"/>
        <v>Meat &amp; Seafood</v>
      </c>
      <c r="E1352" t="s">
        <v>15</v>
      </c>
      <c r="F1352" s="2">
        <v>4</v>
      </c>
      <c r="G1352" s="3">
        <v>13</v>
      </c>
      <c r="H1352" s="3">
        <f>grocery_chain_data[[#This Row],[Quantity]]*grocery_chain_data[[#This Row],[Unit Price]]</f>
        <v>52</v>
      </c>
      <c r="I1352" s="3">
        <v>5</v>
      </c>
      <c r="J1352" s="3">
        <f>grocery_chain_data[[#This Row],[Total Amount]]-grocery_chain_data[[#This Row],[Discount Amount]]</f>
        <v>47</v>
      </c>
      <c r="K1352">
        <v>180</v>
      </c>
      <c r="L1352" t="str">
        <f>IF(grocery_chain_data[[#This Row],[Final Amount]]&lt;0,"Return","Sale")</f>
        <v>Sale</v>
      </c>
      <c r="M1352">
        <f>IF(grocery_chain_data[[#This Row],[Final Amount]]&lt;0,0,grocery_chain_data[[#This Row],[Final Amount]])</f>
        <v>47</v>
      </c>
    </row>
    <row r="1353" spans="1:13" x14ac:dyDescent="0.3">
      <c r="A1353">
        <v>7184</v>
      </c>
      <c r="B1353" t="s">
        <v>16</v>
      </c>
      <c r="C1353" s="1">
        <v>45436</v>
      </c>
      <c r="D1353" s="1" t="str">
        <f t="shared" si="21"/>
        <v>Produce</v>
      </c>
      <c r="E1353" t="s">
        <v>11</v>
      </c>
      <c r="F1353" s="2">
        <v>4</v>
      </c>
      <c r="G1353" s="3">
        <v>13</v>
      </c>
      <c r="H1353" s="3">
        <f>grocery_chain_data[[#This Row],[Quantity]]*grocery_chain_data[[#This Row],[Unit Price]]</f>
        <v>52</v>
      </c>
      <c r="I1353" s="3">
        <v>3</v>
      </c>
      <c r="J1353" s="3">
        <f>grocery_chain_data[[#This Row],[Total Amount]]-grocery_chain_data[[#This Row],[Discount Amount]]</f>
        <v>49</v>
      </c>
      <c r="K1353">
        <v>90</v>
      </c>
      <c r="L1353" t="str">
        <f>IF(grocery_chain_data[[#This Row],[Final Amount]]&lt;0,"Return","Sale")</f>
        <v>Sale</v>
      </c>
      <c r="M1353">
        <f>IF(grocery_chain_data[[#This Row],[Final Amount]]&lt;0,0,grocery_chain_data[[#This Row],[Final Amount]])</f>
        <v>49</v>
      </c>
    </row>
    <row r="1354" spans="1:13" x14ac:dyDescent="0.3">
      <c r="A1354">
        <v>2314</v>
      </c>
      <c r="B1354" t="s">
        <v>12</v>
      </c>
      <c r="C1354" s="1">
        <v>45675</v>
      </c>
      <c r="D1354" s="1" t="str">
        <f t="shared" si="21"/>
        <v>Dairy</v>
      </c>
      <c r="E1354" t="s">
        <v>3</v>
      </c>
      <c r="F1354" s="2">
        <v>3</v>
      </c>
      <c r="G1354" s="3">
        <v>21</v>
      </c>
      <c r="H1354" s="3">
        <f>grocery_chain_data[[#This Row],[Quantity]]*grocery_chain_data[[#This Row],[Unit Price]]</f>
        <v>63</v>
      </c>
      <c r="I1354" s="3">
        <v>4</v>
      </c>
      <c r="J1354" s="3">
        <f>grocery_chain_data[[#This Row],[Total Amount]]-grocery_chain_data[[#This Row],[Discount Amount]]</f>
        <v>59</v>
      </c>
      <c r="K1354">
        <v>480</v>
      </c>
      <c r="L1354" t="str">
        <f>IF(grocery_chain_data[[#This Row],[Final Amount]]&lt;0,"Return","Sale")</f>
        <v>Sale</v>
      </c>
      <c r="M1354">
        <f>IF(grocery_chain_data[[#This Row],[Final Amount]]&lt;0,0,grocery_chain_data[[#This Row],[Final Amount]])</f>
        <v>59</v>
      </c>
    </row>
    <row r="1355" spans="1:13" x14ac:dyDescent="0.3">
      <c r="A1355">
        <v>9835</v>
      </c>
      <c r="B1355" t="s">
        <v>0</v>
      </c>
      <c r="C1355" s="1">
        <v>45248</v>
      </c>
      <c r="D1355" s="1" t="str">
        <f t="shared" si="21"/>
        <v>Produce</v>
      </c>
      <c r="E1355" t="s">
        <v>18</v>
      </c>
      <c r="F1355" s="2">
        <v>5</v>
      </c>
      <c r="G1355" s="3">
        <v>28</v>
      </c>
      <c r="H1355" s="3">
        <f>grocery_chain_data[[#This Row],[Quantity]]*grocery_chain_data[[#This Row],[Unit Price]]</f>
        <v>140</v>
      </c>
      <c r="I1355" s="3">
        <v>0</v>
      </c>
      <c r="J1355" s="3">
        <f>grocery_chain_data[[#This Row],[Total Amount]]-grocery_chain_data[[#This Row],[Discount Amount]]</f>
        <v>140</v>
      </c>
      <c r="K1355">
        <v>53</v>
      </c>
      <c r="L1355" t="str">
        <f>IF(grocery_chain_data[[#This Row],[Final Amount]]&lt;0,"Return","Sale")</f>
        <v>Sale</v>
      </c>
      <c r="M1355">
        <f>IF(grocery_chain_data[[#This Row],[Final Amount]]&lt;0,0,grocery_chain_data[[#This Row],[Final Amount]])</f>
        <v>140</v>
      </c>
    </row>
    <row r="1356" spans="1:13" x14ac:dyDescent="0.3">
      <c r="A1356">
        <v>6697</v>
      </c>
      <c r="B1356" t="s">
        <v>2</v>
      </c>
      <c r="C1356" s="1">
        <v>45237</v>
      </c>
      <c r="D1356" s="1" t="str">
        <f t="shared" si="21"/>
        <v>Meat &amp; Seafood</v>
      </c>
      <c r="E1356" t="s">
        <v>15</v>
      </c>
      <c r="F1356" s="2">
        <v>5</v>
      </c>
      <c r="G1356" s="3">
        <v>18</v>
      </c>
      <c r="H1356" s="3">
        <f>grocery_chain_data[[#This Row],[Quantity]]*grocery_chain_data[[#This Row],[Unit Price]]</f>
        <v>90</v>
      </c>
      <c r="I1356" s="3">
        <v>9</v>
      </c>
      <c r="J1356" s="3">
        <f>grocery_chain_data[[#This Row],[Total Amount]]-grocery_chain_data[[#This Row],[Discount Amount]]</f>
        <v>81</v>
      </c>
      <c r="K1356">
        <v>16</v>
      </c>
      <c r="L1356" t="str">
        <f>IF(grocery_chain_data[[#This Row],[Final Amount]]&lt;0,"Return","Sale")</f>
        <v>Sale</v>
      </c>
      <c r="M1356">
        <f>IF(grocery_chain_data[[#This Row],[Final Amount]]&lt;0,0,grocery_chain_data[[#This Row],[Final Amount]])</f>
        <v>81</v>
      </c>
    </row>
    <row r="1357" spans="1:13" x14ac:dyDescent="0.3">
      <c r="A1357">
        <v>3924</v>
      </c>
      <c r="B1357" t="s">
        <v>21</v>
      </c>
      <c r="C1357" s="1">
        <v>45562</v>
      </c>
      <c r="D1357" s="1" t="str">
        <f t="shared" si="21"/>
        <v>Meat &amp; Seafood</v>
      </c>
      <c r="E1357" t="s">
        <v>15</v>
      </c>
      <c r="F1357" s="2">
        <v>5</v>
      </c>
      <c r="G1357" s="3">
        <v>12</v>
      </c>
      <c r="H1357" s="3">
        <f>grocery_chain_data[[#This Row],[Quantity]]*grocery_chain_data[[#This Row],[Unit Price]]</f>
        <v>60</v>
      </c>
      <c r="I1357" s="3">
        <v>2</v>
      </c>
      <c r="J1357" s="3">
        <f>grocery_chain_data[[#This Row],[Total Amount]]-grocery_chain_data[[#This Row],[Discount Amount]]</f>
        <v>58</v>
      </c>
      <c r="K1357">
        <v>100</v>
      </c>
      <c r="L1357" t="str">
        <f>IF(grocery_chain_data[[#This Row],[Final Amount]]&lt;0,"Return","Sale")</f>
        <v>Sale</v>
      </c>
      <c r="M1357">
        <f>IF(grocery_chain_data[[#This Row],[Final Amount]]&lt;0,0,grocery_chain_data[[#This Row],[Final Amount]])</f>
        <v>58</v>
      </c>
    </row>
    <row r="1358" spans="1:13" x14ac:dyDescent="0.3">
      <c r="A1358">
        <v>7439</v>
      </c>
      <c r="B1358" t="s">
        <v>10</v>
      </c>
      <c r="C1358" s="1">
        <v>45555</v>
      </c>
      <c r="D1358" s="1" t="str">
        <f t="shared" si="21"/>
        <v>Produce</v>
      </c>
      <c r="E1358" t="s">
        <v>14</v>
      </c>
      <c r="F1358" s="2">
        <v>1</v>
      </c>
      <c r="G1358" s="3">
        <v>28</v>
      </c>
      <c r="H1358" s="3">
        <f>grocery_chain_data[[#This Row],[Quantity]]*grocery_chain_data[[#This Row],[Unit Price]]</f>
        <v>28</v>
      </c>
      <c r="I1358" s="3">
        <v>2</v>
      </c>
      <c r="J1358" s="3">
        <f>grocery_chain_data[[#This Row],[Total Amount]]-grocery_chain_data[[#This Row],[Discount Amount]]</f>
        <v>26</v>
      </c>
      <c r="K1358">
        <v>400</v>
      </c>
      <c r="L1358" t="str">
        <f>IF(grocery_chain_data[[#This Row],[Final Amount]]&lt;0,"Return","Sale")</f>
        <v>Sale</v>
      </c>
      <c r="M1358">
        <f>IF(grocery_chain_data[[#This Row],[Final Amount]]&lt;0,0,grocery_chain_data[[#This Row],[Final Amount]])</f>
        <v>26</v>
      </c>
    </row>
    <row r="1359" spans="1:13" x14ac:dyDescent="0.3">
      <c r="A1359">
        <v>3086</v>
      </c>
      <c r="B1359" t="s">
        <v>12</v>
      </c>
      <c r="C1359" s="1">
        <v>45710</v>
      </c>
      <c r="D1359" s="1" t="str">
        <f t="shared" si="21"/>
        <v>Dairy</v>
      </c>
      <c r="E1359" t="s">
        <v>3</v>
      </c>
      <c r="F1359" s="2">
        <v>2</v>
      </c>
      <c r="G1359" s="3">
        <v>1</v>
      </c>
      <c r="H1359" s="3">
        <f>grocery_chain_data[[#This Row],[Quantity]]*grocery_chain_data[[#This Row],[Unit Price]]</f>
        <v>2</v>
      </c>
      <c r="I1359" s="3">
        <v>1</v>
      </c>
      <c r="J1359" s="3">
        <f>grocery_chain_data[[#This Row],[Total Amount]]-grocery_chain_data[[#This Row],[Discount Amount]]</f>
        <v>1</v>
      </c>
      <c r="K1359">
        <v>465</v>
      </c>
      <c r="L1359" t="str">
        <f>IF(grocery_chain_data[[#This Row],[Final Amount]]&lt;0,"Return","Sale")</f>
        <v>Sale</v>
      </c>
      <c r="M1359">
        <f>IF(grocery_chain_data[[#This Row],[Final Amount]]&lt;0,0,grocery_chain_data[[#This Row],[Final Amount]])</f>
        <v>1</v>
      </c>
    </row>
    <row r="1360" spans="1:13" x14ac:dyDescent="0.3">
      <c r="A1360">
        <v>4648</v>
      </c>
      <c r="B1360" t="s">
        <v>5</v>
      </c>
      <c r="C1360" s="1">
        <v>45793</v>
      </c>
      <c r="D1360" s="1" t="str">
        <f t="shared" si="21"/>
        <v>Produce</v>
      </c>
      <c r="E1360" t="s">
        <v>24</v>
      </c>
      <c r="F1360" s="2">
        <v>5</v>
      </c>
      <c r="G1360" s="3">
        <v>10</v>
      </c>
      <c r="H1360" s="3">
        <f>grocery_chain_data[[#This Row],[Quantity]]*grocery_chain_data[[#This Row],[Unit Price]]</f>
        <v>50</v>
      </c>
      <c r="I1360" s="3">
        <v>10</v>
      </c>
      <c r="J1360" s="3">
        <f>grocery_chain_data[[#This Row],[Total Amount]]-grocery_chain_data[[#This Row],[Discount Amount]]</f>
        <v>40</v>
      </c>
      <c r="K1360">
        <v>87</v>
      </c>
      <c r="L1360" t="str">
        <f>IF(grocery_chain_data[[#This Row],[Final Amount]]&lt;0,"Return","Sale")</f>
        <v>Sale</v>
      </c>
      <c r="M1360">
        <f>IF(grocery_chain_data[[#This Row],[Final Amount]]&lt;0,0,grocery_chain_data[[#This Row],[Final Amount]])</f>
        <v>40</v>
      </c>
    </row>
    <row r="1361" spans="1:13" x14ac:dyDescent="0.3">
      <c r="A1361">
        <v>1056</v>
      </c>
      <c r="B1361" t="s">
        <v>2</v>
      </c>
      <c r="C1361" s="1">
        <v>45732</v>
      </c>
      <c r="D1361" s="1" t="str">
        <f t="shared" si="21"/>
        <v>Dairy</v>
      </c>
      <c r="E1361" t="s">
        <v>23</v>
      </c>
      <c r="F1361" s="2">
        <v>5</v>
      </c>
      <c r="G1361" s="3">
        <v>20</v>
      </c>
      <c r="H1361" s="3">
        <f>grocery_chain_data[[#This Row],[Quantity]]*grocery_chain_data[[#This Row],[Unit Price]]</f>
        <v>100</v>
      </c>
      <c r="I1361" s="3">
        <v>3</v>
      </c>
      <c r="J1361" s="3">
        <f>grocery_chain_data[[#This Row],[Total Amount]]-grocery_chain_data[[#This Row],[Discount Amount]]</f>
        <v>97</v>
      </c>
      <c r="K1361">
        <v>424</v>
      </c>
      <c r="L1361" t="str">
        <f>IF(grocery_chain_data[[#This Row],[Final Amount]]&lt;0,"Return","Sale")</f>
        <v>Sale</v>
      </c>
      <c r="M1361">
        <f>IF(grocery_chain_data[[#This Row],[Final Amount]]&lt;0,0,grocery_chain_data[[#This Row],[Final Amount]])</f>
        <v>97</v>
      </c>
    </row>
    <row r="1362" spans="1:13" x14ac:dyDescent="0.3">
      <c r="A1362">
        <v>1372</v>
      </c>
      <c r="B1362" t="s">
        <v>8</v>
      </c>
      <c r="C1362" s="1">
        <v>45376</v>
      </c>
      <c r="D1362" s="1" t="str">
        <f t="shared" si="21"/>
        <v>Produce</v>
      </c>
      <c r="E1362" t="s">
        <v>14</v>
      </c>
      <c r="F1362" s="2">
        <v>3</v>
      </c>
      <c r="G1362" s="3">
        <v>16</v>
      </c>
      <c r="H1362" s="3">
        <f>grocery_chain_data[[#This Row],[Quantity]]*grocery_chain_data[[#This Row],[Unit Price]]</f>
        <v>48</v>
      </c>
      <c r="I1362" s="3">
        <v>4</v>
      </c>
      <c r="J1362" s="3">
        <f>grocery_chain_data[[#This Row],[Total Amount]]-grocery_chain_data[[#This Row],[Discount Amount]]</f>
        <v>44</v>
      </c>
      <c r="K1362">
        <v>223</v>
      </c>
      <c r="L1362" t="str">
        <f>IF(grocery_chain_data[[#This Row],[Final Amount]]&lt;0,"Return","Sale")</f>
        <v>Sale</v>
      </c>
      <c r="M1362">
        <f>IF(grocery_chain_data[[#This Row],[Final Amount]]&lt;0,0,grocery_chain_data[[#This Row],[Final Amount]])</f>
        <v>44</v>
      </c>
    </row>
    <row r="1363" spans="1:13" x14ac:dyDescent="0.3">
      <c r="A1363">
        <v>8585</v>
      </c>
      <c r="B1363" t="s">
        <v>5</v>
      </c>
      <c r="C1363" s="1">
        <v>45668</v>
      </c>
      <c r="D1363" s="1" t="str">
        <f t="shared" si="21"/>
        <v>Meat &amp; Seafood</v>
      </c>
      <c r="E1363" t="s">
        <v>26</v>
      </c>
      <c r="F1363" s="2">
        <v>5</v>
      </c>
      <c r="G1363" s="3">
        <v>24</v>
      </c>
      <c r="H1363" s="3">
        <f>grocery_chain_data[[#This Row],[Quantity]]*grocery_chain_data[[#This Row],[Unit Price]]</f>
        <v>120</v>
      </c>
      <c r="I1363" s="3">
        <v>2</v>
      </c>
      <c r="J1363" s="3">
        <f>grocery_chain_data[[#This Row],[Total Amount]]-grocery_chain_data[[#This Row],[Discount Amount]]</f>
        <v>118</v>
      </c>
      <c r="K1363">
        <v>431</v>
      </c>
      <c r="L1363" t="str">
        <f>IF(grocery_chain_data[[#This Row],[Final Amount]]&lt;0,"Return","Sale")</f>
        <v>Sale</v>
      </c>
      <c r="M1363">
        <f>IF(grocery_chain_data[[#This Row],[Final Amount]]&lt;0,0,grocery_chain_data[[#This Row],[Final Amount]])</f>
        <v>118</v>
      </c>
    </row>
    <row r="1364" spans="1:13" x14ac:dyDescent="0.3">
      <c r="A1364">
        <v>9920</v>
      </c>
      <c r="B1364" t="s">
        <v>16</v>
      </c>
      <c r="C1364" s="1">
        <v>45474</v>
      </c>
      <c r="D1364" s="1" t="str">
        <f t="shared" si="21"/>
        <v>Bakery</v>
      </c>
      <c r="E1364" t="s">
        <v>22</v>
      </c>
      <c r="F1364" s="2">
        <v>1</v>
      </c>
      <c r="G1364" s="3">
        <v>2</v>
      </c>
      <c r="H1364" s="3">
        <f>grocery_chain_data[[#This Row],[Quantity]]*grocery_chain_data[[#This Row],[Unit Price]]</f>
        <v>2</v>
      </c>
      <c r="I1364" s="3">
        <v>3</v>
      </c>
      <c r="J1364" s="3">
        <f>grocery_chain_data[[#This Row],[Total Amount]]-grocery_chain_data[[#This Row],[Discount Amount]]</f>
        <v>-1</v>
      </c>
      <c r="K1364">
        <v>5</v>
      </c>
      <c r="L1364" t="str">
        <f>IF(grocery_chain_data[[#This Row],[Final Amount]]&lt;0,"Return","Sale")</f>
        <v>Return</v>
      </c>
      <c r="M1364">
        <f>IF(grocery_chain_data[[#This Row],[Final Amount]]&lt;0,0,grocery_chain_data[[#This Row],[Final Amount]])</f>
        <v>0</v>
      </c>
    </row>
    <row r="1365" spans="1:13" x14ac:dyDescent="0.3">
      <c r="A1365">
        <v>9715</v>
      </c>
      <c r="B1365" t="s">
        <v>2</v>
      </c>
      <c r="C1365" s="1">
        <v>45439</v>
      </c>
      <c r="D1365" s="1" t="str">
        <f t="shared" si="21"/>
        <v>Produce</v>
      </c>
      <c r="E1365" t="s">
        <v>14</v>
      </c>
      <c r="F1365" s="2">
        <v>1</v>
      </c>
      <c r="G1365" s="3">
        <v>23</v>
      </c>
      <c r="H1365" s="3">
        <f>grocery_chain_data[[#This Row],[Quantity]]*grocery_chain_data[[#This Row],[Unit Price]]</f>
        <v>23</v>
      </c>
      <c r="I1365" s="3">
        <v>0</v>
      </c>
      <c r="J1365" s="3">
        <f>grocery_chain_data[[#This Row],[Total Amount]]-grocery_chain_data[[#This Row],[Discount Amount]]</f>
        <v>23</v>
      </c>
      <c r="K1365">
        <v>66</v>
      </c>
      <c r="L1365" t="str">
        <f>IF(grocery_chain_data[[#This Row],[Final Amount]]&lt;0,"Return","Sale")</f>
        <v>Sale</v>
      </c>
      <c r="M1365">
        <f>IF(grocery_chain_data[[#This Row],[Final Amount]]&lt;0,0,grocery_chain_data[[#This Row],[Final Amount]])</f>
        <v>23</v>
      </c>
    </row>
    <row r="1366" spans="1:13" x14ac:dyDescent="0.3">
      <c r="A1366">
        <v>4762</v>
      </c>
      <c r="B1366" t="s">
        <v>16</v>
      </c>
      <c r="C1366" s="1">
        <v>45337</v>
      </c>
      <c r="D1366" s="1" t="str">
        <f t="shared" si="21"/>
        <v>Meat &amp; Seafood</v>
      </c>
      <c r="E1366" t="s">
        <v>9</v>
      </c>
      <c r="F1366" s="2">
        <v>2</v>
      </c>
      <c r="G1366" s="3">
        <v>10</v>
      </c>
      <c r="H1366" s="3">
        <f>grocery_chain_data[[#This Row],[Quantity]]*grocery_chain_data[[#This Row],[Unit Price]]</f>
        <v>20</v>
      </c>
      <c r="I1366" s="3">
        <v>0</v>
      </c>
      <c r="J1366" s="3">
        <f>grocery_chain_data[[#This Row],[Total Amount]]-grocery_chain_data[[#This Row],[Discount Amount]]</f>
        <v>20</v>
      </c>
      <c r="K1366">
        <v>274</v>
      </c>
      <c r="L1366" t="str">
        <f>IF(grocery_chain_data[[#This Row],[Final Amount]]&lt;0,"Return","Sale")</f>
        <v>Sale</v>
      </c>
      <c r="M1366">
        <f>IF(grocery_chain_data[[#This Row],[Final Amount]]&lt;0,0,grocery_chain_data[[#This Row],[Final Amount]])</f>
        <v>20</v>
      </c>
    </row>
    <row r="1367" spans="1:13" x14ac:dyDescent="0.3">
      <c r="A1367">
        <v>8546</v>
      </c>
      <c r="B1367" t="s">
        <v>8</v>
      </c>
      <c r="C1367" s="1">
        <v>45413</v>
      </c>
      <c r="D1367" s="1" t="str">
        <f t="shared" si="21"/>
        <v>Dairy</v>
      </c>
      <c r="E1367" t="s">
        <v>19</v>
      </c>
      <c r="F1367" s="2">
        <v>3</v>
      </c>
      <c r="G1367" s="3">
        <v>3</v>
      </c>
      <c r="H1367" s="3">
        <f>grocery_chain_data[[#This Row],[Quantity]]*grocery_chain_data[[#This Row],[Unit Price]]</f>
        <v>9</v>
      </c>
      <c r="I1367" s="3">
        <v>0</v>
      </c>
      <c r="J1367" s="3">
        <f>grocery_chain_data[[#This Row],[Total Amount]]-grocery_chain_data[[#This Row],[Discount Amount]]</f>
        <v>9</v>
      </c>
      <c r="K1367">
        <v>73</v>
      </c>
      <c r="L1367" t="str">
        <f>IF(grocery_chain_data[[#This Row],[Final Amount]]&lt;0,"Return","Sale")</f>
        <v>Sale</v>
      </c>
      <c r="M1367">
        <f>IF(grocery_chain_data[[#This Row],[Final Amount]]&lt;0,0,grocery_chain_data[[#This Row],[Final Amount]])</f>
        <v>9</v>
      </c>
    </row>
    <row r="1368" spans="1:13" x14ac:dyDescent="0.3">
      <c r="A1368">
        <v>3541</v>
      </c>
      <c r="B1368" t="s">
        <v>0</v>
      </c>
      <c r="C1368" s="1">
        <v>45359</v>
      </c>
      <c r="D1368" s="1" t="str">
        <f t="shared" si="21"/>
        <v>Meat &amp; Seafood</v>
      </c>
      <c r="E1368" t="s">
        <v>15</v>
      </c>
      <c r="F1368" s="2">
        <v>5</v>
      </c>
      <c r="G1368" s="3">
        <v>5</v>
      </c>
      <c r="H1368" s="3">
        <f>grocery_chain_data[[#This Row],[Quantity]]*grocery_chain_data[[#This Row],[Unit Price]]</f>
        <v>25</v>
      </c>
      <c r="I1368" s="3">
        <v>3</v>
      </c>
      <c r="J1368" s="3">
        <f>grocery_chain_data[[#This Row],[Total Amount]]-grocery_chain_data[[#This Row],[Discount Amount]]</f>
        <v>22</v>
      </c>
      <c r="K1368">
        <v>72</v>
      </c>
      <c r="L1368" t="str">
        <f>IF(grocery_chain_data[[#This Row],[Final Amount]]&lt;0,"Return","Sale")</f>
        <v>Sale</v>
      </c>
      <c r="M1368">
        <f>IF(grocery_chain_data[[#This Row],[Final Amount]]&lt;0,0,grocery_chain_data[[#This Row],[Final Amount]])</f>
        <v>22</v>
      </c>
    </row>
    <row r="1369" spans="1:13" x14ac:dyDescent="0.3">
      <c r="A1369">
        <v>4088</v>
      </c>
      <c r="B1369" t="s">
        <v>5</v>
      </c>
      <c r="C1369" s="1">
        <v>45873</v>
      </c>
      <c r="D1369" s="1" t="str">
        <f t="shared" si="21"/>
        <v>Bakery</v>
      </c>
      <c r="E1369" t="s">
        <v>22</v>
      </c>
      <c r="F1369" s="2">
        <v>4</v>
      </c>
      <c r="G1369" s="3">
        <v>25</v>
      </c>
      <c r="H1369" s="3">
        <f>grocery_chain_data[[#This Row],[Quantity]]*grocery_chain_data[[#This Row],[Unit Price]]</f>
        <v>100</v>
      </c>
      <c r="I1369" s="3">
        <v>10</v>
      </c>
      <c r="J1369" s="3">
        <f>grocery_chain_data[[#This Row],[Total Amount]]-grocery_chain_data[[#This Row],[Discount Amount]]</f>
        <v>90</v>
      </c>
      <c r="K1369">
        <v>467</v>
      </c>
      <c r="L1369" t="str">
        <f>IF(grocery_chain_data[[#This Row],[Final Amount]]&lt;0,"Return","Sale")</f>
        <v>Sale</v>
      </c>
      <c r="M1369">
        <f>IF(grocery_chain_data[[#This Row],[Final Amount]]&lt;0,0,grocery_chain_data[[#This Row],[Final Amount]])</f>
        <v>90</v>
      </c>
    </row>
    <row r="1370" spans="1:13" x14ac:dyDescent="0.3">
      <c r="A1370">
        <v>2848</v>
      </c>
      <c r="B1370" t="s">
        <v>0</v>
      </c>
      <c r="C1370" s="1">
        <v>45170</v>
      </c>
      <c r="D1370" s="1" t="str">
        <f t="shared" si="21"/>
        <v>Produce</v>
      </c>
      <c r="E1370" t="s">
        <v>18</v>
      </c>
      <c r="F1370" s="2">
        <v>4</v>
      </c>
      <c r="G1370" s="3">
        <v>3</v>
      </c>
      <c r="H1370" s="3">
        <f>grocery_chain_data[[#This Row],[Quantity]]*grocery_chain_data[[#This Row],[Unit Price]]</f>
        <v>12</v>
      </c>
      <c r="I1370" s="3">
        <v>2</v>
      </c>
      <c r="J1370" s="3">
        <f>grocery_chain_data[[#This Row],[Total Amount]]-grocery_chain_data[[#This Row],[Discount Amount]]</f>
        <v>10</v>
      </c>
      <c r="K1370">
        <v>491</v>
      </c>
      <c r="L1370" t="str">
        <f>IF(grocery_chain_data[[#This Row],[Final Amount]]&lt;0,"Return","Sale")</f>
        <v>Sale</v>
      </c>
      <c r="M1370">
        <f>IF(grocery_chain_data[[#This Row],[Final Amount]]&lt;0,0,grocery_chain_data[[#This Row],[Final Amount]])</f>
        <v>10</v>
      </c>
    </row>
    <row r="1371" spans="1:13" x14ac:dyDescent="0.3">
      <c r="A1371">
        <v>7868</v>
      </c>
      <c r="B1371" t="s">
        <v>8</v>
      </c>
      <c r="C1371" s="1">
        <v>45622</v>
      </c>
      <c r="D1371" s="1" t="str">
        <f t="shared" si="21"/>
        <v>Pantry</v>
      </c>
      <c r="E1371" t="s">
        <v>6</v>
      </c>
      <c r="F1371" s="2">
        <v>4</v>
      </c>
      <c r="G1371" s="3">
        <v>24</v>
      </c>
      <c r="H1371" s="3">
        <f>grocery_chain_data[[#This Row],[Quantity]]*grocery_chain_data[[#This Row],[Unit Price]]</f>
        <v>96</v>
      </c>
      <c r="I1371" s="3">
        <v>5</v>
      </c>
      <c r="J1371" s="3">
        <f>grocery_chain_data[[#This Row],[Total Amount]]-grocery_chain_data[[#This Row],[Discount Amount]]</f>
        <v>91</v>
      </c>
      <c r="K1371">
        <v>92</v>
      </c>
      <c r="L1371" t="str">
        <f>IF(grocery_chain_data[[#This Row],[Final Amount]]&lt;0,"Return","Sale")</f>
        <v>Sale</v>
      </c>
      <c r="M1371">
        <f>IF(grocery_chain_data[[#This Row],[Final Amount]]&lt;0,0,grocery_chain_data[[#This Row],[Final Amount]])</f>
        <v>91</v>
      </c>
    </row>
    <row r="1372" spans="1:13" x14ac:dyDescent="0.3">
      <c r="A1372">
        <v>1256</v>
      </c>
      <c r="B1372" t="s">
        <v>13</v>
      </c>
      <c r="C1372" s="1">
        <v>45331</v>
      </c>
      <c r="D1372" s="1" t="str">
        <f t="shared" si="21"/>
        <v>Pantry</v>
      </c>
      <c r="E1372" t="s">
        <v>6</v>
      </c>
      <c r="F1372" s="2">
        <v>3</v>
      </c>
      <c r="G1372" s="3">
        <v>15</v>
      </c>
      <c r="H1372" s="3">
        <f>grocery_chain_data[[#This Row],[Quantity]]*grocery_chain_data[[#This Row],[Unit Price]]</f>
        <v>45</v>
      </c>
      <c r="I1372" s="3">
        <v>9</v>
      </c>
      <c r="J1372" s="3">
        <f>grocery_chain_data[[#This Row],[Total Amount]]-grocery_chain_data[[#This Row],[Discount Amount]]</f>
        <v>36</v>
      </c>
      <c r="K1372">
        <v>314</v>
      </c>
      <c r="L1372" t="str">
        <f>IF(grocery_chain_data[[#This Row],[Final Amount]]&lt;0,"Return","Sale")</f>
        <v>Sale</v>
      </c>
      <c r="M1372">
        <f>IF(grocery_chain_data[[#This Row],[Final Amount]]&lt;0,0,grocery_chain_data[[#This Row],[Final Amount]])</f>
        <v>36</v>
      </c>
    </row>
    <row r="1373" spans="1:13" x14ac:dyDescent="0.3">
      <c r="A1373">
        <v>4376</v>
      </c>
      <c r="B1373" t="s">
        <v>27</v>
      </c>
      <c r="C1373" s="1">
        <v>45197</v>
      </c>
      <c r="D1373" s="1" t="str">
        <f t="shared" si="21"/>
        <v>Meat &amp; Seafood</v>
      </c>
      <c r="E1373" t="s">
        <v>26</v>
      </c>
      <c r="F1373" s="2">
        <v>2</v>
      </c>
      <c r="G1373" s="3">
        <v>19</v>
      </c>
      <c r="H1373" s="3">
        <f>grocery_chain_data[[#This Row],[Quantity]]*grocery_chain_data[[#This Row],[Unit Price]]</f>
        <v>38</v>
      </c>
      <c r="I1373" s="3">
        <v>3</v>
      </c>
      <c r="J1373" s="3">
        <f>grocery_chain_data[[#This Row],[Total Amount]]-grocery_chain_data[[#This Row],[Discount Amount]]</f>
        <v>35</v>
      </c>
      <c r="K1373">
        <v>274</v>
      </c>
      <c r="L1373" t="str">
        <f>IF(grocery_chain_data[[#This Row],[Final Amount]]&lt;0,"Return","Sale")</f>
        <v>Sale</v>
      </c>
      <c r="M1373">
        <f>IF(grocery_chain_data[[#This Row],[Final Amount]]&lt;0,0,grocery_chain_data[[#This Row],[Final Amount]])</f>
        <v>35</v>
      </c>
    </row>
    <row r="1374" spans="1:13" x14ac:dyDescent="0.3">
      <c r="A1374">
        <v>2653</v>
      </c>
      <c r="B1374" t="s">
        <v>5</v>
      </c>
      <c r="C1374" s="1">
        <v>45606</v>
      </c>
      <c r="D1374" s="1" t="str">
        <f t="shared" si="21"/>
        <v>Beverages</v>
      </c>
      <c r="E1374" t="s">
        <v>7</v>
      </c>
      <c r="F1374" s="2">
        <v>1</v>
      </c>
      <c r="G1374" s="3">
        <v>27</v>
      </c>
      <c r="H1374" s="3">
        <f>grocery_chain_data[[#This Row],[Quantity]]*grocery_chain_data[[#This Row],[Unit Price]]</f>
        <v>27</v>
      </c>
      <c r="I1374" s="3">
        <v>5</v>
      </c>
      <c r="J1374" s="3">
        <f>grocery_chain_data[[#This Row],[Total Amount]]-grocery_chain_data[[#This Row],[Discount Amount]]</f>
        <v>22</v>
      </c>
      <c r="K1374">
        <v>15</v>
      </c>
      <c r="L1374" t="str">
        <f>IF(grocery_chain_data[[#This Row],[Final Amount]]&lt;0,"Return","Sale")</f>
        <v>Sale</v>
      </c>
      <c r="M1374">
        <f>IF(grocery_chain_data[[#This Row],[Final Amount]]&lt;0,0,grocery_chain_data[[#This Row],[Final Amount]])</f>
        <v>22</v>
      </c>
    </row>
    <row r="1375" spans="1:13" x14ac:dyDescent="0.3">
      <c r="A1375">
        <v>1550</v>
      </c>
      <c r="B1375" t="s">
        <v>21</v>
      </c>
      <c r="C1375" s="1">
        <v>45491</v>
      </c>
      <c r="D1375" s="1" t="str">
        <f t="shared" si="21"/>
        <v>Dairy</v>
      </c>
      <c r="E1375" t="s">
        <v>20</v>
      </c>
      <c r="F1375" s="2">
        <v>3</v>
      </c>
      <c r="G1375" s="3">
        <v>9</v>
      </c>
      <c r="H1375" s="3">
        <f>grocery_chain_data[[#This Row],[Quantity]]*grocery_chain_data[[#This Row],[Unit Price]]</f>
        <v>27</v>
      </c>
      <c r="I1375" s="3">
        <v>4</v>
      </c>
      <c r="J1375" s="3">
        <f>grocery_chain_data[[#This Row],[Total Amount]]-grocery_chain_data[[#This Row],[Discount Amount]]</f>
        <v>23</v>
      </c>
      <c r="K1375">
        <v>102</v>
      </c>
      <c r="L1375" t="str">
        <f>IF(grocery_chain_data[[#This Row],[Final Amount]]&lt;0,"Return","Sale")</f>
        <v>Sale</v>
      </c>
      <c r="M1375">
        <f>IF(grocery_chain_data[[#This Row],[Final Amount]]&lt;0,0,grocery_chain_data[[#This Row],[Final Amount]])</f>
        <v>23</v>
      </c>
    </row>
    <row r="1376" spans="1:13" x14ac:dyDescent="0.3">
      <c r="A1376">
        <v>1797</v>
      </c>
      <c r="B1376" t="s">
        <v>2</v>
      </c>
      <c r="C1376" s="1">
        <v>45335</v>
      </c>
      <c r="D1376" s="1" t="str">
        <f t="shared" si="21"/>
        <v>Produce</v>
      </c>
      <c r="E1376" t="s">
        <v>17</v>
      </c>
      <c r="F1376" s="2">
        <v>4</v>
      </c>
      <c r="G1376" s="3">
        <v>23</v>
      </c>
      <c r="H1376" s="3">
        <f>grocery_chain_data[[#This Row],[Quantity]]*grocery_chain_data[[#This Row],[Unit Price]]</f>
        <v>92</v>
      </c>
      <c r="I1376" s="3">
        <v>5</v>
      </c>
      <c r="J1376" s="3">
        <f>grocery_chain_data[[#This Row],[Total Amount]]-grocery_chain_data[[#This Row],[Discount Amount]]</f>
        <v>87</v>
      </c>
      <c r="K1376">
        <v>253</v>
      </c>
      <c r="L1376" t="str">
        <f>IF(grocery_chain_data[[#This Row],[Final Amount]]&lt;0,"Return","Sale")</f>
        <v>Sale</v>
      </c>
      <c r="M1376">
        <f>IF(grocery_chain_data[[#This Row],[Final Amount]]&lt;0,0,grocery_chain_data[[#This Row],[Final Amount]])</f>
        <v>87</v>
      </c>
    </row>
    <row r="1377" spans="1:13" x14ac:dyDescent="0.3">
      <c r="A1377">
        <v>1724</v>
      </c>
      <c r="B1377" t="s">
        <v>21</v>
      </c>
      <c r="C1377" s="1">
        <v>45457</v>
      </c>
      <c r="D1377" s="1" t="str">
        <f t="shared" si="21"/>
        <v>Produce</v>
      </c>
      <c r="E1377" t="s">
        <v>11</v>
      </c>
      <c r="F1377" s="2">
        <v>2</v>
      </c>
      <c r="G1377" s="3">
        <v>21</v>
      </c>
      <c r="H1377" s="3">
        <f>grocery_chain_data[[#This Row],[Quantity]]*grocery_chain_data[[#This Row],[Unit Price]]</f>
        <v>42</v>
      </c>
      <c r="I1377" s="3">
        <v>4</v>
      </c>
      <c r="J1377" s="3">
        <f>grocery_chain_data[[#This Row],[Total Amount]]-grocery_chain_data[[#This Row],[Discount Amount]]</f>
        <v>38</v>
      </c>
      <c r="K1377">
        <v>454</v>
      </c>
      <c r="L1377" t="str">
        <f>IF(grocery_chain_data[[#This Row],[Final Amount]]&lt;0,"Return","Sale")</f>
        <v>Sale</v>
      </c>
      <c r="M1377">
        <f>IF(grocery_chain_data[[#This Row],[Final Amount]]&lt;0,0,grocery_chain_data[[#This Row],[Final Amount]])</f>
        <v>38</v>
      </c>
    </row>
    <row r="1378" spans="1:13" x14ac:dyDescent="0.3">
      <c r="A1378">
        <v>8191</v>
      </c>
      <c r="B1378" t="s">
        <v>0</v>
      </c>
      <c r="C1378" s="1">
        <v>45327</v>
      </c>
      <c r="D1378" s="1" t="str">
        <f t="shared" si="21"/>
        <v>Produce</v>
      </c>
      <c r="E1378" t="s">
        <v>17</v>
      </c>
      <c r="F1378" s="2">
        <v>2</v>
      </c>
      <c r="G1378" s="3">
        <v>24</v>
      </c>
      <c r="H1378" s="3">
        <f>grocery_chain_data[[#This Row],[Quantity]]*grocery_chain_data[[#This Row],[Unit Price]]</f>
        <v>48</v>
      </c>
      <c r="I1378" s="3">
        <v>5</v>
      </c>
      <c r="J1378" s="3">
        <f>grocery_chain_data[[#This Row],[Total Amount]]-grocery_chain_data[[#This Row],[Discount Amount]]</f>
        <v>43</v>
      </c>
      <c r="K1378">
        <v>488</v>
      </c>
      <c r="L1378" t="str">
        <f>IF(grocery_chain_data[[#This Row],[Final Amount]]&lt;0,"Return","Sale")</f>
        <v>Sale</v>
      </c>
      <c r="M1378">
        <f>IF(grocery_chain_data[[#This Row],[Final Amount]]&lt;0,0,grocery_chain_data[[#This Row],[Final Amount]])</f>
        <v>43</v>
      </c>
    </row>
    <row r="1379" spans="1:13" x14ac:dyDescent="0.3">
      <c r="A1379">
        <v>9843</v>
      </c>
      <c r="B1379" t="s">
        <v>10</v>
      </c>
      <c r="C1379" s="1">
        <v>45313</v>
      </c>
      <c r="D1379" s="1" t="str">
        <f t="shared" si="21"/>
        <v>Pantry</v>
      </c>
      <c r="E1379" t="s">
        <v>1</v>
      </c>
      <c r="F1379" s="2">
        <v>3</v>
      </c>
      <c r="G1379" s="3">
        <v>19</v>
      </c>
      <c r="H1379" s="3">
        <f>grocery_chain_data[[#This Row],[Quantity]]*grocery_chain_data[[#This Row],[Unit Price]]</f>
        <v>57</v>
      </c>
      <c r="I1379" s="3">
        <v>6</v>
      </c>
      <c r="J1379" s="3">
        <f>grocery_chain_data[[#This Row],[Total Amount]]-grocery_chain_data[[#This Row],[Discount Amount]]</f>
        <v>51</v>
      </c>
      <c r="K1379">
        <v>310</v>
      </c>
      <c r="L1379" t="str">
        <f>IF(grocery_chain_data[[#This Row],[Final Amount]]&lt;0,"Return","Sale")</f>
        <v>Sale</v>
      </c>
      <c r="M1379">
        <f>IF(grocery_chain_data[[#This Row],[Final Amount]]&lt;0,0,grocery_chain_data[[#This Row],[Final Amount]])</f>
        <v>51</v>
      </c>
    </row>
    <row r="1380" spans="1:13" x14ac:dyDescent="0.3">
      <c r="A1380">
        <v>1924</v>
      </c>
      <c r="B1380" t="s">
        <v>21</v>
      </c>
      <c r="C1380" s="1">
        <v>45253</v>
      </c>
      <c r="D1380" s="1" t="str">
        <f t="shared" si="21"/>
        <v>Beverages</v>
      </c>
      <c r="E1380" t="s">
        <v>7</v>
      </c>
      <c r="F1380" s="2">
        <v>3</v>
      </c>
      <c r="G1380" s="3">
        <v>27</v>
      </c>
      <c r="H1380" s="3">
        <f>grocery_chain_data[[#This Row],[Quantity]]*grocery_chain_data[[#This Row],[Unit Price]]</f>
        <v>81</v>
      </c>
      <c r="I1380" s="3">
        <v>8</v>
      </c>
      <c r="J1380" s="3">
        <f>grocery_chain_data[[#This Row],[Total Amount]]-grocery_chain_data[[#This Row],[Discount Amount]]</f>
        <v>73</v>
      </c>
      <c r="K1380">
        <v>419</v>
      </c>
      <c r="L1380" t="str">
        <f>IF(grocery_chain_data[[#This Row],[Final Amount]]&lt;0,"Return","Sale")</f>
        <v>Sale</v>
      </c>
      <c r="M1380">
        <f>IF(grocery_chain_data[[#This Row],[Final Amount]]&lt;0,0,grocery_chain_data[[#This Row],[Final Amount]])</f>
        <v>73</v>
      </c>
    </row>
    <row r="1381" spans="1:13" x14ac:dyDescent="0.3">
      <c r="A1381">
        <v>9255</v>
      </c>
      <c r="B1381" t="s">
        <v>5</v>
      </c>
      <c r="C1381" s="1">
        <v>45369</v>
      </c>
      <c r="D1381" s="1" t="str">
        <f t="shared" si="21"/>
        <v>Produce</v>
      </c>
      <c r="E1381" t="s">
        <v>24</v>
      </c>
      <c r="F1381" s="2">
        <v>3</v>
      </c>
      <c r="G1381" s="3">
        <v>18</v>
      </c>
      <c r="H1381" s="3">
        <f>grocery_chain_data[[#This Row],[Quantity]]*grocery_chain_data[[#This Row],[Unit Price]]</f>
        <v>54</v>
      </c>
      <c r="I1381" s="3">
        <v>5</v>
      </c>
      <c r="J1381" s="3">
        <f>grocery_chain_data[[#This Row],[Total Amount]]-grocery_chain_data[[#This Row],[Discount Amount]]</f>
        <v>49</v>
      </c>
      <c r="K1381">
        <v>150</v>
      </c>
      <c r="L1381" t="str">
        <f>IF(grocery_chain_data[[#This Row],[Final Amount]]&lt;0,"Return","Sale")</f>
        <v>Sale</v>
      </c>
      <c r="M1381">
        <f>IF(grocery_chain_data[[#This Row],[Final Amount]]&lt;0,0,grocery_chain_data[[#This Row],[Final Amount]])</f>
        <v>49</v>
      </c>
    </row>
    <row r="1382" spans="1:13" x14ac:dyDescent="0.3">
      <c r="A1382">
        <v>4836</v>
      </c>
      <c r="B1382" t="s">
        <v>13</v>
      </c>
      <c r="C1382" s="1">
        <v>45778</v>
      </c>
      <c r="D1382" s="1" t="str">
        <f t="shared" si="21"/>
        <v>Produce</v>
      </c>
      <c r="E1382" t="s">
        <v>11</v>
      </c>
      <c r="F1382" s="2">
        <v>3</v>
      </c>
      <c r="G1382" s="3">
        <v>13</v>
      </c>
      <c r="H1382" s="3">
        <f>grocery_chain_data[[#This Row],[Quantity]]*grocery_chain_data[[#This Row],[Unit Price]]</f>
        <v>39</v>
      </c>
      <c r="I1382" s="3">
        <v>8</v>
      </c>
      <c r="J1382" s="3">
        <f>grocery_chain_data[[#This Row],[Total Amount]]-grocery_chain_data[[#This Row],[Discount Amount]]</f>
        <v>31</v>
      </c>
      <c r="K1382">
        <v>95</v>
      </c>
      <c r="L1382" t="str">
        <f>IF(grocery_chain_data[[#This Row],[Final Amount]]&lt;0,"Return","Sale")</f>
        <v>Sale</v>
      </c>
      <c r="M1382">
        <f>IF(grocery_chain_data[[#This Row],[Final Amount]]&lt;0,0,grocery_chain_data[[#This Row],[Final Amount]])</f>
        <v>31</v>
      </c>
    </row>
    <row r="1383" spans="1:13" x14ac:dyDescent="0.3">
      <c r="A1383">
        <v>6224</v>
      </c>
      <c r="B1383" t="s">
        <v>0</v>
      </c>
      <c r="C1383" s="1">
        <v>45593</v>
      </c>
      <c r="D1383" s="1" t="str">
        <f t="shared" si="21"/>
        <v>Beverages</v>
      </c>
      <c r="E1383" t="s">
        <v>7</v>
      </c>
      <c r="F1383" s="2">
        <v>3</v>
      </c>
      <c r="G1383" s="3">
        <v>5</v>
      </c>
      <c r="H1383" s="3">
        <f>grocery_chain_data[[#This Row],[Quantity]]*grocery_chain_data[[#This Row],[Unit Price]]</f>
        <v>15</v>
      </c>
      <c r="I1383" s="3">
        <v>2</v>
      </c>
      <c r="J1383" s="3">
        <f>grocery_chain_data[[#This Row],[Total Amount]]-grocery_chain_data[[#This Row],[Discount Amount]]</f>
        <v>13</v>
      </c>
      <c r="K1383">
        <v>160</v>
      </c>
      <c r="L1383" t="str">
        <f>IF(grocery_chain_data[[#This Row],[Final Amount]]&lt;0,"Return","Sale")</f>
        <v>Sale</v>
      </c>
      <c r="M1383">
        <f>IF(grocery_chain_data[[#This Row],[Final Amount]]&lt;0,0,grocery_chain_data[[#This Row],[Final Amount]])</f>
        <v>13</v>
      </c>
    </row>
    <row r="1384" spans="1:13" x14ac:dyDescent="0.3">
      <c r="A1384">
        <v>6253</v>
      </c>
      <c r="B1384" t="s">
        <v>13</v>
      </c>
      <c r="C1384" s="1">
        <v>45329</v>
      </c>
      <c r="D1384" s="1" t="str">
        <f t="shared" si="21"/>
        <v>Dairy</v>
      </c>
      <c r="E1384" t="s">
        <v>23</v>
      </c>
      <c r="F1384" s="2">
        <v>4</v>
      </c>
      <c r="G1384" s="3">
        <v>17</v>
      </c>
      <c r="H1384" s="3">
        <f>grocery_chain_data[[#This Row],[Quantity]]*grocery_chain_data[[#This Row],[Unit Price]]</f>
        <v>68</v>
      </c>
      <c r="I1384" s="3">
        <v>1</v>
      </c>
      <c r="J1384" s="3">
        <f>grocery_chain_data[[#This Row],[Total Amount]]-grocery_chain_data[[#This Row],[Discount Amount]]</f>
        <v>67</v>
      </c>
      <c r="K1384">
        <v>164</v>
      </c>
      <c r="L1384" t="str">
        <f>IF(grocery_chain_data[[#This Row],[Final Amount]]&lt;0,"Return","Sale")</f>
        <v>Sale</v>
      </c>
      <c r="M1384">
        <f>IF(grocery_chain_data[[#This Row],[Final Amount]]&lt;0,0,grocery_chain_data[[#This Row],[Final Amount]])</f>
        <v>67</v>
      </c>
    </row>
    <row r="1385" spans="1:13" x14ac:dyDescent="0.3">
      <c r="A1385">
        <v>5944</v>
      </c>
      <c r="B1385" t="s">
        <v>12</v>
      </c>
      <c r="C1385" s="1">
        <v>45825</v>
      </c>
      <c r="D1385" s="1" t="str">
        <f t="shared" si="21"/>
        <v>Dairy</v>
      </c>
      <c r="E1385" t="s">
        <v>23</v>
      </c>
      <c r="F1385" s="2">
        <v>5</v>
      </c>
      <c r="G1385" s="3">
        <v>7</v>
      </c>
      <c r="H1385" s="3">
        <f>grocery_chain_data[[#This Row],[Quantity]]*grocery_chain_data[[#This Row],[Unit Price]]</f>
        <v>35</v>
      </c>
      <c r="I1385" s="3">
        <v>0</v>
      </c>
      <c r="J1385" s="3">
        <f>grocery_chain_data[[#This Row],[Total Amount]]-grocery_chain_data[[#This Row],[Discount Amount]]</f>
        <v>35</v>
      </c>
      <c r="K1385">
        <v>287</v>
      </c>
      <c r="L1385" t="str">
        <f>IF(grocery_chain_data[[#This Row],[Final Amount]]&lt;0,"Return","Sale")</f>
        <v>Sale</v>
      </c>
      <c r="M1385">
        <f>IF(grocery_chain_data[[#This Row],[Final Amount]]&lt;0,0,grocery_chain_data[[#This Row],[Final Amount]])</f>
        <v>35</v>
      </c>
    </row>
    <row r="1386" spans="1:13" x14ac:dyDescent="0.3">
      <c r="A1386">
        <v>3347</v>
      </c>
      <c r="B1386" t="s">
        <v>0</v>
      </c>
      <c r="C1386" s="1">
        <v>45657</v>
      </c>
      <c r="D1386" s="1" t="str">
        <f t="shared" si="21"/>
        <v>Dairy</v>
      </c>
      <c r="E1386" t="s">
        <v>3</v>
      </c>
      <c r="F1386" s="2">
        <v>4</v>
      </c>
      <c r="G1386" s="3">
        <v>10</v>
      </c>
      <c r="H1386" s="3">
        <f>grocery_chain_data[[#This Row],[Quantity]]*grocery_chain_data[[#This Row],[Unit Price]]</f>
        <v>40</v>
      </c>
      <c r="I1386" s="3">
        <v>8</v>
      </c>
      <c r="J1386" s="3">
        <f>grocery_chain_data[[#This Row],[Total Amount]]-grocery_chain_data[[#This Row],[Discount Amount]]</f>
        <v>32</v>
      </c>
      <c r="K1386">
        <v>163</v>
      </c>
      <c r="L1386" t="str">
        <f>IF(grocery_chain_data[[#This Row],[Final Amount]]&lt;0,"Return","Sale")</f>
        <v>Sale</v>
      </c>
      <c r="M1386">
        <f>IF(grocery_chain_data[[#This Row],[Final Amount]]&lt;0,0,grocery_chain_data[[#This Row],[Final Amount]])</f>
        <v>32</v>
      </c>
    </row>
    <row r="1387" spans="1:13" x14ac:dyDescent="0.3">
      <c r="A1387">
        <v>9540</v>
      </c>
      <c r="B1387" t="s">
        <v>13</v>
      </c>
      <c r="C1387" s="1">
        <v>45316</v>
      </c>
      <c r="D1387" s="1" t="str">
        <f t="shared" si="21"/>
        <v>Produce</v>
      </c>
      <c r="E1387" t="s">
        <v>25</v>
      </c>
      <c r="F1387" s="2">
        <v>1</v>
      </c>
      <c r="G1387" s="3">
        <v>30</v>
      </c>
      <c r="H1387" s="3">
        <f>grocery_chain_data[[#This Row],[Quantity]]*grocery_chain_data[[#This Row],[Unit Price]]</f>
        <v>30</v>
      </c>
      <c r="I1387" s="3">
        <v>3</v>
      </c>
      <c r="J1387" s="3">
        <f>grocery_chain_data[[#This Row],[Total Amount]]-grocery_chain_data[[#This Row],[Discount Amount]]</f>
        <v>27</v>
      </c>
      <c r="K1387">
        <v>215</v>
      </c>
      <c r="L1387" t="str">
        <f>IF(grocery_chain_data[[#This Row],[Final Amount]]&lt;0,"Return","Sale")</f>
        <v>Sale</v>
      </c>
      <c r="M1387">
        <f>IF(grocery_chain_data[[#This Row],[Final Amount]]&lt;0,0,grocery_chain_data[[#This Row],[Final Amount]])</f>
        <v>27</v>
      </c>
    </row>
    <row r="1388" spans="1:13" x14ac:dyDescent="0.3">
      <c r="A1388">
        <v>7775</v>
      </c>
      <c r="B1388" t="s">
        <v>16</v>
      </c>
      <c r="C1388" s="1">
        <v>45378</v>
      </c>
      <c r="D1388" s="1" t="str">
        <f t="shared" si="21"/>
        <v>Produce</v>
      </c>
      <c r="E1388" t="s">
        <v>14</v>
      </c>
      <c r="F1388" s="2">
        <v>2</v>
      </c>
      <c r="G1388" s="3">
        <v>18</v>
      </c>
      <c r="H1388" s="3">
        <f>grocery_chain_data[[#This Row],[Quantity]]*grocery_chain_data[[#This Row],[Unit Price]]</f>
        <v>36</v>
      </c>
      <c r="I1388" s="3">
        <v>0</v>
      </c>
      <c r="J1388" s="3">
        <f>grocery_chain_data[[#This Row],[Total Amount]]-grocery_chain_data[[#This Row],[Discount Amount]]</f>
        <v>36</v>
      </c>
      <c r="K1388">
        <v>145</v>
      </c>
      <c r="L1388" t="str">
        <f>IF(grocery_chain_data[[#This Row],[Final Amount]]&lt;0,"Return","Sale")</f>
        <v>Sale</v>
      </c>
      <c r="M1388">
        <f>IF(grocery_chain_data[[#This Row],[Final Amount]]&lt;0,0,grocery_chain_data[[#This Row],[Final Amount]])</f>
        <v>36</v>
      </c>
    </row>
    <row r="1389" spans="1:13" x14ac:dyDescent="0.3">
      <c r="A1389">
        <v>5508</v>
      </c>
      <c r="B1389" t="s">
        <v>13</v>
      </c>
      <c r="C1389" s="1">
        <v>45192</v>
      </c>
      <c r="D1389" s="1" t="str">
        <f t="shared" si="21"/>
        <v>Produce</v>
      </c>
      <c r="E1389" t="s">
        <v>17</v>
      </c>
      <c r="F1389" s="2">
        <v>2</v>
      </c>
      <c r="G1389" s="3">
        <v>25</v>
      </c>
      <c r="H1389" s="3">
        <f>grocery_chain_data[[#This Row],[Quantity]]*grocery_chain_data[[#This Row],[Unit Price]]</f>
        <v>50</v>
      </c>
      <c r="I1389" s="3">
        <v>5</v>
      </c>
      <c r="J1389" s="3">
        <f>grocery_chain_data[[#This Row],[Total Amount]]-grocery_chain_data[[#This Row],[Discount Amount]]</f>
        <v>45</v>
      </c>
      <c r="K1389">
        <v>206</v>
      </c>
      <c r="L1389" t="str">
        <f>IF(grocery_chain_data[[#This Row],[Final Amount]]&lt;0,"Return","Sale")</f>
        <v>Sale</v>
      </c>
      <c r="M1389">
        <f>IF(grocery_chain_data[[#This Row],[Final Amount]]&lt;0,0,grocery_chain_data[[#This Row],[Final Amount]])</f>
        <v>45</v>
      </c>
    </row>
    <row r="1390" spans="1:13" x14ac:dyDescent="0.3">
      <c r="A1390">
        <v>3869</v>
      </c>
      <c r="B1390" t="s">
        <v>13</v>
      </c>
      <c r="C1390" s="1">
        <v>45631</v>
      </c>
      <c r="D1390" s="1" t="str">
        <f t="shared" si="21"/>
        <v>Produce</v>
      </c>
      <c r="E1390" t="s">
        <v>18</v>
      </c>
      <c r="F1390" s="2">
        <v>1</v>
      </c>
      <c r="G1390" s="3">
        <v>15</v>
      </c>
      <c r="H1390" s="3">
        <f>grocery_chain_data[[#This Row],[Quantity]]*grocery_chain_data[[#This Row],[Unit Price]]</f>
        <v>15</v>
      </c>
      <c r="I1390" s="3">
        <v>0</v>
      </c>
      <c r="J1390" s="3">
        <f>grocery_chain_data[[#This Row],[Total Amount]]-grocery_chain_data[[#This Row],[Discount Amount]]</f>
        <v>15</v>
      </c>
      <c r="K1390">
        <v>424</v>
      </c>
      <c r="L1390" t="str">
        <f>IF(grocery_chain_data[[#This Row],[Final Amount]]&lt;0,"Return","Sale")</f>
        <v>Sale</v>
      </c>
      <c r="M1390">
        <f>IF(grocery_chain_data[[#This Row],[Final Amount]]&lt;0,0,grocery_chain_data[[#This Row],[Final Amount]])</f>
        <v>15</v>
      </c>
    </row>
    <row r="1391" spans="1:13" x14ac:dyDescent="0.3">
      <c r="A1391">
        <v>7999</v>
      </c>
      <c r="B1391" t="s">
        <v>12</v>
      </c>
      <c r="C1391" s="1">
        <v>45576</v>
      </c>
      <c r="D1391" s="1" t="str">
        <f t="shared" si="21"/>
        <v>Pantry</v>
      </c>
      <c r="E1391" t="s">
        <v>6</v>
      </c>
      <c r="F1391" s="2">
        <v>3</v>
      </c>
      <c r="G1391" s="3">
        <v>13</v>
      </c>
      <c r="H1391" s="3">
        <f>grocery_chain_data[[#This Row],[Quantity]]*grocery_chain_data[[#This Row],[Unit Price]]</f>
        <v>39</v>
      </c>
      <c r="I1391" s="3">
        <v>4</v>
      </c>
      <c r="J1391" s="3">
        <f>grocery_chain_data[[#This Row],[Total Amount]]-grocery_chain_data[[#This Row],[Discount Amount]]</f>
        <v>35</v>
      </c>
      <c r="K1391">
        <v>284</v>
      </c>
      <c r="L1391" t="str">
        <f>IF(grocery_chain_data[[#This Row],[Final Amount]]&lt;0,"Return","Sale")</f>
        <v>Sale</v>
      </c>
      <c r="M1391">
        <f>IF(grocery_chain_data[[#This Row],[Final Amount]]&lt;0,0,grocery_chain_data[[#This Row],[Final Amount]])</f>
        <v>35</v>
      </c>
    </row>
    <row r="1392" spans="1:13" x14ac:dyDescent="0.3">
      <c r="A1392">
        <v>9120</v>
      </c>
      <c r="B1392" t="s">
        <v>13</v>
      </c>
      <c r="C1392" s="1">
        <v>45181</v>
      </c>
      <c r="D1392" s="1" t="str">
        <f t="shared" si="21"/>
        <v>Produce</v>
      </c>
      <c r="E1392" t="s">
        <v>17</v>
      </c>
      <c r="F1392" s="2">
        <v>4</v>
      </c>
      <c r="G1392" s="3">
        <v>15</v>
      </c>
      <c r="H1392" s="3">
        <f>grocery_chain_data[[#This Row],[Quantity]]*grocery_chain_data[[#This Row],[Unit Price]]</f>
        <v>60</v>
      </c>
      <c r="I1392" s="3">
        <v>9</v>
      </c>
      <c r="J1392" s="3">
        <f>grocery_chain_data[[#This Row],[Total Amount]]-grocery_chain_data[[#This Row],[Discount Amount]]</f>
        <v>51</v>
      </c>
      <c r="K1392">
        <v>328</v>
      </c>
      <c r="L1392" t="str">
        <f>IF(grocery_chain_data[[#This Row],[Final Amount]]&lt;0,"Return","Sale")</f>
        <v>Sale</v>
      </c>
      <c r="M1392">
        <f>IF(grocery_chain_data[[#This Row],[Final Amount]]&lt;0,0,grocery_chain_data[[#This Row],[Final Amount]])</f>
        <v>51</v>
      </c>
    </row>
    <row r="1393" spans="1:13" x14ac:dyDescent="0.3">
      <c r="A1393">
        <v>6642</v>
      </c>
      <c r="B1393" t="s">
        <v>0</v>
      </c>
      <c r="C1393" s="1">
        <v>45644</v>
      </c>
      <c r="D1393" s="1" t="str">
        <f t="shared" si="21"/>
        <v>Meat &amp; Seafood</v>
      </c>
      <c r="E1393" t="s">
        <v>9</v>
      </c>
      <c r="F1393" s="2">
        <v>1</v>
      </c>
      <c r="G1393" s="3">
        <v>25</v>
      </c>
      <c r="H1393" s="3">
        <f>grocery_chain_data[[#This Row],[Quantity]]*grocery_chain_data[[#This Row],[Unit Price]]</f>
        <v>25</v>
      </c>
      <c r="I1393" s="3">
        <v>4</v>
      </c>
      <c r="J1393" s="3">
        <f>grocery_chain_data[[#This Row],[Total Amount]]-grocery_chain_data[[#This Row],[Discount Amount]]</f>
        <v>21</v>
      </c>
      <c r="K1393">
        <v>71</v>
      </c>
      <c r="L1393" t="str">
        <f>IF(grocery_chain_data[[#This Row],[Final Amount]]&lt;0,"Return","Sale")</f>
        <v>Sale</v>
      </c>
      <c r="M1393">
        <f>IF(grocery_chain_data[[#This Row],[Final Amount]]&lt;0,0,grocery_chain_data[[#This Row],[Final Amount]])</f>
        <v>21</v>
      </c>
    </row>
    <row r="1394" spans="1:13" x14ac:dyDescent="0.3">
      <c r="A1394">
        <v>7244</v>
      </c>
      <c r="B1394" t="s">
        <v>8</v>
      </c>
      <c r="C1394" s="1">
        <v>45755</v>
      </c>
      <c r="D1394" s="1" t="str">
        <f t="shared" si="21"/>
        <v>Produce</v>
      </c>
      <c r="E1394" t="s">
        <v>11</v>
      </c>
      <c r="F1394" s="2">
        <v>1</v>
      </c>
      <c r="G1394" s="3">
        <v>7</v>
      </c>
      <c r="H1394" s="3">
        <f>grocery_chain_data[[#This Row],[Quantity]]*grocery_chain_data[[#This Row],[Unit Price]]</f>
        <v>7</v>
      </c>
      <c r="I1394" s="3">
        <v>5</v>
      </c>
      <c r="J1394" s="3">
        <f>grocery_chain_data[[#This Row],[Total Amount]]-grocery_chain_data[[#This Row],[Discount Amount]]</f>
        <v>2</v>
      </c>
      <c r="K1394">
        <v>461</v>
      </c>
      <c r="L1394" t="str">
        <f>IF(grocery_chain_data[[#This Row],[Final Amount]]&lt;0,"Return","Sale")</f>
        <v>Sale</v>
      </c>
      <c r="M1394">
        <f>IF(grocery_chain_data[[#This Row],[Final Amount]]&lt;0,0,grocery_chain_data[[#This Row],[Final Amount]])</f>
        <v>2</v>
      </c>
    </row>
    <row r="1395" spans="1:13" x14ac:dyDescent="0.3">
      <c r="A1395">
        <v>9592</v>
      </c>
      <c r="B1395" t="s">
        <v>13</v>
      </c>
      <c r="C1395" s="1">
        <v>45392</v>
      </c>
      <c r="D1395" s="1" t="str">
        <f t="shared" si="21"/>
        <v>Dairy</v>
      </c>
      <c r="E1395" t="s">
        <v>19</v>
      </c>
      <c r="F1395" s="2">
        <v>1</v>
      </c>
      <c r="G1395" s="3">
        <v>2</v>
      </c>
      <c r="H1395" s="3">
        <f>grocery_chain_data[[#This Row],[Quantity]]*grocery_chain_data[[#This Row],[Unit Price]]</f>
        <v>2</v>
      </c>
      <c r="I1395" s="3">
        <v>0</v>
      </c>
      <c r="J1395" s="3">
        <f>grocery_chain_data[[#This Row],[Total Amount]]-grocery_chain_data[[#This Row],[Discount Amount]]</f>
        <v>2</v>
      </c>
      <c r="K1395">
        <v>155</v>
      </c>
      <c r="L1395" t="str">
        <f>IF(grocery_chain_data[[#This Row],[Final Amount]]&lt;0,"Return","Sale")</f>
        <v>Sale</v>
      </c>
      <c r="M1395">
        <f>IF(grocery_chain_data[[#This Row],[Final Amount]]&lt;0,0,grocery_chain_data[[#This Row],[Final Amount]])</f>
        <v>2</v>
      </c>
    </row>
    <row r="1396" spans="1:13" x14ac:dyDescent="0.3">
      <c r="A1396">
        <v>7821</v>
      </c>
      <c r="B1396" t="s">
        <v>16</v>
      </c>
      <c r="C1396" s="1">
        <v>45462</v>
      </c>
      <c r="D1396" s="1" t="str">
        <f t="shared" si="21"/>
        <v>Produce</v>
      </c>
      <c r="E1396" t="s">
        <v>14</v>
      </c>
      <c r="F1396" s="2">
        <v>3</v>
      </c>
      <c r="G1396" s="3">
        <v>21</v>
      </c>
      <c r="H1396" s="3">
        <f>grocery_chain_data[[#This Row],[Quantity]]*grocery_chain_data[[#This Row],[Unit Price]]</f>
        <v>63</v>
      </c>
      <c r="I1396" s="3">
        <v>3</v>
      </c>
      <c r="J1396" s="3">
        <f>grocery_chain_data[[#This Row],[Total Amount]]-grocery_chain_data[[#This Row],[Discount Amount]]</f>
        <v>60</v>
      </c>
      <c r="K1396">
        <v>473</v>
      </c>
      <c r="L1396" t="str">
        <f>IF(grocery_chain_data[[#This Row],[Final Amount]]&lt;0,"Return","Sale")</f>
        <v>Sale</v>
      </c>
      <c r="M1396">
        <f>IF(grocery_chain_data[[#This Row],[Final Amount]]&lt;0,0,grocery_chain_data[[#This Row],[Final Amount]])</f>
        <v>60</v>
      </c>
    </row>
    <row r="1397" spans="1:13" x14ac:dyDescent="0.3">
      <c r="A1397">
        <v>3444</v>
      </c>
      <c r="B1397" t="s">
        <v>5</v>
      </c>
      <c r="C1397" s="1">
        <v>45377</v>
      </c>
      <c r="D1397" s="1" t="str">
        <f t="shared" si="21"/>
        <v>Dairy</v>
      </c>
      <c r="E1397" t="s">
        <v>20</v>
      </c>
      <c r="F1397" s="2">
        <v>5</v>
      </c>
      <c r="G1397" s="3">
        <v>27</v>
      </c>
      <c r="H1397" s="3">
        <f>grocery_chain_data[[#This Row],[Quantity]]*grocery_chain_data[[#This Row],[Unit Price]]</f>
        <v>135</v>
      </c>
      <c r="I1397" s="3">
        <v>0</v>
      </c>
      <c r="J1397" s="3">
        <f>grocery_chain_data[[#This Row],[Total Amount]]-grocery_chain_data[[#This Row],[Discount Amount]]</f>
        <v>135</v>
      </c>
      <c r="K1397">
        <v>494</v>
      </c>
      <c r="L1397" t="str">
        <f>IF(grocery_chain_data[[#This Row],[Final Amount]]&lt;0,"Return","Sale")</f>
        <v>Sale</v>
      </c>
      <c r="M1397">
        <f>IF(grocery_chain_data[[#This Row],[Final Amount]]&lt;0,0,grocery_chain_data[[#This Row],[Final Amount]])</f>
        <v>135</v>
      </c>
    </row>
    <row r="1398" spans="1:13" x14ac:dyDescent="0.3">
      <c r="A1398">
        <v>7167</v>
      </c>
      <c r="B1398" t="s">
        <v>10</v>
      </c>
      <c r="C1398" s="1">
        <v>45287</v>
      </c>
      <c r="D1398" s="1" t="str">
        <f t="shared" si="21"/>
        <v>Meat &amp; Seafood</v>
      </c>
      <c r="E1398" t="s">
        <v>26</v>
      </c>
      <c r="F1398" s="2">
        <v>5</v>
      </c>
      <c r="G1398" s="3">
        <v>16</v>
      </c>
      <c r="H1398" s="3">
        <f>grocery_chain_data[[#This Row],[Quantity]]*grocery_chain_data[[#This Row],[Unit Price]]</f>
        <v>80</v>
      </c>
      <c r="I1398" s="3">
        <v>0</v>
      </c>
      <c r="J1398" s="3">
        <f>grocery_chain_data[[#This Row],[Total Amount]]-grocery_chain_data[[#This Row],[Discount Amount]]</f>
        <v>80</v>
      </c>
      <c r="K1398">
        <v>295</v>
      </c>
      <c r="L1398" t="str">
        <f>IF(grocery_chain_data[[#This Row],[Final Amount]]&lt;0,"Return","Sale")</f>
        <v>Sale</v>
      </c>
      <c r="M1398">
        <f>IF(grocery_chain_data[[#This Row],[Final Amount]]&lt;0,0,grocery_chain_data[[#This Row],[Final Amount]])</f>
        <v>80</v>
      </c>
    </row>
    <row r="1399" spans="1:13" x14ac:dyDescent="0.3">
      <c r="A1399">
        <v>9813</v>
      </c>
      <c r="B1399" t="s">
        <v>10</v>
      </c>
      <c r="C1399" s="1">
        <v>45512</v>
      </c>
      <c r="D1399" s="1" t="str">
        <f t="shared" si="21"/>
        <v>Pantry</v>
      </c>
      <c r="E1399" t="s">
        <v>6</v>
      </c>
      <c r="F1399" s="2">
        <v>4</v>
      </c>
      <c r="G1399" s="3">
        <v>8</v>
      </c>
      <c r="H1399" s="3">
        <f>grocery_chain_data[[#This Row],[Quantity]]*grocery_chain_data[[#This Row],[Unit Price]]</f>
        <v>32</v>
      </c>
      <c r="I1399" s="3">
        <v>0</v>
      </c>
      <c r="J1399" s="3">
        <f>grocery_chain_data[[#This Row],[Total Amount]]-grocery_chain_data[[#This Row],[Discount Amount]]</f>
        <v>32</v>
      </c>
      <c r="K1399">
        <v>135</v>
      </c>
      <c r="L1399" t="str">
        <f>IF(grocery_chain_data[[#This Row],[Final Amount]]&lt;0,"Return","Sale")</f>
        <v>Sale</v>
      </c>
      <c r="M1399">
        <f>IF(grocery_chain_data[[#This Row],[Final Amount]]&lt;0,0,grocery_chain_data[[#This Row],[Final Amount]])</f>
        <v>32</v>
      </c>
    </row>
    <row r="1400" spans="1:13" x14ac:dyDescent="0.3">
      <c r="A1400">
        <v>4948</v>
      </c>
      <c r="B1400" t="s">
        <v>0</v>
      </c>
      <c r="C1400" s="1">
        <v>45804</v>
      </c>
      <c r="D1400" s="1" t="str">
        <f t="shared" si="21"/>
        <v>Produce</v>
      </c>
      <c r="E1400" t="s">
        <v>4</v>
      </c>
      <c r="F1400" s="2">
        <v>2</v>
      </c>
      <c r="G1400" s="3">
        <v>20</v>
      </c>
      <c r="H1400" s="3">
        <f>grocery_chain_data[[#This Row],[Quantity]]*grocery_chain_data[[#This Row],[Unit Price]]</f>
        <v>40</v>
      </c>
      <c r="I1400" s="3">
        <v>0</v>
      </c>
      <c r="J1400" s="3">
        <f>grocery_chain_data[[#This Row],[Total Amount]]-grocery_chain_data[[#This Row],[Discount Amount]]</f>
        <v>40</v>
      </c>
      <c r="K1400">
        <v>376</v>
      </c>
      <c r="L1400" t="str">
        <f>IF(grocery_chain_data[[#This Row],[Final Amount]]&lt;0,"Return","Sale")</f>
        <v>Sale</v>
      </c>
      <c r="M1400">
        <f>IF(grocery_chain_data[[#This Row],[Final Amount]]&lt;0,0,grocery_chain_data[[#This Row],[Final Amount]])</f>
        <v>40</v>
      </c>
    </row>
    <row r="1401" spans="1:13" x14ac:dyDescent="0.3">
      <c r="A1401">
        <v>4692</v>
      </c>
      <c r="B1401" t="s">
        <v>0</v>
      </c>
      <c r="C1401" s="1">
        <v>45378</v>
      </c>
      <c r="D1401" s="1" t="str">
        <f t="shared" si="21"/>
        <v>Produce</v>
      </c>
      <c r="E1401" t="s">
        <v>25</v>
      </c>
      <c r="F1401" s="2">
        <v>1</v>
      </c>
      <c r="G1401" s="3">
        <v>7</v>
      </c>
      <c r="H1401" s="3">
        <f>grocery_chain_data[[#This Row],[Quantity]]*grocery_chain_data[[#This Row],[Unit Price]]</f>
        <v>7</v>
      </c>
      <c r="I1401" s="3">
        <v>1</v>
      </c>
      <c r="J1401" s="3">
        <f>grocery_chain_data[[#This Row],[Total Amount]]-grocery_chain_data[[#This Row],[Discount Amount]]</f>
        <v>6</v>
      </c>
      <c r="K1401">
        <v>343</v>
      </c>
      <c r="L1401" t="str">
        <f>IF(grocery_chain_data[[#This Row],[Final Amount]]&lt;0,"Return","Sale")</f>
        <v>Sale</v>
      </c>
      <c r="M1401">
        <f>IF(grocery_chain_data[[#This Row],[Final Amount]]&lt;0,0,grocery_chain_data[[#This Row],[Final Amount]])</f>
        <v>6</v>
      </c>
    </row>
    <row r="1402" spans="1:13" x14ac:dyDescent="0.3">
      <c r="A1402">
        <v>3365</v>
      </c>
      <c r="B1402" t="s">
        <v>8</v>
      </c>
      <c r="C1402" s="1">
        <v>45770</v>
      </c>
      <c r="D1402" s="1" t="str">
        <f t="shared" si="21"/>
        <v>Produce</v>
      </c>
      <c r="E1402" t="s">
        <v>25</v>
      </c>
      <c r="F1402" s="2">
        <v>1</v>
      </c>
      <c r="G1402" s="3">
        <v>11</v>
      </c>
      <c r="H1402" s="3">
        <f>grocery_chain_data[[#This Row],[Quantity]]*grocery_chain_data[[#This Row],[Unit Price]]</f>
        <v>11</v>
      </c>
      <c r="I1402" s="3">
        <v>2</v>
      </c>
      <c r="J1402" s="3">
        <f>grocery_chain_data[[#This Row],[Total Amount]]-grocery_chain_data[[#This Row],[Discount Amount]]</f>
        <v>9</v>
      </c>
      <c r="K1402">
        <v>416</v>
      </c>
      <c r="L1402" t="str">
        <f>IF(grocery_chain_data[[#This Row],[Final Amount]]&lt;0,"Return","Sale")</f>
        <v>Sale</v>
      </c>
      <c r="M1402">
        <f>IF(grocery_chain_data[[#This Row],[Final Amount]]&lt;0,0,grocery_chain_data[[#This Row],[Final Amount]])</f>
        <v>9</v>
      </c>
    </row>
    <row r="1403" spans="1:13" x14ac:dyDescent="0.3">
      <c r="A1403">
        <v>8586</v>
      </c>
      <c r="B1403" t="s">
        <v>10</v>
      </c>
      <c r="C1403" s="1">
        <v>45855</v>
      </c>
      <c r="D1403" s="1" t="str">
        <f t="shared" si="21"/>
        <v>Dairy</v>
      </c>
      <c r="E1403" t="s">
        <v>20</v>
      </c>
      <c r="F1403" s="2">
        <v>5</v>
      </c>
      <c r="G1403" s="3">
        <v>4</v>
      </c>
      <c r="H1403" s="3">
        <f>grocery_chain_data[[#This Row],[Quantity]]*grocery_chain_data[[#This Row],[Unit Price]]</f>
        <v>20</v>
      </c>
      <c r="I1403" s="3">
        <v>3</v>
      </c>
      <c r="J1403" s="3">
        <f>grocery_chain_data[[#This Row],[Total Amount]]-grocery_chain_data[[#This Row],[Discount Amount]]</f>
        <v>17</v>
      </c>
      <c r="K1403">
        <v>66</v>
      </c>
      <c r="L1403" t="str">
        <f>IF(grocery_chain_data[[#This Row],[Final Amount]]&lt;0,"Return","Sale")</f>
        <v>Sale</v>
      </c>
      <c r="M1403">
        <f>IF(grocery_chain_data[[#This Row],[Final Amount]]&lt;0,0,grocery_chain_data[[#This Row],[Final Amount]])</f>
        <v>17</v>
      </c>
    </row>
    <row r="1404" spans="1:13" x14ac:dyDescent="0.3">
      <c r="A1404">
        <v>1944</v>
      </c>
      <c r="B1404" t="s">
        <v>8</v>
      </c>
      <c r="C1404" s="1">
        <v>45581</v>
      </c>
      <c r="D1404" s="1" t="str">
        <f t="shared" si="21"/>
        <v>Produce</v>
      </c>
      <c r="E1404" t="s">
        <v>24</v>
      </c>
      <c r="F1404" s="2">
        <v>2</v>
      </c>
      <c r="G1404" s="3">
        <v>24</v>
      </c>
      <c r="H1404" s="3">
        <f>grocery_chain_data[[#This Row],[Quantity]]*grocery_chain_data[[#This Row],[Unit Price]]</f>
        <v>48</v>
      </c>
      <c r="I1404" s="3">
        <v>7</v>
      </c>
      <c r="J1404" s="3">
        <f>grocery_chain_data[[#This Row],[Total Amount]]-grocery_chain_data[[#This Row],[Discount Amount]]</f>
        <v>41</v>
      </c>
      <c r="K1404">
        <v>96</v>
      </c>
      <c r="L1404" t="str">
        <f>IF(grocery_chain_data[[#This Row],[Final Amount]]&lt;0,"Return","Sale")</f>
        <v>Sale</v>
      </c>
      <c r="M1404">
        <f>IF(grocery_chain_data[[#This Row],[Final Amount]]&lt;0,0,grocery_chain_data[[#This Row],[Final Amount]])</f>
        <v>41</v>
      </c>
    </row>
    <row r="1405" spans="1:13" x14ac:dyDescent="0.3">
      <c r="A1405">
        <v>7761</v>
      </c>
      <c r="B1405" t="s">
        <v>8</v>
      </c>
      <c r="C1405" s="1">
        <v>45468</v>
      </c>
      <c r="D1405" s="1" t="str">
        <f t="shared" si="21"/>
        <v>Produce</v>
      </c>
      <c r="E1405" t="s">
        <v>17</v>
      </c>
      <c r="F1405" s="2">
        <v>5</v>
      </c>
      <c r="G1405" s="3">
        <v>20</v>
      </c>
      <c r="H1405" s="3">
        <f>grocery_chain_data[[#This Row],[Quantity]]*grocery_chain_data[[#This Row],[Unit Price]]</f>
        <v>100</v>
      </c>
      <c r="I1405" s="3">
        <v>4</v>
      </c>
      <c r="J1405" s="3">
        <f>grocery_chain_data[[#This Row],[Total Amount]]-grocery_chain_data[[#This Row],[Discount Amount]]</f>
        <v>96</v>
      </c>
      <c r="K1405">
        <v>75</v>
      </c>
      <c r="L1405" t="str">
        <f>IF(grocery_chain_data[[#This Row],[Final Amount]]&lt;0,"Return","Sale")</f>
        <v>Sale</v>
      </c>
      <c r="M1405">
        <f>IF(grocery_chain_data[[#This Row],[Final Amount]]&lt;0,0,grocery_chain_data[[#This Row],[Final Amount]])</f>
        <v>96</v>
      </c>
    </row>
    <row r="1406" spans="1:13" x14ac:dyDescent="0.3">
      <c r="A1406">
        <v>9683</v>
      </c>
      <c r="B1406" t="s">
        <v>27</v>
      </c>
      <c r="C1406" s="1">
        <v>45249</v>
      </c>
      <c r="D1406" s="1" t="str">
        <f t="shared" si="21"/>
        <v>Meat &amp; Seafood</v>
      </c>
      <c r="E1406" t="s">
        <v>15</v>
      </c>
      <c r="F1406" s="2">
        <v>2</v>
      </c>
      <c r="G1406" s="3">
        <v>9</v>
      </c>
      <c r="H1406" s="3">
        <f>grocery_chain_data[[#This Row],[Quantity]]*grocery_chain_data[[#This Row],[Unit Price]]</f>
        <v>18</v>
      </c>
      <c r="I1406" s="3">
        <v>3</v>
      </c>
      <c r="J1406" s="3">
        <f>grocery_chain_data[[#This Row],[Total Amount]]-grocery_chain_data[[#This Row],[Discount Amount]]</f>
        <v>15</v>
      </c>
      <c r="K1406">
        <v>243</v>
      </c>
      <c r="L1406" t="str">
        <f>IF(grocery_chain_data[[#This Row],[Final Amount]]&lt;0,"Return","Sale")</f>
        <v>Sale</v>
      </c>
      <c r="M1406">
        <f>IF(grocery_chain_data[[#This Row],[Final Amount]]&lt;0,0,grocery_chain_data[[#This Row],[Final Amount]])</f>
        <v>15</v>
      </c>
    </row>
    <row r="1407" spans="1:13" x14ac:dyDescent="0.3">
      <c r="A1407">
        <v>7363</v>
      </c>
      <c r="B1407" t="s">
        <v>12</v>
      </c>
      <c r="C1407" s="1">
        <v>45333</v>
      </c>
      <c r="D1407" s="1" t="str">
        <f t="shared" si="21"/>
        <v>Produce</v>
      </c>
      <c r="E1407" t="s">
        <v>4</v>
      </c>
      <c r="F1407" s="2">
        <v>1</v>
      </c>
      <c r="G1407" s="3">
        <v>11</v>
      </c>
      <c r="H1407" s="3">
        <f>grocery_chain_data[[#This Row],[Quantity]]*grocery_chain_data[[#This Row],[Unit Price]]</f>
        <v>11</v>
      </c>
      <c r="I1407" s="3">
        <v>1</v>
      </c>
      <c r="J1407" s="3">
        <f>grocery_chain_data[[#This Row],[Total Amount]]-grocery_chain_data[[#This Row],[Discount Amount]]</f>
        <v>10</v>
      </c>
      <c r="K1407">
        <v>108</v>
      </c>
      <c r="L1407" t="str">
        <f>IF(grocery_chain_data[[#This Row],[Final Amount]]&lt;0,"Return","Sale")</f>
        <v>Sale</v>
      </c>
      <c r="M1407">
        <f>IF(grocery_chain_data[[#This Row],[Final Amount]]&lt;0,0,grocery_chain_data[[#This Row],[Final Amount]])</f>
        <v>10</v>
      </c>
    </row>
    <row r="1408" spans="1:13" x14ac:dyDescent="0.3">
      <c r="A1408">
        <v>5177</v>
      </c>
      <c r="B1408" t="s">
        <v>2</v>
      </c>
      <c r="C1408" s="1">
        <v>45302</v>
      </c>
      <c r="D1408" s="1" t="str">
        <f t="shared" si="21"/>
        <v>Produce</v>
      </c>
      <c r="E1408" t="s">
        <v>24</v>
      </c>
      <c r="F1408" s="2">
        <v>3</v>
      </c>
      <c r="G1408" s="3">
        <v>3</v>
      </c>
      <c r="H1408" s="3">
        <f>grocery_chain_data[[#This Row],[Quantity]]*grocery_chain_data[[#This Row],[Unit Price]]</f>
        <v>9</v>
      </c>
      <c r="I1408" s="3">
        <v>1</v>
      </c>
      <c r="J1408" s="3">
        <f>grocery_chain_data[[#This Row],[Total Amount]]-grocery_chain_data[[#This Row],[Discount Amount]]</f>
        <v>8</v>
      </c>
      <c r="K1408">
        <v>139</v>
      </c>
      <c r="L1408" t="str">
        <f>IF(grocery_chain_data[[#This Row],[Final Amount]]&lt;0,"Return","Sale")</f>
        <v>Sale</v>
      </c>
      <c r="M1408">
        <f>IF(grocery_chain_data[[#This Row],[Final Amount]]&lt;0,0,grocery_chain_data[[#This Row],[Final Amount]])</f>
        <v>8</v>
      </c>
    </row>
    <row r="1409" spans="1:13" x14ac:dyDescent="0.3">
      <c r="A1409">
        <v>6411</v>
      </c>
      <c r="B1409" t="s">
        <v>27</v>
      </c>
      <c r="C1409" s="1">
        <v>45647</v>
      </c>
      <c r="D1409" s="1" t="str">
        <f t="shared" si="21"/>
        <v>Dairy</v>
      </c>
      <c r="E1409" t="s">
        <v>23</v>
      </c>
      <c r="F1409" s="2">
        <v>3</v>
      </c>
      <c r="G1409" s="3">
        <v>6</v>
      </c>
      <c r="H1409" s="3">
        <f>grocery_chain_data[[#This Row],[Quantity]]*grocery_chain_data[[#This Row],[Unit Price]]</f>
        <v>18</v>
      </c>
      <c r="I1409" s="3">
        <v>3</v>
      </c>
      <c r="J1409" s="3">
        <f>grocery_chain_data[[#This Row],[Total Amount]]-grocery_chain_data[[#This Row],[Discount Amount]]</f>
        <v>15</v>
      </c>
      <c r="K1409">
        <v>90</v>
      </c>
      <c r="L1409" t="str">
        <f>IF(grocery_chain_data[[#This Row],[Final Amount]]&lt;0,"Return","Sale")</f>
        <v>Sale</v>
      </c>
      <c r="M1409">
        <f>IF(grocery_chain_data[[#This Row],[Final Amount]]&lt;0,0,grocery_chain_data[[#This Row],[Final Amount]])</f>
        <v>15</v>
      </c>
    </row>
    <row r="1410" spans="1:13" x14ac:dyDescent="0.3">
      <c r="A1410">
        <v>2295</v>
      </c>
      <c r="B1410" t="s">
        <v>2</v>
      </c>
      <c r="C1410" s="1">
        <v>45861</v>
      </c>
      <c r="D1410" s="1" t="str">
        <f t="shared" ref="D1410:D1473" si="22">IF(E1410="Pasta","Pantry",
IF(E1410="Cheese","Dairy",
IF(E1410="Onions","Produce",
IF(E1410="Cereal","Pantry",
IF(E1410="Orange Juice","Beverages",
IF(E1410="Ground Beef","Meat &amp; Seafood",
IF(E1410="Apples","Produce",
IF(E1410="Milk","Dairy",
IF(E1410="Bananas","Produce",
IF(E1410="Bread","Bakery",
IF(E1410="Carrots","Produce",
IF(E1410="Chicken Breast","Meat &amp; Seafood",
IF(E1410="Eggs","Dairy",
IF(E1410="Potatoes","Produce",
IF(E1410="Rice","Produce",
IF(E1410="Salmon","Meat &amp; Seafood",
IF(E1410="Tomatoes","Produce",
IF(E1410="Yogurt","Dairy",
"Others"))))))))))))))))))</f>
        <v>Meat &amp; Seafood</v>
      </c>
      <c r="E1410" t="s">
        <v>26</v>
      </c>
      <c r="F1410" s="2">
        <v>1</v>
      </c>
      <c r="G1410" s="3">
        <v>20</v>
      </c>
      <c r="H1410" s="3">
        <f>grocery_chain_data[[#This Row],[Quantity]]*grocery_chain_data[[#This Row],[Unit Price]]</f>
        <v>20</v>
      </c>
      <c r="I1410" s="3">
        <v>4</v>
      </c>
      <c r="J1410" s="3">
        <f>grocery_chain_data[[#This Row],[Total Amount]]-grocery_chain_data[[#This Row],[Discount Amount]]</f>
        <v>16</v>
      </c>
      <c r="K1410">
        <v>490</v>
      </c>
      <c r="L1410" t="str">
        <f>IF(grocery_chain_data[[#This Row],[Final Amount]]&lt;0,"Return","Sale")</f>
        <v>Sale</v>
      </c>
      <c r="M1410">
        <f>IF(grocery_chain_data[[#This Row],[Final Amount]]&lt;0,0,grocery_chain_data[[#This Row],[Final Amount]])</f>
        <v>16</v>
      </c>
    </row>
    <row r="1411" spans="1:13" x14ac:dyDescent="0.3">
      <c r="A1411">
        <v>8369</v>
      </c>
      <c r="B1411" t="s">
        <v>27</v>
      </c>
      <c r="C1411" s="1">
        <v>45802</v>
      </c>
      <c r="D1411" s="1" t="str">
        <f t="shared" si="22"/>
        <v>Dairy</v>
      </c>
      <c r="E1411" t="s">
        <v>19</v>
      </c>
      <c r="F1411" s="2">
        <v>5</v>
      </c>
      <c r="G1411" s="3">
        <v>9</v>
      </c>
      <c r="H1411" s="3">
        <f>grocery_chain_data[[#This Row],[Quantity]]*grocery_chain_data[[#This Row],[Unit Price]]</f>
        <v>45</v>
      </c>
      <c r="I1411" s="3">
        <v>7</v>
      </c>
      <c r="J1411" s="3">
        <f>grocery_chain_data[[#This Row],[Total Amount]]-grocery_chain_data[[#This Row],[Discount Amount]]</f>
        <v>38</v>
      </c>
      <c r="K1411">
        <v>33</v>
      </c>
      <c r="L1411" t="str">
        <f>IF(grocery_chain_data[[#This Row],[Final Amount]]&lt;0,"Return","Sale")</f>
        <v>Sale</v>
      </c>
      <c r="M1411">
        <f>IF(grocery_chain_data[[#This Row],[Final Amount]]&lt;0,0,grocery_chain_data[[#This Row],[Final Amount]])</f>
        <v>38</v>
      </c>
    </row>
    <row r="1412" spans="1:13" x14ac:dyDescent="0.3">
      <c r="A1412">
        <v>7079</v>
      </c>
      <c r="B1412" t="s">
        <v>21</v>
      </c>
      <c r="C1412" s="1">
        <v>45216</v>
      </c>
      <c r="D1412" s="1" t="str">
        <f t="shared" si="22"/>
        <v>Produce</v>
      </c>
      <c r="E1412" t="s">
        <v>14</v>
      </c>
      <c r="F1412" s="2">
        <v>4</v>
      </c>
      <c r="G1412" s="3">
        <v>12</v>
      </c>
      <c r="H1412" s="3">
        <f>grocery_chain_data[[#This Row],[Quantity]]*grocery_chain_data[[#This Row],[Unit Price]]</f>
        <v>48</v>
      </c>
      <c r="I1412" s="3">
        <v>5</v>
      </c>
      <c r="J1412" s="3">
        <f>grocery_chain_data[[#This Row],[Total Amount]]-grocery_chain_data[[#This Row],[Discount Amount]]</f>
        <v>43</v>
      </c>
      <c r="K1412">
        <v>112</v>
      </c>
      <c r="L1412" t="str">
        <f>IF(grocery_chain_data[[#This Row],[Final Amount]]&lt;0,"Return","Sale")</f>
        <v>Sale</v>
      </c>
      <c r="M1412">
        <f>IF(grocery_chain_data[[#This Row],[Final Amount]]&lt;0,0,grocery_chain_data[[#This Row],[Final Amount]])</f>
        <v>43</v>
      </c>
    </row>
    <row r="1413" spans="1:13" x14ac:dyDescent="0.3">
      <c r="A1413">
        <v>9775</v>
      </c>
      <c r="B1413" t="s">
        <v>21</v>
      </c>
      <c r="C1413" s="1">
        <v>45707</v>
      </c>
      <c r="D1413" s="1" t="str">
        <f t="shared" si="22"/>
        <v>Dairy</v>
      </c>
      <c r="E1413" t="s">
        <v>23</v>
      </c>
      <c r="F1413" s="2">
        <v>3</v>
      </c>
      <c r="G1413" s="3">
        <v>19</v>
      </c>
      <c r="H1413" s="3">
        <f>grocery_chain_data[[#This Row],[Quantity]]*grocery_chain_data[[#This Row],[Unit Price]]</f>
        <v>57</v>
      </c>
      <c r="I1413" s="3">
        <v>0</v>
      </c>
      <c r="J1413" s="3">
        <f>grocery_chain_data[[#This Row],[Total Amount]]-grocery_chain_data[[#This Row],[Discount Amount]]</f>
        <v>57</v>
      </c>
      <c r="K1413">
        <v>361</v>
      </c>
      <c r="L1413" t="str">
        <f>IF(grocery_chain_data[[#This Row],[Final Amount]]&lt;0,"Return","Sale")</f>
        <v>Sale</v>
      </c>
      <c r="M1413">
        <f>IF(grocery_chain_data[[#This Row],[Final Amount]]&lt;0,0,grocery_chain_data[[#This Row],[Final Amount]])</f>
        <v>57</v>
      </c>
    </row>
    <row r="1414" spans="1:13" x14ac:dyDescent="0.3">
      <c r="A1414">
        <v>4120</v>
      </c>
      <c r="B1414" t="s">
        <v>13</v>
      </c>
      <c r="C1414" s="1">
        <v>45185</v>
      </c>
      <c r="D1414" s="1" t="str">
        <f t="shared" si="22"/>
        <v>Produce</v>
      </c>
      <c r="E1414" t="s">
        <v>11</v>
      </c>
      <c r="F1414" s="2">
        <v>5</v>
      </c>
      <c r="G1414" s="3">
        <v>27</v>
      </c>
      <c r="H1414" s="3">
        <f>grocery_chain_data[[#This Row],[Quantity]]*grocery_chain_data[[#This Row],[Unit Price]]</f>
        <v>135</v>
      </c>
      <c r="I1414" s="3">
        <v>0</v>
      </c>
      <c r="J1414" s="3">
        <f>grocery_chain_data[[#This Row],[Total Amount]]-grocery_chain_data[[#This Row],[Discount Amount]]</f>
        <v>135</v>
      </c>
      <c r="K1414">
        <v>318</v>
      </c>
      <c r="L1414" t="str">
        <f>IF(grocery_chain_data[[#This Row],[Final Amount]]&lt;0,"Return","Sale")</f>
        <v>Sale</v>
      </c>
      <c r="M1414">
        <f>IF(grocery_chain_data[[#This Row],[Final Amount]]&lt;0,0,grocery_chain_data[[#This Row],[Final Amount]])</f>
        <v>135</v>
      </c>
    </row>
    <row r="1415" spans="1:13" x14ac:dyDescent="0.3">
      <c r="A1415">
        <v>5398</v>
      </c>
      <c r="B1415" t="s">
        <v>12</v>
      </c>
      <c r="C1415" s="1">
        <v>45437</v>
      </c>
      <c r="D1415" s="1" t="str">
        <f t="shared" si="22"/>
        <v>Produce</v>
      </c>
      <c r="E1415" t="s">
        <v>11</v>
      </c>
      <c r="F1415" s="2">
        <v>3</v>
      </c>
      <c r="G1415" s="3">
        <v>21</v>
      </c>
      <c r="H1415" s="3">
        <f>grocery_chain_data[[#This Row],[Quantity]]*grocery_chain_data[[#This Row],[Unit Price]]</f>
        <v>63</v>
      </c>
      <c r="I1415" s="3">
        <v>9</v>
      </c>
      <c r="J1415" s="3">
        <f>grocery_chain_data[[#This Row],[Total Amount]]-grocery_chain_data[[#This Row],[Discount Amount]]</f>
        <v>54</v>
      </c>
      <c r="K1415">
        <v>85</v>
      </c>
      <c r="L1415" t="str">
        <f>IF(grocery_chain_data[[#This Row],[Final Amount]]&lt;0,"Return","Sale")</f>
        <v>Sale</v>
      </c>
      <c r="M1415">
        <f>IF(grocery_chain_data[[#This Row],[Final Amount]]&lt;0,0,grocery_chain_data[[#This Row],[Final Amount]])</f>
        <v>54</v>
      </c>
    </row>
    <row r="1416" spans="1:13" x14ac:dyDescent="0.3">
      <c r="A1416">
        <v>1647</v>
      </c>
      <c r="B1416" t="s">
        <v>10</v>
      </c>
      <c r="C1416" s="1">
        <v>45823</v>
      </c>
      <c r="D1416" s="1" t="str">
        <f t="shared" si="22"/>
        <v>Produce</v>
      </c>
      <c r="E1416" t="s">
        <v>18</v>
      </c>
      <c r="F1416" s="2">
        <v>4</v>
      </c>
      <c r="G1416" s="3">
        <v>13</v>
      </c>
      <c r="H1416" s="3">
        <f>grocery_chain_data[[#This Row],[Quantity]]*grocery_chain_data[[#This Row],[Unit Price]]</f>
        <v>52</v>
      </c>
      <c r="I1416" s="3">
        <v>8</v>
      </c>
      <c r="J1416" s="3">
        <f>grocery_chain_data[[#This Row],[Total Amount]]-grocery_chain_data[[#This Row],[Discount Amount]]</f>
        <v>44</v>
      </c>
      <c r="K1416">
        <v>10</v>
      </c>
      <c r="L1416" t="str">
        <f>IF(grocery_chain_data[[#This Row],[Final Amount]]&lt;0,"Return","Sale")</f>
        <v>Sale</v>
      </c>
      <c r="M1416">
        <f>IF(grocery_chain_data[[#This Row],[Final Amount]]&lt;0,0,grocery_chain_data[[#This Row],[Final Amount]])</f>
        <v>44</v>
      </c>
    </row>
    <row r="1417" spans="1:13" x14ac:dyDescent="0.3">
      <c r="A1417">
        <v>2192</v>
      </c>
      <c r="B1417" t="s">
        <v>0</v>
      </c>
      <c r="C1417" s="1">
        <v>45291</v>
      </c>
      <c r="D1417" s="1" t="str">
        <f t="shared" si="22"/>
        <v>Produce</v>
      </c>
      <c r="E1417" t="s">
        <v>18</v>
      </c>
      <c r="F1417" s="2">
        <v>5</v>
      </c>
      <c r="G1417" s="3">
        <v>11</v>
      </c>
      <c r="H1417" s="3">
        <f>grocery_chain_data[[#This Row],[Quantity]]*grocery_chain_data[[#This Row],[Unit Price]]</f>
        <v>55</v>
      </c>
      <c r="I1417" s="3">
        <v>6</v>
      </c>
      <c r="J1417" s="3">
        <f>grocery_chain_data[[#This Row],[Total Amount]]-grocery_chain_data[[#This Row],[Discount Amount]]</f>
        <v>49</v>
      </c>
      <c r="K1417">
        <v>242</v>
      </c>
      <c r="L1417" t="str">
        <f>IF(grocery_chain_data[[#This Row],[Final Amount]]&lt;0,"Return","Sale")</f>
        <v>Sale</v>
      </c>
      <c r="M1417">
        <f>IF(grocery_chain_data[[#This Row],[Final Amount]]&lt;0,0,grocery_chain_data[[#This Row],[Final Amount]])</f>
        <v>49</v>
      </c>
    </row>
    <row r="1418" spans="1:13" x14ac:dyDescent="0.3">
      <c r="A1418">
        <v>4555</v>
      </c>
      <c r="B1418" t="s">
        <v>21</v>
      </c>
      <c r="C1418" s="1">
        <v>45517</v>
      </c>
      <c r="D1418" s="1" t="str">
        <f t="shared" si="22"/>
        <v>Meat &amp; Seafood</v>
      </c>
      <c r="E1418" t="s">
        <v>26</v>
      </c>
      <c r="F1418" s="2">
        <v>1</v>
      </c>
      <c r="G1418" s="3">
        <v>25</v>
      </c>
      <c r="H1418" s="3">
        <f>grocery_chain_data[[#This Row],[Quantity]]*grocery_chain_data[[#This Row],[Unit Price]]</f>
        <v>25</v>
      </c>
      <c r="I1418" s="3">
        <v>5</v>
      </c>
      <c r="J1418" s="3">
        <f>grocery_chain_data[[#This Row],[Total Amount]]-grocery_chain_data[[#This Row],[Discount Amount]]</f>
        <v>20</v>
      </c>
      <c r="K1418">
        <v>290</v>
      </c>
      <c r="L1418" t="str">
        <f>IF(grocery_chain_data[[#This Row],[Final Amount]]&lt;0,"Return","Sale")</f>
        <v>Sale</v>
      </c>
      <c r="M1418">
        <f>IF(grocery_chain_data[[#This Row],[Final Amount]]&lt;0,0,grocery_chain_data[[#This Row],[Final Amount]])</f>
        <v>20</v>
      </c>
    </row>
    <row r="1419" spans="1:13" x14ac:dyDescent="0.3">
      <c r="A1419">
        <v>4422</v>
      </c>
      <c r="B1419" t="s">
        <v>2</v>
      </c>
      <c r="C1419" s="1">
        <v>45820</v>
      </c>
      <c r="D1419" s="1" t="str">
        <f t="shared" si="22"/>
        <v>Produce</v>
      </c>
      <c r="E1419" t="s">
        <v>11</v>
      </c>
      <c r="F1419" s="2">
        <v>2</v>
      </c>
      <c r="G1419" s="3">
        <v>23</v>
      </c>
      <c r="H1419" s="3">
        <f>grocery_chain_data[[#This Row],[Quantity]]*grocery_chain_data[[#This Row],[Unit Price]]</f>
        <v>46</v>
      </c>
      <c r="I1419" s="3">
        <v>0</v>
      </c>
      <c r="J1419" s="3">
        <f>grocery_chain_data[[#This Row],[Total Amount]]-grocery_chain_data[[#This Row],[Discount Amount]]</f>
        <v>46</v>
      </c>
      <c r="K1419">
        <v>51</v>
      </c>
      <c r="L1419" t="str">
        <f>IF(grocery_chain_data[[#This Row],[Final Amount]]&lt;0,"Return","Sale")</f>
        <v>Sale</v>
      </c>
      <c r="M1419">
        <f>IF(grocery_chain_data[[#This Row],[Final Amount]]&lt;0,0,grocery_chain_data[[#This Row],[Final Amount]])</f>
        <v>46</v>
      </c>
    </row>
    <row r="1420" spans="1:13" x14ac:dyDescent="0.3">
      <c r="A1420">
        <v>6455</v>
      </c>
      <c r="B1420" t="s">
        <v>16</v>
      </c>
      <c r="C1420" s="1">
        <v>45380</v>
      </c>
      <c r="D1420" s="1" t="str">
        <f t="shared" si="22"/>
        <v>Produce</v>
      </c>
      <c r="E1420" t="s">
        <v>25</v>
      </c>
      <c r="F1420" s="2">
        <v>3</v>
      </c>
      <c r="G1420" s="3">
        <v>30</v>
      </c>
      <c r="H1420" s="3">
        <f>grocery_chain_data[[#This Row],[Quantity]]*grocery_chain_data[[#This Row],[Unit Price]]</f>
        <v>90</v>
      </c>
      <c r="I1420" s="3">
        <v>13</v>
      </c>
      <c r="J1420" s="3">
        <f>grocery_chain_data[[#This Row],[Total Amount]]-grocery_chain_data[[#This Row],[Discount Amount]]</f>
        <v>77</v>
      </c>
      <c r="K1420">
        <v>131</v>
      </c>
      <c r="L1420" t="str">
        <f>IF(grocery_chain_data[[#This Row],[Final Amount]]&lt;0,"Return","Sale")</f>
        <v>Sale</v>
      </c>
      <c r="M1420">
        <f>IF(grocery_chain_data[[#This Row],[Final Amount]]&lt;0,0,grocery_chain_data[[#This Row],[Final Amount]])</f>
        <v>77</v>
      </c>
    </row>
    <row r="1421" spans="1:13" x14ac:dyDescent="0.3">
      <c r="A1421">
        <v>1251</v>
      </c>
      <c r="B1421" t="s">
        <v>16</v>
      </c>
      <c r="C1421" s="1">
        <v>45309</v>
      </c>
      <c r="D1421" s="1" t="str">
        <f t="shared" si="22"/>
        <v>Produce</v>
      </c>
      <c r="E1421" t="s">
        <v>18</v>
      </c>
      <c r="F1421" s="2">
        <v>3</v>
      </c>
      <c r="G1421" s="3">
        <v>10</v>
      </c>
      <c r="H1421" s="3">
        <f>grocery_chain_data[[#This Row],[Quantity]]*grocery_chain_data[[#This Row],[Unit Price]]</f>
        <v>30</v>
      </c>
      <c r="I1421" s="3">
        <v>2</v>
      </c>
      <c r="J1421" s="3">
        <f>grocery_chain_data[[#This Row],[Total Amount]]-grocery_chain_data[[#This Row],[Discount Amount]]</f>
        <v>28</v>
      </c>
      <c r="K1421">
        <v>170</v>
      </c>
      <c r="L1421" t="str">
        <f>IF(grocery_chain_data[[#This Row],[Final Amount]]&lt;0,"Return","Sale")</f>
        <v>Sale</v>
      </c>
      <c r="M1421">
        <f>IF(grocery_chain_data[[#This Row],[Final Amount]]&lt;0,0,grocery_chain_data[[#This Row],[Final Amount]])</f>
        <v>28</v>
      </c>
    </row>
    <row r="1422" spans="1:13" x14ac:dyDescent="0.3">
      <c r="A1422">
        <v>4113</v>
      </c>
      <c r="B1422" t="s">
        <v>2</v>
      </c>
      <c r="C1422" s="1">
        <v>45720</v>
      </c>
      <c r="D1422" s="1" t="str">
        <f t="shared" si="22"/>
        <v>Produce</v>
      </c>
      <c r="E1422" t="s">
        <v>18</v>
      </c>
      <c r="F1422" s="2">
        <v>2</v>
      </c>
      <c r="G1422" s="3">
        <v>29</v>
      </c>
      <c r="H1422" s="3">
        <f>grocery_chain_data[[#This Row],[Quantity]]*grocery_chain_data[[#This Row],[Unit Price]]</f>
        <v>58</v>
      </c>
      <c r="I1422" s="3">
        <v>0</v>
      </c>
      <c r="J1422" s="3">
        <f>grocery_chain_data[[#This Row],[Total Amount]]-grocery_chain_data[[#This Row],[Discount Amount]]</f>
        <v>58</v>
      </c>
      <c r="K1422">
        <v>438</v>
      </c>
      <c r="L1422" t="str">
        <f>IF(grocery_chain_data[[#This Row],[Final Amount]]&lt;0,"Return","Sale")</f>
        <v>Sale</v>
      </c>
      <c r="M1422">
        <f>IF(grocery_chain_data[[#This Row],[Final Amount]]&lt;0,0,grocery_chain_data[[#This Row],[Final Amount]])</f>
        <v>58</v>
      </c>
    </row>
    <row r="1423" spans="1:13" x14ac:dyDescent="0.3">
      <c r="A1423">
        <v>2922</v>
      </c>
      <c r="B1423" t="s">
        <v>5</v>
      </c>
      <c r="C1423" s="1">
        <v>45725</v>
      </c>
      <c r="D1423" s="1" t="str">
        <f t="shared" si="22"/>
        <v>Produce</v>
      </c>
      <c r="E1423" t="s">
        <v>25</v>
      </c>
      <c r="F1423" s="2">
        <v>1</v>
      </c>
      <c r="G1423" s="3">
        <v>8</v>
      </c>
      <c r="H1423" s="3">
        <f>grocery_chain_data[[#This Row],[Quantity]]*grocery_chain_data[[#This Row],[Unit Price]]</f>
        <v>8</v>
      </c>
      <c r="I1423" s="3">
        <v>1</v>
      </c>
      <c r="J1423" s="3">
        <f>grocery_chain_data[[#This Row],[Total Amount]]-grocery_chain_data[[#This Row],[Discount Amount]]</f>
        <v>7</v>
      </c>
      <c r="K1423">
        <v>379</v>
      </c>
      <c r="L1423" t="str">
        <f>IF(grocery_chain_data[[#This Row],[Final Amount]]&lt;0,"Return","Sale")</f>
        <v>Sale</v>
      </c>
      <c r="M1423">
        <f>IF(grocery_chain_data[[#This Row],[Final Amount]]&lt;0,0,grocery_chain_data[[#This Row],[Final Amount]])</f>
        <v>7</v>
      </c>
    </row>
    <row r="1424" spans="1:13" x14ac:dyDescent="0.3">
      <c r="A1424">
        <v>8846</v>
      </c>
      <c r="B1424" t="s">
        <v>21</v>
      </c>
      <c r="C1424" s="1">
        <v>45855</v>
      </c>
      <c r="D1424" s="1" t="str">
        <f t="shared" si="22"/>
        <v>Dairy</v>
      </c>
      <c r="E1424" t="s">
        <v>23</v>
      </c>
      <c r="F1424" s="2">
        <v>4</v>
      </c>
      <c r="G1424" s="3">
        <v>20</v>
      </c>
      <c r="H1424" s="3">
        <f>grocery_chain_data[[#This Row],[Quantity]]*grocery_chain_data[[#This Row],[Unit Price]]</f>
        <v>80</v>
      </c>
      <c r="I1424" s="3">
        <v>0</v>
      </c>
      <c r="J1424" s="3">
        <f>grocery_chain_data[[#This Row],[Total Amount]]-grocery_chain_data[[#This Row],[Discount Amount]]</f>
        <v>80</v>
      </c>
      <c r="K1424">
        <v>494</v>
      </c>
      <c r="L1424" t="str">
        <f>IF(grocery_chain_data[[#This Row],[Final Amount]]&lt;0,"Return","Sale")</f>
        <v>Sale</v>
      </c>
      <c r="M1424">
        <f>IF(grocery_chain_data[[#This Row],[Final Amount]]&lt;0,0,grocery_chain_data[[#This Row],[Final Amount]])</f>
        <v>80</v>
      </c>
    </row>
    <row r="1425" spans="1:13" x14ac:dyDescent="0.3">
      <c r="A1425">
        <v>4974</v>
      </c>
      <c r="B1425" t="s">
        <v>2</v>
      </c>
      <c r="C1425" s="1">
        <v>45685</v>
      </c>
      <c r="D1425" s="1" t="str">
        <f t="shared" si="22"/>
        <v>Produce</v>
      </c>
      <c r="E1425" t="s">
        <v>24</v>
      </c>
      <c r="F1425" s="2">
        <v>2</v>
      </c>
      <c r="G1425" s="3">
        <v>9</v>
      </c>
      <c r="H1425" s="3">
        <f>grocery_chain_data[[#This Row],[Quantity]]*grocery_chain_data[[#This Row],[Unit Price]]</f>
        <v>18</v>
      </c>
      <c r="I1425" s="3">
        <v>3</v>
      </c>
      <c r="J1425" s="3">
        <f>grocery_chain_data[[#This Row],[Total Amount]]-grocery_chain_data[[#This Row],[Discount Amount]]</f>
        <v>15</v>
      </c>
      <c r="K1425">
        <v>347</v>
      </c>
      <c r="L1425" t="str">
        <f>IF(grocery_chain_data[[#This Row],[Final Amount]]&lt;0,"Return","Sale")</f>
        <v>Sale</v>
      </c>
      <c r="M1425">
        <f>IF(grocery_chain_data[[#This Row],[Final Amount]]&lt;0,0,grocery_chain_data[[#This Row],[Final Amount]])</f>
        <v>15</v>
      </c>
    </row>
    <row r="1426" spans="1:13" x14ac:dyDescent="0.3">
      <c r="A1426">
        <v>4350</v>
      </c>
      <c r="B1426" t="s">
        <v>8</v>
      </c>
      <c r="C1426" s="1">
        <v>45453</v>
      </c>
      <c r="D1426" s="1" t="str">
        <f t="shared" si="22"/>
        <v>Dairy</v>
      </c>
      <c r="E1426" t="s">
        <v>3</v>
      </c>
      <c r="F1426" s="2">
        <v>3</v>
      </c>
      <c r="G1426" s="3">
        <v>10</v>
      </c>
      <c r="H1426" s="3">
        <f>grocery_chain_data[[#This Row],[Quantity]]*grocery_chain_data[[#This Row],[Unit Price]]</f>
        <v>30</v>
      </c>
      <c r="I1426" s="3">
        <v>1</v>
      </c>
      <c r="J1426" s="3">
        <f>grocery_chain_data[[#This Row],[Total Amount]]-grocery_chain_data[[#This Row],[Discount Amount]]</f>
        <v>29</v>
      </c>
      <c r="K1426">
        <v>21</v>
      </c>
      <c r="L1426" t="str">
        <f>IF(grocery_chain_data[[#This Row],[Final Amount]]&lt;0,"Return","Sale")</f>
        <v>Sale</v>
      </c>
      <c r="M1426">
        <f>IF(grocery_chain_data[[#This Row],[Final Amount]]&lt;0,0,grocery_chain_data[[#This Row],[Final Amount]])</f>
        <v>29</v>
      </c>
    </row>
    <row r="1427" spans="1:13" x14ac:dyDescent="0.3">
      <c r="A1427">
        <v>4921</v>
      </c>
      <c r="B1427" t="s">
        <v>10</v>
      </c>
      <c r="C1427" s="1">
        <v>45573</v>
      </c>
      <c r="D1427" s="1" t="str">
        <f t="shared" si="22"/>
        <v>Beverages</v>
      </c>
      <c r="E1427" t="s">
        <v>7</v>
      </c>
      <c r="F1427" s="2">
        <v>3</v>
      </c>
      <c r="G1427" s="3">
        <v>4</v>
      </c>
      <c r="H1427" s="3">
        <f>grocery_chain_data[[#This Row],[Quantity]]*grocery_chain_data[[#This Row],[Unit Price]]</f>
        <v>12</v>
      </c>
      <c r="I1427" s="3">
        <v>0</v>
      </c>
      <c r="J1427" s="3">
        <f>grocery_chain_data[[#This Row],[Total Amount]]-grocery_chain_data[[#This Row],[Discount Amount]]</f>
        <v>12</v>
      </c>
      <c r="K1427">
        <v>4</v>
      </c>
      <c r="L1427" t="str">
        <f>IF(grocery_chain_data[[#This Row],[Final Amount]]&lt;0,"Return","Sale")</f>
        <v>Sale</v>
      </c>
      <c r="M1427">
        <f>IF(grocery_chain_data[[#This Row],[Final Amount]]&lt;0,0,grocery_chain_data[[#This Row],[Final Amount]])</f>
        <v>12</v>
      </c>
    </row>
    <row r="1428" spans="1:13" x14ac:dyDescent="0.3">
      <c r="A1428">
        <v>6269</v>
      </c>
      <c r="B1428" t="s">
        <v>5</v>
      </c>
      <c r="C1428" s="1">
        <v>45747</v>
      </c>
      <c r="D1428" s="1" t="str">
        <f t="shared" si="22"/>
        <v>Dairy</v>
      </c>
      <c r="E1428" t="s">
        <v>20</v>
      </c>
      <c r="F1428" s="2">
        <v>5</v>
      </c>
      <c r="G1428" s="3">
        <v>29</v>
      </c>
      <c r="H1428" s="3">
        <f>grocery_chain_data[[#This Row],[Quantity]]*grocery_chain_data[[#This Row],[Unit Price]]</f>
        <v>145</v>
      </c>
      <c r="I1428" s="3">
        <v>22</v>
      </c>
      <c r="J1428" s="3">
        <f>grocery_chain_data[[#This Row],[Total Amount]]-grocery_chain_data[[#This Row],[Discount Amount]]</f>
        <v>123</v>
      </c>
      <c r="K1428">
        <v>319</v>
      </c>
      <c r="L1428" t="str">
        <f>IF(grocery_chain_data[[#This Row],[Final Amount]]&lt;0,"Return","Sale")</f>
        <v>Sale</v>
      </c>
      <c r="M1428">
        <f>IF(grocery_chain_data[[#This Row],[Final Amount]]&lt;0,0,grocery_chain_data[[#This Row],[Final Amount]])</f>
        <v>123</v>
      </c>
    </row>
    <row r="1429" spans="1:13" x14ac:dyDescent="0.3">
      <c r="A1429">
        <v>5637</v>
      </c>
      <c r="B1429" t="s">
        <v>10</v>
      </c>
      <c r="C1429" s="1">
        <v>45440</v>
      </c>
      <c r="D1429" s="1" t="str">
        <f t="shared" si="22"/>
        <v>Bakery</v>
      </c>
      <c r="E1429" t="s">
        <v>22</v>
      </c>
      <c r="F1429" s="2">
        <v>3</v>
      </c>
      <c r="G1429" s="3">
        <v>1</v>
      </c>
      <c r="H1429" s="3">
        <f>grocery_chain_data[[#This Row],[Quantity]]*grocery_chain_data[[#This Row],[Unit Price]]</f>
        <v>3</v>
      </c>
      <c r="I1429" s="3">
        <v>1</v>
      </c>
      <c r="J1429" s="3">
        <f>grocery_chain_data[[#This Row],[Total Amount]]-grocery_chain_data[[#This Row],[Discount Amount]]</f>
        <v>2</v>
      </c>
      <c r="K1429">
        <v>20</v>
      </c>
      <c r="L1429" t="str">
        <f>IF(grocery_chain_data[[#This Row],[Final Amount]]&lt;0,"Return","Sale")</f>
        <v>Sale</v>
      </c>
      <c r="M1429">
        <f>IF(grocery_chain_data[[#This Row],[Final Amount]]&lt;0,0,grocery_chain_data[[#This Row],[Final Amount]])</f>
        <v>2</v>
      </c>
    </row>
    <row r="1430" spans="1:13" x14ac:dyDescent="0.3">
      <c r="A1430">
        <v>8639</v>
      </c>
      <c r="B1430" t="s">
        <v>0</v>
      </c>
      <c r="C1430" s="1">
        <v>45559</v>
      </c>
      <c r="D1430" s="1" t="str">
        <f t="shared" si="22"/>
        <v>Produce</v>
      </c>
      <c r="E1430" t="s">
        <v>25</v>
      </c>
      <c r="F1430" s="2">
        <v>3</v>
      </c>
      <c r="G1430" s="3">
        <v>1</v>
      </c>
      <c r="H1430" s="3">
        <f>grocery_chain_data[[#This Row],[Quantity]]*grocery_chain_data[[#This Row],[Unit Price]]</f>
        <v>3</v>
      </c>
      <c r="I1430" s="3">
        <v>2</v>
      </c>
      <c r="J1430" s="3">
        <f>grocery_chain_data[[#This Row],[Total Amount]]-grocery_chain_data[[#This Row],[Discount Amount]]</f>
        <v>1</v>
      </c>
      <c r="K1430">
        <v>180</v>
      </c>
      <c r="L1430" t="str">
        <f>IF(grocery_chain_data[[#This Row],[Final Amount]]&lt;0,"Return","Sale")</f>
        <v>Sale</v>
      </c>
      <c r="M1430">
        <f>IF(grocery_chain_data[[#This Row],[Final Amount]]&lt;0,0,grocery_chain_data[[#This Row],[Final Amount]])</f>
        <v>1</v>
      </c>
    </row>
    <row r="1431" spans="1:13" x14ac:dyDescent="0.3">
      <c r="A1431">
        <v>6886</v>
      </c>
      <c r="B1431" t="s">
        <v>16</v>
      </c>
      <c r="C1431" s="1">
        <v>45384</v>
      </c>
      <c r="D1431" s="1" t="str">
        <f t="shared" si="22"/>
        <v>Produce</v>
      </c>
      <c r="E1431" t="s">
        <v>24</v>
      </c>
      <c r="F1431" s="2">
        <v>5</v>
      </c>
      <c r="G1431" s="3">
        <v>5</v>
      </c>
      <c r="H1431" s="3">
        <f>grocery_chain_data[[#This Row],[Quantity]]*grocery_chain_data[[#This Row],[Unit Price]]</f>
        <v>25</v>
      </c>
      <c r="I1431" s="3">
        <v>5</v>
      </c>
      <c r="J1431" s="3">
        <f>grocery_chain_data[[#This Row],[Total Amount]]-grocery_chain_data[[#This Row],[Discount Amount]]</f>
        <v>20</v>
      </c>
      <c r="K1431">
        <v>44</v>
      </c>
      <c r="L1431" t="str">
        <f>IF(grocery_chain_data[[#This Row],[Final Amount]]&lt;0,"Return","Sale")</f>
        <v>Sale</v>
      </c>
      <c r="M1431">
        <f>IF(grocery_chain_data[[#This Row],[Final Amount]]&lt;0,0,grocery_chain_data[[#This Row],[Final Amount]])</f>
        <v>20</v>
      </c>
    </row>
    <row r="1432" spans="1:13" x14ac:dyDescent="0.3">
      <c r="A1432">
        <v>5285</v>
      </c>
      <c r="B1432" t="s">
        <v>21</v>
      </c>
      <c r="C1432" s="1">
        <v>45424</v>
      </c>
      <c r="D1432" s="1" t="str">
        <f t="shared" si="22"/>
        <v>Bakery</v>
      </c>
      <c r="E1432" t="s">
        <v>22</v>
      </c>
      <c r="F1432" s="2">
        <v>3</v>
      </c>
      <c r="G1432" s="3">
        <v>7</v>
      </c>
      <c r="H1432" s="3">
        <f>grocery_chain_data[[#This Row],[Quantity]]*grocery_chain_data[[#This Row],[Unit Price]]</f>
        <v>21</v>
      </c>
      <c r="I1432" s="3">
        <v>4</v>
      </c>
      <c r="J1432" s="3">
        <f>grocery_chain_data[[#This Row],[Total Amount]]-grocery_chain_data[[#This Row],[Discount Amount]]</f>
        <v>17</v>
      </c>
      <c r="K1432">
        <v>242</v>
      </c>
      <c r="L1432" t="str">
        <f>IF(grocery_chain_data[[#This Row],[Final Amount]]&lt;0,"Return","Sale")</f>
        <v>Sale</v>
      </c>
      <c r="M1432">
        <f>IF(grocery_chain_data[[#This Row],[Final Amount]]&lt;0,0,grocery_chain_data[[#This Row],[Final Amount]])</f>
        <v>17</v>
      </c>
    </row>
    <row r="1433" spans="1:13" x14ac:dyDescent="0.3">
      <c r="A1433">
        <v>9401</v>
      </c>
      <c r="B1433" t="s">
        <v>8</v>
      </c>
      <c r="C1433" s="1">
        <v>45830</v>
      </c>
      <c r="D1433" s="1" t="str">
        <f t="shared" si="22"/>
        <v>Produce</v>
      </c>
      <c r="E1433" t="s">
        <v>14</v>
      </c>
      <c r="F1433" s="2">
        <v>1</v>
      </c>
      <c r="G1433" s="3">
        <v>27</v>
      </c>
      <c r="H1433" s="3">
        <f>grocery_chain_data[[#This Row],[Quantity]]*grocery_chain_data[[#This Row],[Unit Price]]</f>
        <v>27</v>
      </c>
      <c r="I1433" s="3">
        <v>2</v>
      </c>
      <c r="J1433" s="3">
        <f>grocery_chain_data[[#This Row],[Total Amount]]-grocery_chain_data[[#This Row],[Discount Amount]]</f>
        <v>25</v>
      </c>
      <c r="K1433">
        <v>471</v>
      </c>
      <c r="L1433" t="str">
        <f>IF(grocery_chain_data[[#This Row],[Final Amount]]&lt;0,"Return","Sale")</f>
        <v>Sale</v>
      </c>
      <c r="M1433">
        <f>IF(grocery_chain_data[[#This Row],[Final Amount]]&lt;0,0,grocery_chain_data[[#This Row],[Final Amount]])</f>
        <v>25</v>
      </c>
    </row>
    <row r="1434" spans="1:13" x14ac:dyDescent="0.3">
      <c r="A1434">
        <v>9147</v>
      </c>
      <c r="B1434" t="s">
        <v>8</v>
      </c>
      <c r="C1434" s="1">
        <v>45506</v>
      </c>
      <c r="D1434" s="1" t="str">
        <f t="shared" si="22"/>
        <v>Pantry</v>
      </c>
      <c r="E1434" t="s">
        <v>6</v>
      </c>
      <c r="F1434" s="2">
        <v>5</v>
      </c>
      <c r="G1434" s="3">
        <v>5</v>
      </c>
      <c r="H1434" s="3">
        <f>grocery_chain_data[[#This Row],[Quantity]]*grocery_chain_data[[#This Row],[Unit Price]]</f>
        <v>25</v>
      </c>
      <c r="I1434" s="3">
        <v>4</v>
      </c>
      <c r="J1434" s="3">
        <f>grocery_chain_data[[#This Row],[Total Amount]]-grocery_chain_data[[#This Row],[Discount Amount]]</f>
        <v>21</v>
      </c>
      <c r="K1434">
        <v>393</v>
      </c>
      <c r="L1434" t="str">
        <f>IF(grocery_chain_data[[#This Row],[Final Amount]]&lt;0,"Return","Sale")</f>
        <v>Sale</v>
      </c>
      <c r="M1434">
        <f>IF(grocery_chain_data[[#This Row],[Final Amount]]&lt;0,0,grocery_chain_data[[#This Row],[Final Amount]])</f>
        <v>21</v>
      </c>
    </row>
    <row r="1435" spans="1:13" x14ac:dyDescent="0.3">
      <c r="A1435">
        <v>2615</v>
      </c>
      <c r="B1435" t="s">
        <v>5</v>
      </c>
      <c r="C1435" s="1">
        <v>45768</v>
      </c>
      <c r="D1435" s="1" t="str">
        <f t="shared" si="22"/>
        <v>Produce</v>
      </c>
      <c r="E1435" t="s">
        <v>4</v>
      </c>
      <c r="F1435" s="2">
        <v>2</v>
      </c>
      <c r="G1435" s="3">
        <v>10</v>
      </c>
      <c r="H1435" s="3">
        <f>grocery_chain_data[[#This Row],[Quantity]]*grocery_chain_data[[#This Row],[Unit Price]]</f>
        <v>20</v>
      </c>
      <c r="I1435" s="3">
        <v>5</v>
      </c>
      <c r="J1435" s="3">
        <f>grocery_chain_data[[#This Row],[Total Amount]]-grocery_chain_data[[#This Row],[Discount Amount]]</f>
        <v>15</v>
      </c>
      <c r="K1435">
        <v>43</v>
      </c>
      <c r="L1435" t="str">
        <f>IF(grocery_chain_data[[#This Row],[Final Amount]]&lt;0,"Return","Sale")</f>
        <v>Sale</v>
      </c>
      <c r="M1435">
        <f>IF(grocery_chain_data[[#This Row],[Final Amount]]&lt;0,0,grocery_chain_data[[#This Row],[Final Amount]])</f>
        <v>15</v>
      </c>
    </row>
    <row r="1436" spans="1:13" x14ac:dyDescent="0.3">
      <c r="A1436">
        <v>8692</v>
      </c>
      <c r="B1436" t="s">
        <v>10</v>
      </c>
      <c r="C1436" s="1">
        <v>45736</v>
      </c>
      <c r="D1436" s="1" t="str">
        <f t="shared" si="22"/>
        <v>Produce</v>
      </c>
      <c r="E1436" t="s">
        <v>11</v>
      </c>
      <c r="F1436" s="2">
        <v>4</v>
      </c>
      <c r="G1436" s="3">
        <v>24</v>
      </c>
      <c r="H1436" s="3">
        <f>grocery_chain_data[[#This Row],[Quantity]]*grocery_chain_data[[#This Row],[Unit Price]]</f>
        <v>96</v>
      </c>
      <c r="I1436" s="3">
        <v>2</v>
      </c>
      <c r="J1436" s="3">
        <f>grocery_chain_data[[#This Row],[Total Amount]]-grocery_chain_data[[#This Row],[Discount Amount]]</f>
        <v>94</v>
      </c>
      <c r="K1436">
        <v>426</v>
      </c>
      <c r="L1436" t="str">
        <f>IF(grocery_chain_data[[#This Row],[Final Amount]]&lt;0,"Return","Sale")</f>
        <v>Sale</v>
      </c>
      <c r="M1436">
        <f>IF(grocery_chain_data[[#This Row],[Final Amount]]&lt;0,0,grocery_chain_data[[#This Row],[Final Amount]])</f>
        <v>94</v>
      </c>
    </row>
    <row r="1437" spans="1:13" x14ac:dyDescent="0.3">
      <c r="A1437">
        <v>6246</v>
      </c>
      <c r="B1437" t="s">
        <v>10</v>
      </c>
      <c r="C1437" s="1">
        <v>45855</v>
      </c>
      <c r="D1437" s="1" t="str">
        <f t="shared" si="22"/>
        <v>Produce</v>
      </c>
      <c r="E1437" t="s">
        <v>24</v>
      </c>
      <c r="F1437" s="2">
        <v>3</v>
      </c>
      <c r="G1437" s="3">
        <v>15</v>
      </c>
      <c r="H1437" s="3">
        <f>grocery_chain_data[[#This Row],[Quantity]]*grocery_chain_data[[#This Row],[Unit Price]]</f>
        <v>45</v>
      </c>
      <c r="I1437" s="3">
        <v>4</v>
      </c>
      <c r="J1437" s="3">
        <f>grocery_chain_data[[#This Row],[Total Amount]]-grocery_chain_data[[#This Row],[Discount Amount]]</f>
        <v>41</v>
      </c>
      <c r="K1437">
        <v>218</v>
      </c>
      <c r="L1437" t="str">
        <f>IF(grocery_chain_data[[#This Row],[Final Amount]]&lt;0,"Return","Sale")</f>
        <v>Sale</v>
      </c>
      <c r="M1437">
        <f>IF(grocery_chain_data[[#This Row],[Final Amount]]&lt;0,0,grocery_chain_data[[#This Row],[Final Amount]])</f>
        <v>41</v>
      </c>
    </row>
    <row r="1438" spans="1:13" x14ac:dyDescent="0.3">
      <c r="A1438">
        <v>4328</v>
      </c>
      <c r="B1438" t="s">
        <v>8</v>
      </c>
      <c r="C1438" s="1">
        <v>45432</v>
      </c>
      <c r="D1438" s="1" t="str">
        <f t="shared" si="22"/>
        <v>Produce</v>
      </c>
      <c r="E1438" t="s">
        <v>18</v>
      </c>
      <c r="F1438" s="2">
        <v>5</v>
      </c>
      <c r="G1438" s="3">
        <v>2</v>
      </c>
      <c r="H1438" s="3">
        <f>grocery_chain_data[[#This Row],[Quantity]]*grocery_chain_data[[#This Row],[Unit Price]]</f>
        <v>10</v>
      </c>
      <c r="I1438" s="3">
        <v>4</v>
      </c>
      <c r="J1438" s="3">
        <f>grocery_chain_data[[#This Row],[Total Amount]]-grocery_chain_data[[#This Row],[Discount Amount]]</f>
        <v>6</v>
      </c>
      <c r="K1438">
        <v>392</v>
      </c>
      <c r="L1438" t="str">
        <f>IF(grocery_chain_data[[#This Row],[Final Amount]]&lt;0,"Return","Sale")</f>
        <v>Sale</v>
      </c>
      <c r="M1438">
        <f>IF(grocery_chain_data[[#This Row],[Final Amount]]&lt;0,0,grocery_chain_data[[#This Row],[Final Amount]])</f>
        <v>6</v>
      </c>
    </row>
    <row r="1439" spans="1:13" x14ac:dyDescent="0.3">
      <c r="A1439">
        <v>6126</v>
      </c>
      <c r="B1439" t="s">
        <v>12</v>
      </c>
      <c r="C1439" s="1">
        <v>45466</v>
      </c>
      <c r="D1439" s="1" t="str">
        <f t="shared" si="22"/>
        <v>Produce</v>
      </c>
      <c r="E1439" t="s">
        <v>24</v>
      </c>
      <c r="F1439" s="2">
        <v>3</v>
      </c>
      <c r="G1439" s="3">
        <v>5</v>
      </c>
      <c r="H1439" s="3">
        <f>grocery_chain_data[[#This Row],[Quantity]]*grocery_chain_data[[#This Row],[Unit Price]]</f>
        <v>15</v>
      </c>
      <c r="I1439" s="3">
        <v>4</v>
      </c>
      <c r="J1439" s="3">
        <f>grocery_chain_data[[#This Row],[Total Amount]]-grocery_chain_data[[#This Row],[Discount Amount]]</f>
        <v>11</v>
      </c>
      <c r="K1439">
        <v>278</v>
      </c>
      <c r="L1439" t="str">
        <f>IF(grocery_chain_data[[#This Row],[Final Amount]]&lt;0,"Return","Sale")</f>
        <v>Sale</v>
      </c>
      <c r="M1439">
        <f>IF(grocery_chain_data[[#This Row],[Final Amount]]&lt;0,0,grocery_chain_data[[#This Row],[Final Amount]])</f>
        <v>11</v>
      </c>
    </row>
    <row r="1440" spans="1:13" x14ac:dyDescent="0.3">
      <c r="A1440">
        <v>1749</v>
      </c>
      <c r="B1440" t="s">
        <v>8</v>
      </c>
      <c r="C1440" s="1">
        <v>45581</v>
      </c>
      <c r="D1440" s="1" t="str">
        <f t="shared" si="22"/>
        <v>Produce</v>
      </c>
      <c r="E1440" t="s">
        <v>14</v>
      </c>
      <c r="F1440" s="2">
        <v>1</v>
      </c>
      <c r="G1440" s="3">
        <v>14</v>
      </c>
      <c r="H1440" s="3">
        <f>grocery_chain_data[[#This Row],[Quantity]]*grocery_chain_data[[#This Row],[Unit Price]]</f>
        <v>14</v>
      </c>
      <c r="I1440" s="3">
        <v>1</v>
      </c>
      <c r="J1440" s="3">
        <f>grocery_chain_data[[#This Row],[Total Amount]]-grocery_chain_data[[#This Row],[Discount Amount]]</f>
        <v>13</v>
      </c>
      <c r="K1440">
        <v>390</v>
      </c>
      <c r="L1440" t="str">
        <f>IF(grocery_chain_data[[#This Row],[Final Amount]]&lt;0,"Return","Sale")</f>
        <v>Sale</v>
      </c>
      <c r="M1440">
        <f>IF(grocery_chain_data[[#This Row],[Final Amount]]&lt;0,0,grocery_chain_data[[#This Row],[Final Amount]])</f>
        <v>13</v>
      </c>
    </row>
    <row r="1441" spans="1:13" x14ac:dyDescent="0.3">
      <c r="A1441">
        <v>4625</v>
      </c>
      <c r="B1441" t="s">
        <v>12</v>
      </c>
      <c r="C1441" s="1">
        <v>45720</v>
      </c>
      <c r="D1441" s="1" t="str">
        <f t="shared" si="22"/>
        <v>Meat &amp; Seafood</v>
      </c>
      <c r="E1441" t="s">
        <v>26</v>
      </c>
      <c r="F1441" s="2">
        <v>3</v>
      </c>
      <c r="G1441" s="3">
        <v>18</v>
      </c>
      <c r="H1441" s="3">
        <f>grocery_chain_data[[#This Row],[Quantity]]*grocery_chain_data[[#This Row],[Unit Price]]</f>
        <v>54</v>
      </c>
      <c r="I1441" s="3">
        <v>3</v>
      </c>
      <c r="J1441" s="3">
        <f>grocery_chain_data[[#This Row],[Total Amount]]-grocery_chain_data[[#This Row],[Discount Amount]]</f>
        <v>51</v>
      </c>
      <c r="K1441">
        <v>420</v>
      </c>
      <c r="L1441" t="str">
        <f>IF(grocery_chain_data[[#This Row],[Final Amount]]&lt;0,"Return","Sale")</f>
        <v>Sale</v>
      </c>
      <c r="M1441">
        <f>IF(grocery_chain_data[[#This Row],[Final Amount]]&lt;0,0,grocery_chain_data[[#This Row],[Final Amount]])</f>
        <v>51</v>
      </c>
    </row>
    <row r="1442" spans="1:13" x14ac:dyDescent="0.3">
      <c r="A1442">
        <v>3390</v>
      </c>
      <c r="B1442" t="s">
        <v>16</v>
      </c>
      <c r="C1442" s="1">
        <v>45157</v>
      </c>
      <c r="D1442" s="1" t="str">
        <f t="shared" si="22"/>
        <v>Meat &amp; Seafood</v>
      </c>
      <c r="E1442" t="s">
        <v>26</v>
      </c>
      <c r="F1442" s="2">
        <v>5</v>
      </c>
      <c r="G1442" s="3">
        <v>21</v>
      </c>
      <c r="H1442" s="3">
        <f>grocery_chain_data[[#This Row],[Quantity]]*grocery_chain_data[[#This Row],[Unit Price]]</f>
        <v>105</v>
      </c>
      <c r="I1442" s="3">
        <v>0</v>
      </c>
      <c r="J1442" s="3">
        <f>grocery_chain_data[[#This Row],[Total Amount]]-grocery_chain_data[[#This Row],[Discount Amount]]</f>
        <v>105</v>
      </c>
      <c r="K1442">
        <v>378</v>
      </c>
      <c r="L1442" t="str">
        <f>IF(grocery_chain_data[[#This Row],[Final Amount]]&lt;0,"Return","Sale")</f>
        <v>Sale</v>
      </c>
      <c r="M1442">
        <f>IF(grocery_chain_data[[#This Row],[Final Amount]]&lt;0,0,grocery_chain_data[[#This Row],[Final Amount]])</f>
        <v>105</v>
      </c>
    </row>
    <row r="1443" spans="1:13" x14ac:dyDescent="0.3">
      <c r="A1443">
        <v>5272</v>
      </c>
      <c r="B1443" t="s">
        <v>21</v>
      </c>
      <c r="C1443" s="1">
        <v>45574</v>
      </c>
      <c r="D1443" s="1" t="str">
        <f t="shared" si="22"/>
        <v>Dairy</v>
      </c>
      <c r="E1443" t="s">
        <v>20</v>
      </c>
      <c r="F1443" s="2">
        <v>5</v>
      </c>
      <c r="G1443" s="3">
        <v>22</v>
      </c>
      <c r="H1443" s="3">
        <f>grocery_chain_data[[#This Row],[Quantity]]*grocery_chain_data[[#This Row],[Unit Price]]</f>
        <v>110</v>
      </c>
      <c r="I1443" s="3">
        <v>22</v>
      </c>
      <c r="J1443" s="3">
        <f>grocery_chain_data[[#This Row],[Total Amount]]-grocery_chain_data[[#This Row],[Discount Amount]]</f>
        <v>88</v>
      </c>
      <c r="K1443">
        <v>253</v>
      </c>
      <c r="L1443" t="str">
        <f>IF(grocery_chain_data[[#This Row],[Final Amount]]&lt;0,"Return","Sale")</f>
        <v>Sale</v>
      </c>
      <c r="M1443">
        <f>IF(grocery_chain_data[[#This Row],[Final Amount]]&lt;0,0,grocery_chain_data[[#This Row],[Final Amount]])</f>
        <v>88</v>
      </c>
    </row>
    <row r="1444" spans="1:13" x14ac:dyDescent="0.3">
      <c r="A1444">
        <v>7841</v>
      </c>
      <c r="B1444" t="s">
        <v>5</v>
      </c>
      <c r="C1444" s="1">
        <v>45374</v>
      </c>
      <c r="D1444" s="1" t="str">
        <f t="shared" si="22"/>
        <v>Produce</v>
      </c>
      <c r="E1444" t="s">
        <v>17</v>
      </c>
      <c r="F1444" s="2">
        <v>1</v>
      </c>
      <c r="G1444" s="3">
        <v>24</v>
      </c>
      <c r="H1444" s="3">
        <f>grocery_chain_data[[#This Row],[Quantity]]*grocery_chain_data[[#This Row],[Unit Price]]</f>
        <v>24</v>
      </c>
      <c r="I1444" s="3">
        <v>1</v>
      </c>
      <c r="J1444" s="3">
        <f>grocery_chain_data[[#This Row],[Total Amount]]-grocery_chain_data[[#This Row],[Discount Amount]]</f>
        <v>23</v>
      </c>
      <c r="K1444">
        <v>319</v>
      </c>
      <c r="L1444" t="str">
        <f>IF(grocery_chain_data[[#This Row],[Final Amount]]&lt;0,"Return","Sale")</f>
        <v>Sale</v>
      </c>
      <c r="M1444">
        <f>IF(grocery_chain_data[[#This Row],[Final Amount]]&lt;0,0,grocery_chain_data[[#This Row],[Final Amount]])</f>
        <v>23</v>
      </c>
    </row>
    <row r="1445" spans="1:13" x14ac:dyDescent="0.3">
      <c r="A1445">
        <v>3497</v>
      </c>
      <c r="B1445" t="s">
        <v>5</v>
      </c>
      <c r="C1445" s="1">
        <v>45297</v>
      </c>
      <c r="D1445" s="1" t="str">
        <f t="shared" si="22"/>
        <v>Meat &amp; Seafood</v>
      </c>
      <c r="E1445" t="s">
        <v>26</v>
      </c>
      <c r="F1445" s="2">
        <v>5</v>
      </c>
      <c r="G1445" s="3">
        <v>4</v>
      </c>
      <c r="H1445" s="3">
        <f>grocery_chain_data[[#This Row],[Quantity]]*grocery_chain_data[[#This Row],[Unit Price]]</f>
        <v>20</v>
      </c>
      <c r="I1445" s="3">
        <v>2</v>
      </c>
      <c r="J1445" s="3">
        <f>grocery_chain_data[[#This Row],[Total Amount]]-grocery_chain_data[[#This Row],[Discount Amount]]</f>
        <v>18</v>
      </c>
      <c r="K1445">
        <v>104</v>
      </c>
      <c r="L1445" t="str">
        <f>IF(grocery_chain_data[[#This Row],[Final Amount]]&lt;0,"Return","Sale")</f>
        <v>Sale</v>
      </c>
      <c r="M1445">
        <f>IF(grocery_chain_data[[#This Row],[Final Amount]]&lt;0,0,grocery_chain_data[[#This Row],[Final Amount]])</f>
        <v>18</v>
      </c>
    </row>
    <row r="1446" spans="1:13" x14ac:dyDescent="0.3">
      <c r="A1446">
        <v>6404</v>
      </c>
      <c r="B1446" t="s">
        <v>13</v>
      </c>
      <c r="C1446" s="1">
        <v>45323</v>
      </c>
      <c r="D1446" s="1" t="str">
        <f t="shared" si="22"/>
        <v>Meat &amp; Seafood</v>
      </c>
      <c r="E1446" t="s">
        <v>15</v>
      </c>
      <c r="F1446" s="2">
        <v>4</v>
      </c>
      <c r="G1446" s="3">
        <v>3</v>
      </c>
      <c r="H1446" s="3">
        <f>grocery_chain_data[[#This Row],[Quantity]]*grocery_chain_data[[#This Row],[Unit Price]]</f>
        <v>12</v>
      </c>
      <c r="I1446" s="3">
        <v>1</v>
      </c>
      <c r="J1446" s="3">
        <f>grocery_chain_data[[#This Row],[Total Amount]]-grocery_chain_data[[#This Row],[Discount Amount]]</f>
        <v>11</v>
      </c>
      <c r="K1446">
        <v>62</v>
      </c>
      <c r="L1446" t="str">
        <f>IF(grocery_chain_data[[#This Row],[Final Amount]]&lt;0,"Return","Sale")</f>
        <v>Sale</v>
      </c>
      <c r="M1446">
        <f>IF(grocery_chain_data[[#This Row],[Final Amount]]&lt;0,0,grocery_chain_data[[#This Row],[Final Amount]])</f>
        <v>11</v>
      </c>
    </row>
    <row r="1447" spans="1:13" x14ac:dyDescent="0.3">
      <c r="A1447">
        <v>7223</v>
      </c>
      <c r="B1447" t="s">
        <v>10</v>
      </c>
      <c r="C1447" s="1">
        <v>45587</v>
      </c>
      <c r="D1447" s="1" t="str">
        <f t="shared" si="22"/>
        <v>Meat &amp; Seafood</v>
      </c>
      <c r="E1447" t="s">
        <v>9</v>
      </c>
      <c r="F1447" s="2">
        <v>5</v>
      </c>
      <c r="G1447" s="3">
        <v>9</v>
      </c>
      <c r="H1447" s="3">
        <f>grocery_chain_data[[#This Row],[Quantity]]*grocery_chain_data[[#This Row],[Unit Price]]</f>
        <v>45</v>
      </c>
      <c r="I1447" s="3">
        <v>0</v>
      </c>
      <c r="J1447" s="3">
        <f>grocery_chain_data[[#This Row],[Total Amount]]-grocery_chain_data[[#This Row],[Discount Amount]]</f>
        <v>45</v>
      </c>
      <c r="K1447">
        <v>313</v>
      </c>
      <c r="L1447" t="str">
        <f>IF(grocery_chain_data[[#This Row],[Final Amount]]&lt;0,"Return","Sale")</f>
        <v>Sale</v>
      </c>
      <c r="M1447">
        <f>IF(grocery_chain_data[[#This Row],[Final Amount]]&lt;0,0,grocery_chain_data[[#This Row],[Final Amount]])</f>
        <v>45</v>
      </c>
    </row>
    <row r="1448" spans="1:13" x14ac:dyDescent="0.3">
      <c r="A1448">
        <v>5026</v>
      </c>
      <c r="B1448" t="s">
        <v>0</v>
      </c>
      <c r="C1448" s="1">
        <v>45532</v>
      </c>
      <c r="D1448" s="1" t="str">
        <f t="shared" si="22"/>
        <v>Dairy</v>
      </c>
      <c r="E1448" t="s">
        <v>20</v>
      </c>
      <c r="F1448" s="2">
        <v>1</v>
      </c>
      <c r="G1448" s="3">
        <v>6</v>
      </c>
      <c r="H1448" s="3">
        <f>grocery_chain_data[[#This Row],[Quantity]]*grocery_chain_data[[#This Row],[Unit Price]]</f>
        <v>6</v>
      </c>
      <c r="I1448" s="3">
        <v>1</v>
      </c>
      <c r="J1448" s="3">
        <f>grocery_chain_data[[#This Row],[Total Amount]]-grocery_chain_data[[#This Row],[Discount Amount]]</f>
        <v>5</v>
      </c>
      <c r="K1448">
        <v>419</v>
      </c>
      <c r="L1448" t="str">
        <f>IF(grocery_chain_data[[#This Row],[Final Amount]]&lt;0,"Return","Sale")</f>
        <v>Sale</v>
      </c>
      <c r="M1448">
        <f>IF(grocery_chain_data[[#This Row],[Final Amount]]&lt;0,0,grocery_chain_data[[#This Row],[Final Amount]])</f>
        <v>5</v>
      </c>
    </row>
    <row r="1449" spans="1:13" x14ac:dyDescent="0.3">
      <c r="A1449">
        <v>6530</v>
      </c>
      <c r="B1449" t="s">
        <v>2</v>
      </c>
      <c r="C1449" s="1">
        <v>45344</v>
      </c>
      <c r="D1449" s="1" t="str">
        <f t="shared" si="22"/>
        <v>Dairy</v>
      </c>
      <c r="E1449" t="s">
        <v>23</v>
      </c>
      <c r="F1449" s="2">
        <v>4</v>
      </c>
      <c r="G1449" s="3">
        <v>15</v>
      </c>
      <c r="H1449" s="3">
        <f>grocery_chain_data[[#This Row],[Quantity]]*grocery_chain_data[[#This Row],[Unit Price]]</f>
        <v>60</v>
      </c>
      <c r="I1449" s="3">
        <v>3</v>
      </c>
      <c r="J1449" s="3">
        <f>grocery_chain_data[[#This Row],[Total Amount]]-grocery_chain_data[[#This Row],[Discount Amount]]</f>
        <v>57</v>
      </c>
      <c r="K1449">
        <v>148</v>
      </c>
      <c r="L1449" t="str">
        <f>IF(grocery_chain_data[[#This Row],[Final Amount]]&lt;0,"Return","Sale")</f>
        <v>Sale</v>
      </c>
      <c r="M1449">
        <f>IF(grocery_chain_data[[#This Row],[Final Amount]]&lt;0,0,grocery_chain_data[[#This Row],[Final Amount]])</f>
        <v>57</v>
      </c>
    </row>
    <row r="1450" spans="1:13" x14ac:dyDescent="0.3">
      <c r="A1450">
        <v>9005</v>
      </c>
      <c r="B1450" t="s">
        <v>12</v>
      </c>
      <c r="C1450" s="1">
        <v>45707</v>
      </c>
      <c r="D1450" s="1" t="str">
        <f t="shared" si="22"/>
        <v>Produce</v>
      </c>
      <c r="E1450" t="s">
        <v>14</v>
      </c>
      <c r="F1450" s="2">
        <v>1</v>
      </c>
      <c r="G1450" s="3">
        <v>14</v>
      </c>
      <c r="H1450" s="3">
        <f>grocery_chain_data[[#This Row],[Quantity]]*grocery_chain_data[[#This Row],[Unit Price]]</f>
        <v>14</v>
      </c>
      <c r="I1450" s="3">
        <v>3</v>
      </c>
      <c r="J1450" s="3">
        <f>grocery_chain_data[[#This Row],[Total Amount]]-grocery_chain_data[[#This Row],[Discount Amount]]</f>
        <v>11</v>
      </c>
      <c r="K1450">
        <v>416</v>
      </c>
      <c r="L1450" t="str">
        <f>IF(grocery_chain_data[[#This Row],[Final Amount]]&lt;0,"Return","Sale")</f>
        <v>Sale</v>
      </c>
      <c r="M1450">
        <f>IF(grocery_chain_data[[#This Row],[Final Amount]]&lt;0,0,grocery_chain_data[[#This Row],[Final Amount]])</f>
        <v>11</v>
      </c>
    </row>
    <row r="1451" spans="1:13" x14ac:dyDescent="0.3">
      <c r="A1451">
        <v>9037</v>
      </c>
      <c r="B1451" t="s">
        <v>13</v>
      </c>
      <c r="C1451" s="1">
        <v>45502</v>
      </c>
      <c r="D1451" s="1" t="str">
        <f t="shared" si="22"/>
        <v>Meat &amp; Seafood</v>
      </c>
      <c r="E1451" t="s">
        <v>15</v>
      </c>
      <c r="F1451" s="2">
        <v>1</v>
      </c>
      <c r="G1451" s="3">
        <v>17</v>
      </c>
      <c r="H1451" s="3">
        <f>grocery_chain_data[[#This Row],[Quantity]]*grocery_chain_data[[#This Row],[Unit Price]]</f>
        <v>17</v>
      </c>
      <c r="I1451" s="3">
        <v>4</v>
      </c>
      <c r="J1451" s="3">
        <f>grocery_chain_data[[#This Row],[Total Amount]]-grocery_chain_data[[#This Row],[Discount Amount]]</f>
        <v>13</v>
      </c>
      <c r="K1451">
        <v>5</v>
      </c>
      <c r="L1451" t="str">
        <f>IF(grocery_chain_data[[#This Row],[Final Amount]]&lt;0,"Return","Sale")</f>
        <v>Sale</v>
      </c>
      <c r="M1451">
        <f>IF(grocery_chain_data[[#This Row],[Final Amount]]&lt;0,0,grocery_chain_data[[#This Row],[Final Amount]])</f>
        <v>13</v>
      </c>
    </row>
    <row r="1452" spans="1:13" x14ac:dyDescent="0.3">
      <c r="A1452">
        <v>3756</v>
      </c>
      <c r="B1452" t="s">
        <v>10</v>
      </c>
      <c r="C1452" s="1">
        <v>45714</v>
      </c>
      <c r="D1452" s="1" t="str">
        <f t="shared" si="22"/>
        <v>Beverages</v>
      </c>
      <c r="E1452" t="s">
        <v>7</v>
      </c>
      <c r="F1452" s="2">
        <v>2</v>
      </c>
      <c r="G1452" s="3">
        <v>15</v>
      </c>
      <c r="H1452" s="3">
        <f>grocery_chain_data[[#This Row],[Quantity]]*grocery_chain_data[[#This Row],[Unit Price]]</f>
        <v>30</v>
      </c>
      <c r="I1452" s="3">
        <v>4</v>
      </c>
      <c r="J1452" s="3">
        <f>grocery_chain_data[[#This Row],[Total Amount]]-grocery_chain_data[[#This Row],[Discount Amount]]</f>
        <v>26</v>
      </c>
      <c r="K1452">
        <v>370</v>
      </c>
      <c r="L1452" t="str">
        <f>IF(grocery_chain_data[[#This Row],[Final Amount]]&lt;0,"Return","Sale")</f>
        <v>Sale</v>
      </c>
      <c r="M1452">
        <f>IF(grocery_chain_data[[#This Row],[Final Amount]]&lt;0,0,grocery_chain_data[[#This Row],[Final Amount]])</f>
        <v>26</v>
      </c>
    </row>
    <row r="1453" spans="1:13" x14ac:dyDescent="0.3">
      <c r="A1453">
        <v>6770</v>
      </c>
      <c r="B1453" t="s">
        <v>13</v>
      </c>
      <c r="C1453" s="1">
        <v>45276</v>
      </c>
      <c r="D1453" s="1" t="str">
        <f t="shared" si="22"/>
        <v>Beverages</v>
      </c>
      <c r="E1453" t="s">
        <v>7</v>
      </c>
      <c r="F1453" s="2">
        <v>5</v>
      </c>
      <c r="G1453" s="3">
        <v>26</v>
      </c>
      <c r="H1453" s="3">
        <f>grocery_chain_data[[#This Row],[Quantity]]*grocery_chain_data[[#This Row],[Unit Price]]</f>
        <v>130</v>
      </c>
      <c r="I1453" s="3">
        <v>19</v>
      </c>
      <c r="J1453" s="3">
        <f>grocery_chain_data[[#This Row],[Total Amount]]-grocery_chain_data[[#This Row],[Discount Amount]]</f>
        <v>111</v>
      </c>
      <c r="K1453">
        <v>257</v>
      </c>
      <c r="L1453" t="str">
        <f>IF(grocery_chain_data[[#This Row],[Final Amount]]&lt;0,"Return","Sale")</f>
        <v>Sale</v>
      </c>
      <c r="M1453">
        <f>IF(grocery_chain_data[[#This Row],[Final Amount]]&lt;0,0,grocery_chain_data[[#This Row],[Final Amount]])</f>
        <v>111</v>
      </c>
    </row>
    <row r="1454" spans="1:13" x14ac:dyDescent="0.3">
      <c r="A1454">
        <v>3293</v>
      </c>
      <c r="B1454" t="s">
        <v>2</v>
      </c>
      <c r="C1454" s="1">
        <v>45704</v>
      </c>
      <c r="D1454" s="1" t="str">
        <f t="shared" si="22"/>
        <v>Produce</v>
      </c>
      <c r="E1454" t="s">
        <v>24</v>
      </c>
      <c r="F1454" s="2">
        <v>1</v>
      </c>
      <c r="G1454" s="3">
        <v>6</v>
      </c>
      <c r="H1454" s="3">
        <f>grocery_chain_data[[#This Row],[Quantity]]*grocery_chain_data[[#This Row],[Unit Price]]</f>
        <v>6</v>
      </c>
      <c r="I1454" s="3">
        <v>0</v>
      </c>
      <c r="J1454" s="3">
        <f>grocery_chain_data[[#This Row],[Total Amount]]-grocery_chain_data[[#This Row],[Discount Amount]]</f>
        <v>6</v>
      </c>
      <c r="K1454">
        <v>77</v>
      </c>
      <c r="L1454" t="str">
        <f>IF(grocery_chain_data[[#This Row],[Final Amount]]&lt;0,"Return","Sale")</f>
        <v>Sale</v>
      </c>
      <c r="M1454">
        <f>IF(grocery_chain_data[[#This Row],[Final Amount]]&lt;0,0,grocery_chain_data[[#This Row],[Final Amount]])</f>
        <v>6</v>
      </c>
    </row>
    <row r="1455" spans="1:13" x14ac:dyDescent="0.3">
      <c r="A1455">
        <v>9954</v>
      </c>
      <c r="B1455" t="s">
        <v>16</v>
      </c>
      <c r="C1455" s="1">
        <v>45524</v>
      </c>
      <c r="D1455" s="1" t="str">
        <f t="shared" si="22"/>
        <v>Dairy</v>
      </c>
      <c r="E1455" t="s">
        <v>20</v>
      </c>
      <c r="F1455" s="2">
        <v>3</v>
      </c>
      <c r="G1455" s="3">
        <v>24</v>
      </c>
      <c r="H1455" s="3">
        <f>grocery_chain_data[[#This Row],[Quantity]]*grocery_chain_data[[#This Row],[Unit Price]]</f>
        <v>72</v>
      </c>
      <c r="I1455" s="3">
        <v>7</v>
      </c>
      <c r="J1455" s="3">
        <f>grocery_chain_data[[#This Row],[Total Amount]]-grocery_chain_data[[#This Row],[Discount Amount]]</f>
        <v>65</v>
      </c>
      <c r="K1455">
        <v>337</v>
      </c>
      <c r="L1455" t="str">
        <f>IF(grocery_chain_data[[#This Row],[Final Amount]]&lt;0,"Return","Sale")</f>
        <v>Sale</v>
      </c>
      <c r="M1455">
        <f>IF(grocery_chain_data[[#This Row],[Final Amount]]&lt;0,0,grocery_chain_data[[#This Row],[Final Amount]])</f>
        <v>65</v>
      </c>
    </row>
    <row r="1456" spans="1:13" x14ac:dyDescent="0.3">
      <c r="A1456">
        <v>4015</v>
      </c>
      <c r="B1456" t="s">
        <v>0</v>
      </c>
      <c r="C1456" s="1">
        <v>45857</v>
      </c>
      <c r="D1456" s="1" t="str">
        <f t="shared" si="22"/>
        <v>Produce</v>
      </c>
      <c r="E1456" t="s">
        <v>25</v>
      </c>
      <c r="F1456" s="2">
        <v>4</v>
      </c>
      <c r="G1456" s="3">
        <v>29</v>
      </c>
      <c r="H1456" s="3">
        <f>grocery_chain_data[[#This Row],[Quantity]]*grocery_chain_data[[#This Row],[Unit Price]]</f>
        <v>116</v>
      </c>
      <c r="I1456" s="3">
        <v>4</v>
      </c>
      <c r="J1456" s="3">
        <f>grocery_chain_data[[#This Row],[Total Amount]]-grocery_chain_data[[#This Row],[Discount Amount]]</f>
        <v>112</v>
      </c>
      <c r="K1456">
        <v>310</v>
      </c>
      <c r="L1456" t="str">
        <f>IF(grocery_chain_data[[#This Row],[Final Amount]]&lt;0,"Return","Sale")</f>
        <v>Sale</v>
      </c>
      <c r="M1456">
        <f>IF(grocery_chain_data[[#This Row],[Final Amount]]&lt;0,0,grocery_chain_data[[#This Row],[Final Amount]])</f>
        <v>112</v>
      </c>
    </row>
    <row r="1457" spans="1:13" x14ac:dyDescent="0.3">
      <c r="A1457">
        <v>9882</v>
      </c>
      <c r="B1457" t="s">
        <v>2</v>
      </c>
      <c r="C1457" s="1">
        <v>45643</v>
      </c>
      <c r="D1457" s="1" t="str">
        <f t="shared" si="22"/>
        <v>Produce</v>
      </c>
      <c r="E1457" t="s">
        <v>24</v>
      </c>
      <c r="F1457" s="2">
        <v>3</v>
      </c>
      <c r="G1457" s="3">
        <v>5</v>
      </c>
      <c r="H1457" s="3">
        <f>grocery_chain_data[[#This Row],[Quantity]]*grocery_chain_data[[#This Row],[Unit Price]]</f>
        <v>15</v>
      </c>
      <c r="I1457" s="3">
        <v>3</v>
      </c>
      <c r="J1457" s="3">
        <f>grocery_chain_data[[#This Row],[Total Amount]]-grocery_chain_data[[#This Row],[Discount Amount]]</f>
        <v>12</v>
      </c>
      <c r="K1457">
        <v>165</v>
      </c>
      <c r="L1457" t="str">
        <f>IF(grocery_chain_data[[#This Row],[Final Amount]]&lt;0,"Return","Sale")</f>
        <v>Sale</v>
      </c>
      <c r="M1457">
        <f>IF(grocery_chain_data[[#This Row],[Final Amount]]&lt;0,0,grocery_chain_data[[#This Row],[Final Amount]])</f>
        <v>12</v>
      </c>
    </row>
    <row r="1458" spans="1:13" x14ac:dyDescent="0.3">
      <c r="A1458">
        <v>1962</v>
      </c>
      <c r="B1458" t="s">
        <v>8</v>
      </c>
      <c r="C1458" s="1">
        <v>45551</v>
      </c>
      <c r="D1458" s="1" t="str">
        <f t="shared" si="22"/>
        <v>Dairy</v>
      </c>
      <c r="E1458" t="s">
        <v>19</v>
      </c>
      <c r="F1458" s="2">
        <v>1</v>
      </c>
      <c r="G1458" s="3">
        <v>26</v>
      </c>
      <c r="H1458" s="3">
        <f>grocery_chain_data[[#This Row],[Quantity]]*grocery_chain_data[[#This Row],[Unit Price]]</f>
        <v>26</v>
      </c>
      <c r="I1458" s="3">
        <v>4</v>
      </c>
      <c r="J1458" s="3">
        <f>grocery_chain_data[[#This Row],[Total Amount]]-grocery_chain_data[[#This Row],[Discount Amount]]</f>
        <v>22</v>
      </c>
      <c r="K1458">
        <v>81</v>
      </c>
      <c r="L1458" t="str">
        <f>IF(grocery_chain_data[[#This Row],[Final Amount]]&lt;0,"Return","Sale")</f>
        <v>Sale</v>
      </c>
      <c r="M1458">
        <f>IF(grocery_chain_data[[#This Row],[Final Amount]]&lt;0,0,grocery_chain_data[[#This Row],[Final Amount]])</f>
        <v>22</v>
      </c>
    </row>
    <row r="1459" spans="1:13" x14ac:dyDescent="0.3">
      <c r="A1459">
        <v>1554</v>
      </c>
      <c r="B1459" t="s">
        <v>10</v>
      </c>
      <c r="C1459" s="1">
        <v>45796</v>
      </c>
      <c r="D1459" s="1" t="str">
        <f t="shared" si="22"/>
        <v>Produce</v>
      </c>
      <c r="E1459" t="s">
        <v>25</v>
      </c>
      <c r="F1459" s="2">
        <v>3</v>
      </c>
      <c r="G1459" s="3">
        <v>23</v>
      </c>
      <c r="H1459" s="3">
        <f>grocery_chain_data[[#This Row],[Quantity]]*grocery_chain_data[[#This Row],[Unit Price]]</f>
        <v>69</v>
      </c>
      <c r="I1459" s="3">
        <v>5</v>
      </c>
      <c r="J1459" s="3">
        <f>grocery_chain_data[[#This Row],[Total Amount]]-grocery_chain_data[[#This Row],[Discount Amount]]</f>
        <v>64</v>
      </c>
      <c r="K1459">
        <v>395</v>
      </c>
      <c r="L1459" t="str">
        <f>IF(grocery_chain_data[[#This Row],[Final Amount]]&lt;0,"Return","Sale")</f>
        <v>Sale</v>
      </c>
      <c r="M1459">
        <f>IF(grocery_chain_data[[#This Row],[Final Amount]]&lt;0,0,grocery_chain_data[[#This Row],[Final Amount]])</f>
        <v>64</v>
      </c>
    </row>
    <row r="1460" spans="1:13" x14ac:dyDescent="0.3">
      <c r="A1460">
        <v>2217</v>
      </c>
      <c r="B1460" t="s">
        <v>5</v>
      </c>
      <c r="C1460" s="1">
        <v>45780</v>
      </c>
      <c r="D1460" s="1" t="str">
        <f t="shared" si="22"/>
        <v>Dairy</v>
      </c>
      <c r="E1460" t="s">
        <v>3</v>
      </c>
      <c r="F1460" s="2">
        <v>1</v>
      </c>
      <c r="G1460" s="3">
        <v>3</v>
      </c>
      <c r="H1460" s="3">
        <f>grocery_chain_data[[#This Row],[Quantity]]*grocery_chain_data[[#This Row],[Unit Price]]</f>
        <v>3</v>
      </c>
      <c r="I1460" s="3">
        <v>4</v>
      </c>
      <c r="J1460" s="3">
        <f>grocery_chain_data[[#This Row],[Total Amount]]-grocery_chain_data[[#This Row],[Discount Amount]]</f>
        <v>-1</v>
      </c>
      <c r="K1460">
        <v>128</v>
      </c>
      <c r="L1460" t="str">
        <f>IF(grocery_chain_data[[#This Row],[Final Amount]]&lt;0,"Return","Sale")</f>
        <v>Return</v>
      </c>
      <c r="M1460">
        <f>IF(grocery_chain_data[[#This Row],[Final Amount]]&lt;0,0,grocery_chain_data[[#This Row],[Final Amount]])</f>
        <v>0</v>
      </c>
    </row>
    <row r="1461" spans="1:13" x14ac:dyDescent="0.3">
      <c r="A1461">
        <v>1794</v>
      </c>
      <c r="B1461" t="s">
        <v>27</v>
      </c>
      <c r="C1461" s="1">
        <v>45738</v>
      </c>
      <c r="D1461" s="1" t="str">
        <f t="shared" si="22"/>
        <v>Beverages</v>
      </c>
      <c r="E1461" t="s">
        <v>7</v>
      </c>
      <c r="F1461" s="2">
        <v>5</v>
      </c>
      <c r="G1461" s="3">
        <v>19</v>
      </c>
      <c r="H1461" s="3">
        <f>grocery_chain_data[[#This Row],[Quantity]]*grocery_chain_data[[#This Row],[Unit Price]]</f>
        <v>95</v>
      </c>
      <c r="I1461" s="3">
        <v>14</v>
      </c>
      <c r="J1461" s="3">
        <f>grocery_chain_data[[#This Row],[Total Amount]]-grocery_chain_data[[#This Row],[Discount Amount]]</f>
        <v>81</v>
      </c>
      <c r="K1461">
        <v>15</v>
      </c>
      <c r="L1461" t="str">
        <f>IF(grocery_chain_data[[#This Row],[Final Amount]]&lt;0,"Return","Sale")</f>
        <v>Sale</v>
      </c>
      <c r="M1461">
        <f>IF(grocery_chain_data[[#This Row],[Final Amount]]&lt;0,0,grocery_chain_data[[#This Row],[Final Amount]])</f>
        <v>81</v>
      </c>
    </row>
    <row r="1462" spans="1:13" x14ac:dyDescent="0.3">
      <c r="A1462">
        <v>1104</v>
      </c>
      <c r="B1462" t="s">
        <v>0</v>
      </c>
      <c r="C1462" s="1">
        <v>45465</v>
      </c>
      <c r="D1462" s="1" t="str">
        <f t="shared" si="22"/>
        <v>Produce</v>
      </c>
      <c r="E1462" t="s">
        <v>14</v>
      </c>
      <c r="F1462" s="2">
        <v>2</v>
      </c>
      <c r="G1462" s="3">
        <v>30</v>
      </c>
      <c r="H1462" s="3">
        <f>grocery_chain_data[[#This Row],[Quantity]]*grocery_chain_data[[#This Row],[Unit Price]]</f>
        <v>60</v>
      </c>
      <c r="I1462" s="3">
        <v>12</v>
      </c>
      <c r="J1462" s="3">
        <f>grocery_chain_data[[#This Row],[Total Amount]]-grocery_chain_data[[#This Row],[Discount Amount]]</f>
        <v>48</v>
      </c>
      <c r="K1462">
        <v>293</v>
      </c>
      <c r="L1462" t="str">
        <f>IF(grocery_chain_data[[#This Row],[Final Amount]]&lt;0,"Return","Sale")</f>
        <v>Sale</v>
      </c>
      <c r="M1462">
        <f>IF(grocery_chain_data[[#This Row],[Final Amount]]&lt;0,0,grocery_chain_data[[#This Row],[Final Amount]])</f>
        <v>48</v>
      </c>
    </row>
    <row r="1463" spans="1:13" x14ac:dyDescent="0.3">
      <c r="A1463">
        <v>3252</v>
      </c>
      <c r="B1463" t="s">
        <v>12</v>
      </c>
      <c r="C1463" s="1">
        <v>45799</v>
      </c>
      <c r="D1463" s="1" t="str">
        <f t="shared" si="22"/>
        <v>Meat &amp; Seafood</v>
      </c>
      <c r="E1463" t="s">
        <v>15</v>
      </c>
      <c r="F1463" s="2">
        <v>3</v>
      </c>
      <c r="G1463" s="3">
        <v>8</v>
      </c>
      <c r="H1463" s="3">
        <f>grocery_chain_data[[#This Row],[Quantity]]*grocery_chain_data[[#This Row],[Unit Price]]</f>
        <v>24</v>
      </c>
      <c r="I1463" s="3">
        <v>2</v>
      </c>
      <c r="J1463" s="3">
        <f>grocery_chain_data[[#This Row],[Total Amount]]-grocery_chain_data[[#This Row],[Discount Amount]]</f>
        <v>22</v>
      </c>
      <c r="K1463">
        <v>379</v>
      </c>
      <c r="L1463" t="str">
        <f>IF(grocery_chain_data[[#This Row],[Final Amount]]&lt;0,"Return","Sale")</f>
        <v>Sale</v>
      </c>
      <c r="M1463">
        <f>IF(grocery_chain_data[[#This Row],[Final Amount]]&lt;0,0,grocery_chain_data[[#This Row],[Final Amount]])</f>
        <v>22</v>
      </c>
    </row>
    <row r="1464" spans="1:13" x14ac:dyDescent="0.3">
      <c r="A1464">
        <v>4791</v>
      </c>
      <c r="B1464" t="s">
        <v>2</v>
      </c>
      <c r="C1464" s="1">
        <v>45197</v>
      </c>
      <c r="D1464" s="1" t="str">
        <f t="shared" si="22"/>
        <v>Bakery</v>
      </c>
      <c r="E1464" t="s">
        <v>22</v>
      </c>
      <c r="F1464" s="2">
        <v>5</v>
      </c>
      <c r="G1464" s="3">
        <v>2</v>
      </c>
      <c r="H1464" s="3">
        <f>grocery_chain_data[[#This Row],[Quantity]]*grocery_chain_data[[#This Row],[Unit Price]]</f>
        <v>10</v>
      </c>
      <c r="I1464" s="3">
        <v>2</v>
      </c>
      <c r="J1464" s="3">
        <f>grocery_chain_data[[#This Row],[Total Amount]]-grocery_chain_data[[#This Row],[Discount Amount]]</f>
        <v>8</v>
      </c>
      <c r="K1464">
        <v>491</v>
      </c>
      <c r="L1464" t="str">
        <f>IF(grocery_chain_data[[#This Row],[Final Amount]]&lt;0,"Return","Sale")</f>
        <v>Sale</v>
      </c>
      <c r="M1464">
        <f>IF(grocery_chain_data[[#This Row],[Final Amount]]&lt;0,0,grocery_chain_data[[#This Row],[Final Amount]])</f>
        <v>8</v>
      </c>
    </row>
    <row r="1465" spans="1:13" x14ac:dyDescent="0.3">
      <c r="A1465">
        <v>3474</v>
      </c>
      <c r="B1465" t="s">
        <v>13</v>
      </c>
      <c r="C1465" s="1">
        <v>45152</v>
      </c>
      <c r="D1465" s="1" t="str">
        <f t="shared" si="22"/>
        <v>Produce</v>
      </c>
      <c r="E1465" t="s">
        <v>18</v>
      </c>
      <c r="F1465" s="2">
        <v>3</v>
      </c>
      <c r="G1465" s="3">
        <v>23</v>
      </c>
      <c r="H1465" s="3">
        <f>grocery_chain_data[[#This Row],[Quantity]]*grocery_chain_data[[#This Row],[Unit Price]]</f>
        <v>69</v>
      </c>
      <c r="I1465" s="3">
        <v>11</v>
      </c>
      <c r="J1465" s="3">
        <f>grocery_chain_data[[#This Row],[Total Amount]]-grocery_chain_data[[#This Row],[Discount Amount]]</f>
        <v>58</v>
      </c>
      <c r="K1465">
        <v>290</v>
      </c>
      <c r="L1465" t="str">
        <f>IF(grocery_chain_data[[#This Row],[Final Amount]]&lt;0,"Return","Sale")</f>
        <v>Sale</v>
      </c>
      <c r="M1465">
        <f>IF(grocery_chain_data[[#This Row],[Final Amount]]&lt;0,0,grocery_chain_data[[#This Row],[Final Amount]])</f>
        <v>58</v>
      </c>
    </row>
    <row r="1466" spans="1:13" x14ac:dyDescent="0.3">
      <c r="A1466">
        <v>4583</v>
      </c>
      <c r="B1466" t="s">
        <v>5</v>
      </c>
      <c r="C1466" s="1">
        <v>45537</v>
      </c>
      <c r="D1466" s="1" t="str">
        <f t="shared" si="22"/>
        <v>Produce</v>
      </c>
      <c r="E1466" t="s">
        <v>24</v>
      </c>
      <c r="F1466" s="2">
        <v>4</v>
      </c>
      <c r="G1466" s="3">
        <v>6</v>
      </c>
      <c r="H1466" s="3">
        <f>grocery_chain_data[[#This Row],[Quantity]]*grocery_chain_data[[#This Row],[Unit Price]]</f>
        <v>24</v>
      </c>
      <c r="I1466" s="3">
        <v>2</v>
      </c>
      <c r="J1466" s="3">
        <f>grocery_chain_data[[#This Row],[Total Amount]]-grocery_chain_data[[#This Row],[Discount Amount]]</f>
        <v>22</v>
      </c>
      <c r="K1466">
        <v>106</v>
      </c>
      <c r="L1466" t="str">
        <f>IF(grocery_chain_data[[#This Row],[Final Amount]]&lt;0,"Return","Sale")</f>
        <v>Sale</v>
      </c>
      <c r="M1466">
        <f>IF(grocery_chain_data[[#This Row],[Final Amount]]&lt;0,0,grocery_chain_data[[#This Row],[Final Amount]])</f>
        <v>22</v>
      </c>
    </row>
    <row r="1467" spans="1:13" x14ac:dyDescent="0.3">
      <c r="A1467">
        <v>8471</v>
      </c>
      <c r="B1467" t="s">
        <v>2</v>
      </c>
      <c r="C1467" s="1">
        <v>45434</v>
      </c>
      <c r="D1467" s="1" t="str">
        <f t="shared" si="22"/>
        <v>Bakery</v>
      </c>
      <c r="E1467" t="s">
        <v>22</v>
      </c>
      <c r="F1467" s="2">
        <v>4</v>
      </c>
      <c r="G1467" s="3">
        <v>13</v>
      </c>
      <c r="H1467" s="3">
        <f>grocery_chain_data[[#This Row],[Quantity]]*grocery_chain_data[[#This Row],[Unit Price]]</f>
        <v>52</v>
      </c>
      <c r="I1467" s="3">
        <v>1</v>
      </c>
      <c r="J1467" s="3">
        <f>grocery_chain_data[[#This Row],[Total Amount]]-grocery_chain_data[[#This Row],[Discount Amount]]</f>
        <v>51</v>
      </c>
      <c r="K1467">
        <v>192</v>
      </c>
      <c r="L1467" t="str">
        <f>IF(grocery_chain_data[[#This Row],[Final Amount]]&lt;0,"Return","Sale")</f>
        <v>Sale</v>
      </c>
      <c r="M1467">
        <f>IF(grocery_chain_data[[#This Row],[Final Amount]]&lt;0,0,grocery_chain_data[[#This Row],[Final Amount]])</f>
        <v>51</v>
      </c>
    </row>
    <row r="1468" spans="1:13" x14ac:dyDescent="0.3">
      <c r="A1468">
        <v>1990</v>
      </c>
      <c r="B1468" t="s">
        <v>2</v>
      </c>
      <c r="C1468" s="1">
        <v>45624</v>
      </c>
      <c r="D1468" s="1" t="str">
        <f t="shared" si="22"/>
        <v>Meat &amp; Seafood</v>
      </c>
      <c r="E1468" t="s">
        <v>26</v>
      </c>
      <c r="F1468" s="2">
        <v>1</v>
      </c>
      <c r="G1468" s="3">
        <v>15</v>
      </c>
      <c r="H1468" s="3">
        <f>grocery_chain_data[[#This Row],[Quantity]]*grocery_chain_data[[#This Row],[Unit Price]]</f>
        <v>15</v>
      </c>
      <c r="I1468" s="3">
        <v>2</v>
      </c>
      <c r="J1468" s="3">
        <f>grocery_chain_data[[#This Row],[Total Amount]]-grocery_chain_data[[#This Row],[Discount Amount]]</f>
        <v>13</v>
      </c>
      <c r="K1468">
        <v>26</v>
      </c>
      <c r="L1468" t="str">
        <f>IF(grocery_chain_data[[#This Row],[Final Amount]]&lt;0,"Return","Sale")</f>
        <v>Sale</v>
      </c>
      <c r="M1468">
        <f>IF(grocery_chain_data[[#This Row],[Final Amount]]&lt;0,0,grocery_chain_data[[#This Row],[Final Amount]])</f>
        <v>13</v>
      </c>
    </row>
    <row r="1469" spans="1:13" x14ac:dyDescent="0.3">
      <c r="A1469">
        <v>8916</v>
      </c>
      <c r="B1469" t="s">
        <v>12</v>
      </c>
      <c r="C1469" s="1">
        <v>45657</v>
      </c>
      <c r="D1469" s="1" t="str">
        <f t="shared" si="22"/>
        <v>Produce</v>
      </c>
      <c r="E1469" t="s">
        <v>14</v>
      </c>
      <c r="F1469" s="2">
        <v>3</v>
      </c>
      <c r="G1469" s="3">
        <v>3</v>
      </c>
      <c r="H1469" s="3">
        <f>grocery_chain_data[[#This Row],[Quantity]]*grocery_chain_data[[#This Row],[Unit Price]]</f>
        <v>9</v>
      </c>
      <c r="I1469" s="3">
        <v>1</v>
      </c>
      <c r="J1469" s="3">
        <f>grocery_chain_data[[#This Row],[Total Amount]]-grocery_chain_data[[#This Row],[Discount Amount]]</f>
        <v>8</v>
      </c>
      <c r="K1469">
        <v>446</v>
      </c>
      <c r="L1469" t="str">
        <f>IF(grocery_chain_data[[#This Row],[Final Amount]]&lt;0,"Return","Sale")</f>
        <v>Sale</v>
      </c>
      <c r="M1469">
        <f>IF(grocery_chain_data[[#This Row],[Final Amount]]&lt;0,0,grocery_chain_data[[#This Row],[Final Amount]])</f>
        <v>8</v>
      </c>
    </row>
    <row r="1470" spans="1:13" x14ac:dyDescent="0.3">
      <c r="A1470">
        <v>8993</v>
      </c>
      <c r="B1470" t="s">
        <v>0</v>
      </c>
      <c r="C1470" s="1">
        <v>45157</v>
      </c>
      <c r="D1470" s="1" t="str">
        <f t="shared" si="22"/>
        <v>Meat &amp; Seafood</v>
      </c>
      <c r="E1470" t="s">
        <v>9</v>
      </c>
      <c r="F1470" s="2">
        <v>5</v>
      </c>
      <c r="G1470" s="3">
        <v>28</v>
      </c>
      <c r="H1470" s="3">
        <f>grocery_chain_data[[#This Row],[Quantity]]*grocery_chain_data[[#This Row],[Unit Price]]</f>
        <v>140</v>
      </c>
      <c r="I1470" s="3">
        <v>14</v>
      </c>
      <c r="J1470" s="3">
        <f>grocery_chain_data[[#This Row],[Total Amount]]-grocery_chain_data[[#This Row],[Discount Amount]]</f>
        <v>126</v>
      </c>
      <c r="K1470">
        <v>256</v>
      </c>
      <c r="L1470" t="str">
        <f>IF(grocery_chain_data[[#This Row],[Final Amount]]&lt;0,"Return","Sale")</f>
        <v>Sale</v>
      </c>
      <c r="M1470">
        <f>IF(grocery_chain_data[[#This Row],[Final Amount]]&lt;0,0,grocery_chain_data[[#This Row],[Final Amount]])</f>
        <v>126</v>
      </c>
    </row>
    <row r="1471" spans="1:13" x14ac:dyDescent="0.3">
      <c r="A1471">
        <v>1108</v>
      </c>
      <c r="B1471" t="s">
        <v>13</v>
      </c>
      <c r="C1471" s="1">
        <v>45558</v>
      </c>
      <c r="D1471" s="1" t="str">
        <f t="shared" si="22"/>
        <v>Meat &amp; Seafood</v>
      </c>
      <c r="E1471" t="s">
        <v>26</v>
      </c>
      <c r="F1471" s="2">
        <v>5</v>
      </c>
      <c r="G1471" s="3">
        <v>15</v>
      </c>
      <c r="H1471" s="3">
        <f>grocery_chain_data[[#This Row],[Quantity]]*grocery_chain_data[[#This Row],[Unit Price]]</f>
        <v>75</v>
      </c>
      <c r="I1471" s="3">
        <v>0</v>
      </c>
      <c r="J1471" s="3">
        <f>grocery_chain_data[[#This Row],[Total Amount]]-grocery_chain_data[[#This Row],[Discount Amount]]</f>
        <v>75</v>
      </c>
      <c r="K1471">
        <v>469</v>
      </c>
      <c r="L1471" t="str">
        <f>IF(grocery_chain_data[[#This Row],[Final Amount]]&lt;0,"Return","Sale")</f>
        <v>Sale</v>
      </c>
      <c r="M1471">
        <f>IF(grocery_chain_data[[#This Row],[Final Amount]]&lt;0,0,grocery_chain_data[[#This Row],[Final Amount]])</f>
        <v>75</v>
      </c>
    </row>
    <row r="1472" spans="1:13" x14ac:dyDescent="0.3">
      <c r="A1472">
        <v>7739</v>
      </c>
      <c r="B1472" t="s">
        <v>13</v>
      </c>
      <c r="C1472" s="1">
        <v>45154</v>
      </c>
      <c r="D1472" s="1" t="str">
        <f t="shared" si="22"/>
        <v>Pantry</v>
      </c>
      <c r="E1472" t="s">
        <v>6</v>
      </c>
      <c r="F1472" s="2">
        <v>4</v>
      </c>
      <c r="G1472" s="3">
        <v>9</v>
      </c>
      <c r="H1472" s="3">
        <f>grocery_chain_data[[#This Row],[Quantity]]*grocery_chain_data[[#This Row],[Unit Price]]</f>
        <v>36</v>
      </c>
      <c r="I1472" s="3">
        <v>7</v>
      </c>
      <c r="J1472" s="3">
        <f>grocery_chain_data[[#This Row],[Total Amount]]-grocery_chain_data[[#This Row],[Discount Amount]]</f>
        <v>29</v>
      </c>
      <c r="K1472">
        <v>171</v>
      </c>
      <c r="L1472" t="str">
        <f>IF(grocery_chain_data[[#This Row],[Final Amount]]&lt;0,"Return","Sale")</f>
        <v>Sale</v>
      </c>
      <c r="M1472">
        <f>IF(grocery_chain_data[[#This Row],[Final Amount]]&lt;0,0,grocery_chain_data[[#This Row],[Final Amount]])</f>
        <v>29</v>
      </c>
    </row>
    <row r="1473" spans="1:13" x14ac:dyDescent="0.3">
      <c r="A1473">
        <v>1274</v>
      </c>
      <c r="B1473" t="s">
        <v>21</v>
      </c>
      <c r="C1473" s="1">
        <v>45556</v>
      </c>
      <c r="D1473" s="1" t="str">
        <f t="shared" si="22"/>
        <v>Pantry</v>
      </c>
      <c r="E1473" t="s">
        <v>6</v>
      </c>
      <c r="F1473" s="2">
        <v>1</v>
      </c>
      <c r="G1473" s="3">
        <v>8</v>
      </c>
      <c r="H1473" s="3">
        <f>grocery_chain_data[[#This Row],[Quantity]]*grocery_chain_data[[#This Row],[Unit Price]]</f>
        <v>8</v>
      </c>
      <c r="I1473" s="3">
        <v>1</v>
      </c>
      <c r="J1473" s="3">
        <f>grocery_chain_data[[#This Row],[Total Amount]]-grocery_chain_data[[#This Row],[Discount Amount]]</f>
        <v>7</v>
      </c>
      <c r="K1473">
        <v>37</v>
      </c>
      <c r="L1473" t="str">
        <f>IF(grocery_chain_data[[#This Row],[Final Amount]]&lt;0,"Return","Sale")</f>
        <v>Sale</v>
      </c>
      <c r="M1473">
        <f>IF(grocery_chain_data[[#This Row],[Final Amount]]&lt;0,0,grocery_chain_data[[#This Row],[Final Amount]])</f>
        <v>7</v>
      </c>
    </row>
    <row r="1474" spans="1:13" x14ac:dyDescent="0.3">
      <c r="A1474">
        <v>5501</v>
      </c>
      <c r="B1474" t="s">
        <v>0</v>
      </c>
      <c r="C1474" s="1">
        <v>45561</v>
      </c>
      <c r="D1474" s="1" t="str">
        <f t="shared" ref="D1474:D1537" si="23">IF(E1474="Pasta","Pantry",
IF(E1474="Cheese","Dairy",
IF(E1474="Onions","Produce",
IF(E1474="Cereal","Pantry",
IF(E1474="Orange Juice","Beverages",
IF(E1474="Ground Beef","Meat &amp; Seafood",
IF(E1474="Apples","Produce",
IF(E1474="Milk","Dairy",
IF(E1474="Bananas","Produce",
IF(E1474="Bread","Bakery",
IF(E1474="Carrots","Produce",
IF(E1474="Chicken Breast","Meat &amp; Seafood",
IF(E1474="Eggs","Dairy",
IF(E1474="Potatoes","Produce",
IF(E1474="Rice","Produce",
IF(E1474="Salmon","Meat &amp; Seafood",
IF(E1474="Tomatoes","Produce",
IF(E1474="Yogurt","Dairy",
"Others"))))))))))))))))))</f>
        <v>Bakery</v>
      </c>
      <c r="E1474" t="s">
        <v>22</v>
      </c>
      <c r="F1474" s="2">
        <v>5</v>
      </c>
      <c r="G1474" s="3">
        <v>15</v>
      </c>
      <c r="H1474" s="3">
        <f>grocery_chain_data[[#This Row],[Quantity]]*grocery_chain_data[[#This Row],[Unit Price]]</f>
        <v>75</v>
      </c>
      <c r="I1474" s="3">
        <v>0</v>
      </c>
      <c r="J1474" s="3">
        <f>grocery_chain_data[[#This Row],[Total Amount]]-grocery_chain_data[[#This Row],[Discount Amount]]</f>
        <v>75</v>
      </c>
      <c r="K1474">
        <v>66</v>
      </c>
      <c r="L1474" t="str">
        <f>IF(grocery_chain_data[[#This Row],[Final Amount]]&lt;0,"Return","Sale")</f>
        <v>Sale</v>
      </c>
      <c r="M1474">
        <f>IF(grocery_chain_data[[#This Row],[Final Amount]]&lt;0,0,grocery_chain_data[[#This Row],[Final Amount]])</f>
        <v>75</v>
      </c>
    </row>
    <row r="1475" spans="1:13" x14ac:dyDescent="0.3">
      <c r="A1475">
        <v>5697</v>
      </c>
      <c r="B1475" t="s">
        <v>13</v>
      </c>
      <c r="C1475" s="1">
        <v>45158</v>
      </c>
      <c r="D1475" s="1" t="str">
        <f t="shared" si="23"/>
        <v>Dairy</v>
      </c>
      <c r="E1475" t="s">
        <v>19</v>
      </c>
      <c r="F1475" s="2">
        <v>4</v>
      </c>
      <c r="G1475" s="3">
        <v>16</v>
      </c>
      <c r="H1475" s="3">
        <f>grocery_chain_data[[#This Row],[Quantity]]*grocery_chain_data[[#This Row],[Unit Price]]</f>
        <v>64</v>
      </c>
      <c r="I1475" s="3">
        <v>6</v>
      </c>
      <c r="J1475" s="3">
        <f>grocery_chain_data[[#This Row],[Total Amount]]-grocery_chain_data[[#This Row],[Discount Amount]]</f>
        <v>58</v>
      </c>
      <c r="K1475">
        <v>332</v>
      </c>
      <c r="L1475" t="str">
        <f>IF(grocery_chain_data[[#This Row],[Final Amount]]&lt;0,"Return","Sale")</f>
        <v>Sale</v>
      </c>
      <c r="M1475">
        <f>IF(grocery_chain_data[[#This Row],[Final Amount]]&lt;0,0,grocery_chain_data[[#This Row],[Final Amount]])</f>
        <v>58</v>
      </c>
    </row>
    <row r="1476" spans="1:13" x14ac:dyDescent="0.3">
      <c r="A1476">
        <v>9228</v>
      </c>
      <c r="B1476" t="s">
        <v>10</v>
      </c>
      <c r="C1476" s="1">
        <v>45776</v>
      </c>
      <c r="D1476" s="1" t="str">
        <f t="shared" si="23"/>
        <v>Meat &amp; Seafood</v>
      </c>
      <c r="E1476" t="s">
        <v>9</v>
      </c>
      <c r="F1476" s="2">
        <v>1</v>
      </c>
      <c r="G1476" s="3">
        <v>28</v>
      </c>
      <c r="H1476" s="3">
        <f>grocery_chain_data[[#This Row],[Quantity]]*grocery_chain_data[[#This Row],[Unit Price]]</f>
        <v>28</v>
      </c>
      <c r="I1476" s="3">
        <v>3</v>
      </c>
      <c r="J1476" s="3">
        <f>grocery_chain_data[[#This Row],[Total Amount]]-grocery_chain_data[[#This Row],[Discount Amount]]</f>
        <v>25</v>
      </c>
      <c r="K1476">
        <v>13</v>
      </c>
      <c r="L1476" t="str">
        <f>IF(grocery_chain_data[[#This Row],[Final Amount]]&lt;0,"Return","Sale")</f>
        <v>Sale</v>
      </c>
      <c r="M1476">
        <f>IF(grocery_chain_data[[#This Row],[Final Amount]]&lt;0,0,grocery_chain_data[[#This Row],[Final Amount]])</f>
        <v>25</v>
      </c>
    </row>
    <row r="1477" spans="1:13" x14ac:dyDescent="0.3">
      <c r="A1477">
        <v>8054</v>
      </c>
      <c r="B1477" t="s">
        <v>8</v>
      </c>
      <c r="C1477" s="1">
        <v>45771</v>
      </c>
      <c r="D1477" s="1" t="str">
        <f t="shared" si="23"/>
        <v>Produce</v>
      </c>
      <c r="E1477" t="s">
        <v>18</v>
      </c>
      <c r="F1477" s="2">
        <v>5</v>
      </c>
      <c r="G1477" s="3">
        <v>15</v>
      </c>
      <c r="H1477" s="3">
        <f>grocery_chain_data[[#This Row],[Quantity]]*grocery_chain_data[[#This Row],[Unit Price]]</f>
        <v>75</v>
      </c>
      <c r="I1477" s="3">
        <v>0</v>
      </c>
      <c r="J1477" s="3">
        <f>grocery_chain_data[[#This Row],[Total Amount]]-grocery_chain_data[[#This Row],[Discount Amount]]</f>
        <v>75</v>
      </c>
      <c r="K1477">
        <v>198</v>
      </c>
      <c r="L1477" t="str">
        <f>IF(grocery_chain_data[[#This Row],[Final Amount]]&lt;0,"Return","Sale")</f>
        <v>Sale</v>
      </c>
      <c r="M1477">
        <f>IF(grocery_chain_data[[#This Row],[Final Amount]]&lt;0,0,grocery_chain_data[[#This Row],[Final Amount]])</f>
        <v>75</v>
      </c>
    </row>
    <row r="1478" spans="1:13" x14ac:dyDescent="0.3">
      <c r="A1478">
        <v>3937</v>
      </c>
      <c r="B1478" t="s">
        <v>5</v>
      </c>
      <c r="C1478" s="1">
        <v>45228</v>
      </c>
      <c r="D1478" s="1" t="str">
        <f t="shared" si="23"/>
        <v>Dairy</v>
      </c>
      <c r="E1478" t="s">
        <v>3</v>
      </c>
      <c r="F1478" s="2">
        <v>5</v>
      </c>
      <c r="G1478" s="3">
        <v>5</v>
      </c>
      <c r="H1478" s="3">
        <f>grocery_chain_data[[#This Row],[Quantity]]*grocery_chain_data[[#This Row],[Unit Price]]</f>
        <v>25</v>
      </c>
      <c r="I1478" s="3">
        <v>5</v>
      </c>
      <c r="J1478" s="3">
        <f>grocery_chain_data[[#This Row],[Total Amount]]-grocery_chain_data[[#This Row],[Discount Amount]]</f>
        <v>20</v>
      </c>
      <c r="K1478">
        <v>224</v>
      </c>
      <c r="L1478" t="str">
        <f>IF(grocery_chain_data[[#This Row],[Final Amount]]&lt;0,"Return","Sale")</f>
        <v>Sale</v>
      </c>
      <c r="M1478">
        <f>IF(grocery_chain_data[[#This Row],[Final Amount]]&lt;0,0,grocery_chain_data[[#This Row],[Final Amount]])</f>
        <v>20</v>
      </c>
    </row>
    <row r="1479" spans="1:13" x14ac:dyDescent="0.3">
      <c r="A1479">
        <v>2578</v>
      </c>
      <c r="B1479" t="s">
        <v>16</v>
      </c>
      <c r="C1479" s="1">
        <v>45552</v>
      </c>
      <c r="D1479" s="1" t="str">
        <f t="shared" si="23"/>
        <v>Dairy</v>
      </c>
      <c r="E1479" t="s">
        <v>23</v>
      </c>
      <c r="F1479" s="2">
        <v>3</v>
      </c>
      <c r="G1479" s="3">
        <v>14</v>
      </c>
      <c r="H1479" s="3">
        <f>grocery_chain_data[[#This Row],[Quantity]]*grocery_chain_data[[#This Row],[Unit Price]]</f>
        <v>42</v>
      </c>
      <c r="I1479" s="3">
        <v>8</v>
      </c>
      <c r="J1479" s="3">
        <f>grocery_chain_data[[#This Row],[Total Amount]]-grocery_chain_data[[#This Row],[Discount Amount]]</f>
        <v>34</v>
      </c>
      <c r="K1479">
        <v>29</v>
      </c>
      <c r="L1479" t="str">
        <f>IF(grocery_chain_data[[#This Row],[Final Amount]]&lt;0,"Return","Sale")</f>
        <v>Sale</v>
      </c>
      <c r="M1479">
        <f>IF(grocery_chain_data[[#This Row],[Final Amount]]&lt;0,0,grocery_chain_data[[#This Row],[Final Amount]])</f>
        <v>34</v>
      </c>
    </row>
    <row r="1480" spans="1:13" x14ac:dyDescent="0.3">
      <c r="A1480">
        <v>3439</v>
      </c>
      <c r="B1480" t="s">
        <v>0</v>
      </c>
      <c r="C1480" s="1">
        <v>45332</v>
      </c>
      <c r="D1480" s="1" t="str">
        <f t="shared" si="23"/>
        <v>Produce</v>
      </c>
      <c r="E1480" t="s">
        <v>18</v>
      </c>
      <c r="F1480" s="2">
        <v>2</v>
      </c>
      <c r="G1480" s="3">
        <v>13</v>
      </c>
      <c r="H1480" s="3">
        <f>grocery_chain_data[[#This Row],[Quantity]]*grocery_chain_data[[#This Row],[Unit Price]]</f>
        <v>26</v>
      </c>
      <c r="I1480" s="3">
        <v>4</v>
      </c>
      <c r="J1480" s="3">
        <f>grocery_chain_data[[#This Row],[Total Amount]]-grocery_chain_data[[#This Row],[Discount Amount]]</f>
        <v>22</v>
      </c>
      <c r="K1480">
        <v>385</v>
      </c>
      <c r="L1480" t="str">
        <f>IF(grocery_chain_data[[#This Row],[Final Amount]]&lt;0,"Return","Sale")</f>
        <v>Sale</v>
      </c>
      <c r="M1480">
        <f>IF(grocery_chain_data[[#This Row],[Final Amount]]&lt;0,0,grocery_chain_data[[#This Row],[Final Amount]])</f>
        <v>22</v>
      </c>
    </row>
    <row r="1481" spans="1:13" x14ac:dyDescent="0.3">
      <c r="A1481">
        <v>4144</v>
      </c>
      <c r="B1481" t="s">
        <v>21</v>
      </c>
      <c r="C1481" s="1">
        <v>45626</v>
      </c>
      <c r="D1481" s="1" t="str">
        <f t="shared" si="23"/>
        <v>Bakery</v>
      </c>
      <c r="E1481" t="s">
        <v>22</v>
      </c>
      <c r="F1481" s="2">
        <v>1</v>
      </c>
      <c r="G1481" s="3">
        <v>5</v>
      </c>
      <c r="H1481" s="3">
        <f>grocery_chain_data[[#This Row],[Quantity]]*grocery_chain_data[[#This Row],[Unit Price]]</f>
        <v>5</v>
      </c>
      <c r="I1481" s="3">
        <v>2</v>
      </c>
      <c r="J1481" s="3">
        <f>grocery_chain_data[[#This Row],[Total Amount]]-grocery_chain_data[[#This Row],[Discount Amount]]</f>
        <v>3</v>
      </c>
      <c r="K1481">
        <v>92</v>
      </c>
      <c r="L1481" t="str">
        <f>IF(grocery_chain_data[[#This Row],[Final Amount]]&lt;0,"Return","Sale")</f>
        <v>Sale</v>
      </c>
      <c r="M1481">
        <f>IF(grocery_chain_data[[#This Row],[Final Amount]]&lt;0,0,grocery_chain_data[[#This Row],[Final Amount]])</f>
        <v>3</v>
      </c>
    </row>
    <row r="1482" spans="1:13" x14ac:dyDescent="0.3">
      <c r="A1482">
        <v>9625</v>
      </c>
      <c r="B1482" t="s">
        <v>21</v>
      </c>
      <c r="C1482" s="1">
        <v>45341</v>
      </c>
      <c r="D1482" s="1" t="str">
        <f t="shared" si="23"/>
        <v>Dairy</v>
      </c>
      <c r="E1482" t="s">
        <v>20</v>
      </c>
      <c r="F1482" s="2">
        <v>5</v>
      </c>
      <c r="G1482" s="3">
        <v>13</v>
      </c>
      <c r="H1482" s="3">
        <f>grocery_chain_data[[#This Row],[Quantity]]*grocery_chain_data[[#This Row],[Unit Price]]</f>
        <v>65</v>
      </c>
      <c r="I1482" s="3">
        <v>0</v>
      </c>
      <c r="J1482" s="3">
        <f>grocery_chain_data[[#This Row],[Total Amount]]-grocery_chain_data[[#This Row],[Discount Amount]]</f>
        <v>65</v>
      </c>
      <c r="K1482">
        <v>336</v>
      </c>
      <c r="L1482" t="str">
        <f>IF(grocery_chain_data[[#This Row],[Final Amount]]&lt;0,"Return","Sale")</f>
        <v>Sale</v>
      </c>
      <c r="M1482">
        <f>IF(grocery_chain_data[[#This Row],[Final Amount]]&lt;0,0,grocery_chain_data[[#This Row],[Final Amount]])</f>
        <v>65</v>
      </c>
    </row>
    <row r="1483" spans="1:13" x14ac:dyDescent="0.3">
      <c r="A1483">
        <v>6807</v>
      </c>
      <c r="B1483" t="s">
        <v>0</v>
      </c>
      <c r="C1483" s="1">
        <v>45352</v>
      </c>
      <c r="D1483" s="1" t="str">
        <f t="shared" si="23"/>
        <v>Pantry</v>
      </c>
      <c r="E1483" t="s">
        <v>1</v>
      </c>
      <c r="F1483" s="2">
        <v>5</v>
      </c>
      <c r="G1483" s="3">
        <v>7</v>
      </c>
      <c r="H1483" s="3">
        <f>grocery_chain_data[[#This Row],[Quantity]]*grocery_chain_data[[#This Row],[Unit Price]]</f>
        <v>35</v>
      </c>
      <c r="I1483" s="3">
        <v>7</v>
      </c>
      <c r="J1483" s="3">
        <f>grocery_chain_data[[#This Row],[Total Amount]]-grocery_chain_data[[#This Row],[Discount Amount]]</f>
        <v>28</v>
      </c>
      <c r="K1483">
        <v>361</v>
      </c>
      <c r="L1483" t="str">
        <f>IF(grocery_chain_data[[#This Row],[Final Amount]]&lt;0,"Return","Sale")</f>
        <v>Sale</v>
      </c>
      <c r="M1483">
        <f>IF(grocery_chain_data[[#This Row],[Final Amount]]&lt;0,0,grocery_chain_data[[#This Row],[Final Amount]])</f>
        <v>28</v>
      </c>
    </row>
    <row r="1484" spans="1:13" x14ac:dyDescent="0.3">
      <c r="A1484">
        <v>7502</v>
      </c>
      <c r="B1484" t="s">
        <v>10</v>
      </c>
      <c r="C1484" s="1">
        <v>45206</v>
      </c>
      <c r="D1484" s="1" t="str">
        <f t="shared" si="23"/>
        <v>Beverages</v>
      </c>
      <c r="E1484" t="s">
        <v>7</v>
      </c>
      <c r="F1484" s="2">
        <v>5</v>
      </c>
      <c r="G1484" s="3">
        <v>9</v>
      </c>
      <c r="H1484" s="3">
        <f>grocery_chain_data[[#This Row],[Quantity]]*grocery_chain_data[[#This Row],[Unit Price]]</f>
        <v>45</v>
      </c>
      <c r="I1484" s="3">
        <v>5</v>
      </c>
      <c r="J1484" s="3">
        <f>grocery_chain_data[[#This Row],[Total Amount]]-grocery_chain_data[[#This Row],[Discount Amount]]</f>
        <v>40</v>
      </c>
      <c r="K1484">
        <v>334</v>
      </c>
      <c r="L1484" t="str">
        <f>IF(grocery_chain_data[[#This Row],[Final Amount]]&lt;0,"Return","Sale")</f>
        <v>Sale</v>
      </c>
      <c r="M1484">
        <f>IF(grocery_chain_data[[#This Row],[Final Amount]]&lt;0,0,grocery_chain_data[[#This Row],[Final Amount]])</f>
        <v>40</v>
      </c>
    </row>
    <row r="1485" spans="1:13" x14ac:dyDescent="0.3">
      <c r="A1485">
        <v>7112</v>
      </c>
      <c r="B1485" t="s">
        <v>16</v>
      </c>
      <c r="C1485" s="1">
        <v>45460</v>
      </c>
      <c r="D1485" s="1" t="str">
        <f t="shared" si="23"/>
        <v>Produce</v>
      </c>
      <c r="E1485" t="s">
        <v>24</v>
      </c>
      <c r="F1485" s="2">
        <v>1</v>
      </c>
      <c r="G1485" s="3">
        <v>3</v>
      </c>
      <c r="H1485" s="3">
        <f>grocery_chain_data[[#This Row],[Quantity]]*grocery_chain_data[[#This Row],[Unit Price]]</f>
        <v>3</v>
      </c>
      <c r="I1485" s="3">
        <v>0</v>
      </c>
      <c r="J1485" s="3">
        <f>grocery_chain_data[[#This Row],[Total Amount]]-grocery_chain_data[[#This Row],[Discount Amount]]</f>
        <v>3</v>
      </c>
      <c r="K1485">
        <v>461</v>
      </c>
      <c r="L1485" t="str">
        <f>IF(grocery_chain_data[[#This Row],[Final Amount]]&lt;0,"Return","Sale")</f>
        <v>Sale</v>
      </c>
      <c r="M1485">
        <f>IF(grocery_chain_data[[#This Row],[Final Amount]]&lt;0,0,grocery_chain_data[[#This Row],[Final Amount]])</f>
        <v>3</v>
      </c>
    </row>
    <row r="1486" spans="1:13" x14ac:dyDescent="0.3">
      <c r="A1486">
        <v>8520</v>
      </c>
      <c r="B1486" t="s">
        <v>10</v>
      </c>
      <c r="C1486" s="1">
        <v>45583</v>
      </c>
      <c r="D1486" s="1" t="str">
        <f t="shared" si="23"/>
        <v>Bakery</v>
      </c>
      <c r="E1486" t="s">
        <v>22</v>
      </c>
      <c r="F1486" s="2">
        <v>2</v>
      </c>
      <c r="G1486" s="3">
        <v>27</v>
      </c>
      <c r="H1486" s="3">
        <f>grocery_chain_data[[#This Row],[Quantity]]*grocery_chain_data[[#This Row],[Unit Price]]</f>
        <v>54</v>
      </c>
      <c r="I1486" s="3">
        <v>8</v>
      </c>
      <c r="J1486" s="3">
        <f>grocery_chain_data[[#This Row],[Total Amount]]-grocery_chain_data[[#This Row],[Discount Amount]]</f>
        <v>46</v>
      </c>
      <c r="K1486">
        <v>430</v>
      </c>
      <c r="L1486" t="str">
        <f>IF(grocery_chain_data[[#This Row],[Final Amount]]&lt;0,"Return","Sale")</f>
        <v>Sale</v>
      </c>
      <c r="M1486">
        <f>IF(grocery_chain_data[[#This Row],[Final Amount]]&lt;0,0,grocery_chain_data[[#This Row],[Final Amount]])</f>
        <v>46</v>
      </c>
    </row>
    <row r="1487" spans="1:13" x14ac:dyDescent="0.3">
      <c r="A1487">
        <v>4984</v>
      </c>
      <c r="B1487" t="s">
        <v>2</v>
      </c>
      <c r="C1487" s="1">
        <v>45686</v>
      </c>
      <c r="D1487" s="1" t="str">
        <f t="shared" si="23"/>
        <v>Meat &amp; Seafood</v>
      </c>
      <c r="E1487" t="s">
        <v>26</v>
      </c>
      <c r="F1487" s="2">
        <v>3</v>
      </c>
      <c r="G1487" s="3">
        <v>22</v>
      </c>
      <c r="H1487" s="3">
        <f>grocery_chain_data[[#This Row],[Quantity]]*grocery_chain_data[[#This Row],[Unit Price]]</f>
        <v>66</v>
      </c>
      <c r="I1487" s="3">
        <v>5</v>
      </c>
      <c r="J1487" s="3">
        <f>grocery_chain_data[[#This Row],[Total Amount]]-grocery_chain_data[[#This Row],[Discount Amount]]</f>
        <v>61</v>
      </c>
      <c r="K1487">
        <v>403</v>
      </c>
      <c r="L1487" t="str">
        <f>IF(grocery_chain_data[[#This Row],[Final Amount]]&lt;0,"Return","Sale")</f>
        <v>Sale</v>
      </c>
      <c r="M1487">
        <f>IF(grocery_chain_data[[#This Row],[Final Amount]]&lt;0,0,grocery_chain_data[[#This Row],[Final Amount]])</f>
        <v>61</v>
      </c>
    </row>
    <row r="1488" spans="1:13" x14ac:dyDescent="0.3">
      <c r="A1488">
        <v>4700</v>
      </c>
      <c r="B1488" t="s">
        <v>10</v>
      </c>
      <c r="C1488" s="1">
        <v>45377</v>
      </c>
      <c r="D1488" s="1" t="str">
        <f t="shared" si="23"/>
        <v>Meat &amp; Seafood</v>
      </c>
      <c r="E1488" t="s">
        <v>15</v>
      </c>
      <c r="F1488" s="2">
        <v>1</v>
      </c>
      <c r="G1488" s="3">
        <v>2</v>
      </c>
      <c r="H1488" s="3">
        <f>grocery_chain_data[[#This Row],[Quantity]]*grocery_chain_data[[#This Row],[Unit Price]]</f>
        <v>2</v>
      </c>
      <c r="I1488" s="3">
        <v>0</v>
      </c>
      <c r="J1488" s="3">
        <f>grocery_chain_data[[#This Row],[Total Amount]]-grocery_chain_data[[#This Row],[Discount Amount]]</f>
        <v>2</v>
      </c>
      <c r="K1488">
        <v>428</v>
      </c>
      <c r="L1488" t="str">
        <f>IF(grocery_chain_data[[#This Row],[Final Amount]]&lt;0,"Return","Sale")</f>
        <v>Sale</v>
      </c>
      <c r="M1488">
        <f>IF(grocery_chain_data[[#This Row],[Final Amount]]&lt;0,0,grocery_chain_data[[#This Row],[Final Amount]])</f>
        <v>2</v>
      </c>
    </row>
    <row r="1489" spans="1:13" x14ac:dyDescent="0.3">
      <c r="A1489">
        <v>2320</v>
      </c>
      <c r="B1489" t="s">
        <v>12</v>
      </c>
      <c r="C1489" s="1">
        <v>45652</v>
      </c>
      <c r="D1489" s="1" t="str">
        <f t="shared" si="23"/>
        <v>Produce</v>
      </c>
      <c r="E1489" t="s">
        <v>14</v>
      </c>
      <c r="F1489" s="2">
        <v>3</v>
      </c>
      <c r="G1489" s="3">
        <v>25</v>
      </c>
      <c r="H1489" s="3">
        <f>grocery_chain_data[[#This Row],[Quantity]]*grocery_chain_data[[#This Row],[Unit Price]]</f>
        <v>75</v>
      </c>
      <c r="I1489" s="3">
        <v>11</v>
      </c>
      <c r="J1489" s="3">
        <f>grocery_chain_data[[#This Row],[Total Amount]]-grocery_chain_data[[#This Row],[Discount Amount]]</f>
        <v>64</v>
      </c>
      <c r="K1489">
        <v>43</v>
      </c>
      <c r="L1489" t="str">
        <f>IF(grocery_chain_data[[#This Row],[Final Amount]]&lt;0,"Return","Sale")</f>
        <v>Sale</v>
      </c>
      <c r="M1489">
        <f>IF(grocery_chain_data[[#This Row],[Final Amount]]&lt;0,0,grocery_chain_data[[#This Row],[Final Amount]])</f>
        <v>64</v>
      </c>
    </row>
    <row r="1490" spans="1:13" x14ac:dyDescent="0.3">
      <c r="A1490">
        <v>1519</v>
      </c>
      <c r="B1490" t="s">
        <v>8</v>
      </c>
      <c r="C1490" s="1">
        <v>45217</v>
      </c>
      <c r="D1490" s="1" t="str">
        <f t="shared" si="23"/>
        <v>Produce</v>
      </c>
      <c r="E1490" t="s">
        <v>18</v>
      </c>
      <c r="F1490" s="2">
        <v>4</v>
      </c>
      <c r="G1490" s="3">
        <v>12</v>
      </c>
      <c r="H1490" s="3">
        <f>grocery_chain_data[[#This Row],[Quantity]]*grocery_chain_data[[#This Row],[Unit Price]]</f>
        <v>48</v>
      </c>
      <c r="I1490" s="3">
        <v>10</v>
      </c>
      <c r="J1490" s="3">
        <f>grocery_chain_data[[#This Row],[Total Amount]]-grocery_chain_data[[#This Row],[Discount Amount]]</f>
        <v>38</v>
      </c>
      <c r="K1490">
        <v>22</v>
      </c>
      <c r="L1490" t="str">
        <f>IF(grocery_chain_data[[#This Row],[Final Amount]]&lt;0,"Return","Sale")</f>
        <v>Sale</v>
      </c>
      <c r="M1490">
        <f>IF(grocery_chain_data[[#This Row],[Final Amount]]&lt;0,0,grocery_chain_data[[#This Row],[Final Amount]])</f>
        <v>38</v>
      </c>
    </row>
    <row r="1491" spans="1:13" x14ac:dyDescent="0.3">
      <c r="A1491">
        <v>7640</v>
      </c>
      <c r="B1491" t="s">
        <v>8</v>
      </c>
      <c r="C1491" s="1">
        <v>45439</v>
      </c>
      <c r="D1491" s="1" t="str">
        <f t="shared" si="23"/>
        <v>Dairy</v>
      </c>
      <c r="E1491" t="s">
        <v>3</v>
      </c>
      <c r="F1491" s="2">
        <v>5</v>
      </c>
      <c r="G1491" s="3">
        <v>3</v>
      </c>
      <c r="H1491" s="3">
        <f>grocery_chain_data[[#This Row],[Quantity]]*grocery_chain_data[[#This Row],[Unit Price]]</f>
        <v>15</v>
      </c>
      <c r="I1491" s="3">
        <v>4</v>
      </c>
      <c r="J1491" s="3">
        <f>grocery_chain_data[[#This Row],[Total Amount]]-grocery_chain_data[[#This Row],[Discount Amount]]</f>
        <v>11</v>
      </c>
      <c r="K1491">
        <v>156</v>
      </c>
      <c r="L1491" t="str">
        <f>IF(grocery_chain_data[[#This Row],[Final Amount]]&lt;0,"Return","Sale")</f>
        <v>Sale</v>
      </c>
      <c r="M1491">
        <f>IF(grocery_chain_data[[#This Row],[Final Amount]]&lt;0,0,grocery_chain_data[[#This Row],[Final Amount]])</f>
        <v>11</v>
      </c>
    </row>
    <row r="1492" spans="1:13" x14ac:dyDescent="0.3">
      <c r="A1492">
        <v>7179</v>
      </c>
      <c r="B1492" t="s">
        <v>13</v>
      </c>
      <c r="C1492" s="1">
        <v>45574</v>
      </c>
      <c r="D1492" s="1" t="str">
        <f t="shared" si="23"/>
        <v>Pantry</v>
      </c>
      <c r="E1492" t="s">
        <v>6</v>
      </c>
      <c r="F1492" s="2">
        <v>3</v>
      </c>
      <c r="G1492" s="3">
        <v>24</v>
      </c>
      <c r="H1492" s="3">
        <f>grocery_chain_data[[#This Row],[Quantity]]*grocery_chain_data[[#This Row],[Unit Price]]</f>
        <v>72</v>
      </c>
      <c r="I1492" s="3">
        <v>2</v>
      </c>
      <c r="J1492" s="3">
        <f>grocery_chain_data[[#This Row],[Total Amount]]-grocery_chain_data[[#This Row],[Discount Amount]]</f>
        <v>70</v>
      </c>
      <c r="K1492">
        <v>302</v>
      </c>
      <c r="L1492" t="str">
        <f>IF(grocery_chain_data[[#This Row],[Final Amount]]&lt;0,"Return","Sale")</f>
        <v>Sale</v>
      </c>
      <c r="M1492">
        <f>IF(grocery_chain_data[[#This Row],[Final Amount]]&lt;0,0,grocery_chain_data[[#This Row],[Final Amount]])</f>
        <v>70</v>
      </c>
    </row>
    <row r="1493" spans="1:13" x14ac:dyDescent="0.3">
      <c r="A1493">
        <v>8798</v>
      </c>
      <c r="B1493" t="s">
        <v>8</v>
      </c>
      <c r="C1493" s="1">
        <v>45188</v>
      </c>
      <c r="D1493" s="1" t="str">
        <f t="shared" si="23"/>
        <v>Dairy</v>
      </c>
      <c r="E1493" t="s">
        <v>19</v>
      </c>
      <c r="F1493" s="2">
        <v>1</v>
      </c>
      <c r="G1493" s="3">
        <v>17</v>
      </c>
      <c r="H1493" s="3">
        <f>grocery_chain_data[[#This Row],[Quantity]]*grocery_chain_data[[#This Row],[Unit Price]]</f>
        <v>17</v>
      </c>
      <c r="I1493" s="3">
        <v>3</v>
      </c>
      <c r="J1493" s="3">
        <f>grocery_chain_data[[#This Row],[Total Amount]]-grocery_chain_data[[#This Row],[Discount Amount]]</f>
        <v>14</v>
      </c>
      <c r="K1493">
        <v>487</v>
      </c>
      <c r="L1493" t="str">
        <f>IF(grocery_chain_data[[#This Row],[Final Amount]]&lt;0,"Return","Sale")</f>
        <v>Sale</v>
      </c>
      <c r="M1493">
        <f>IF(grocery_chain_data[[#This Row],[Final Amount]]&lt;0,0,grocery_chain_data[[#This Row],[Final Amount]])</f>
        <v>14</v>
      </c>
    </row>
    <row r="1494" spans="1:13" x14ac:dyDescent="0.3">
      <c r="A1494">
        <v>1154</v>
      </c>
      <c r="B1494" t="s">
        <v>2</v>
      </c>
      <c r="C1494" s="1">
        <v>45690</v>
      </c>
      <c r="D1494" s="1" t="str">
        <f t="shared" si="23"/>
        <v>Produce</v>
      </c>
      <c r="E1494" t="s">
        <v>11</v>
      </c>
      <c r="F1494" s="2">
        <v>4</v>
      </c>
      <c r="G1494" s="3">
        <v>15</v>
      </c>
      <c r="H1494" s="3">
        <f>grocery_chain_data[[#This Row],[Quantity]]*grocery_chain_data[[#This Row],[Unit Price]]</f>
        <v>60</v>
      </c>
      <c r="I1494" s="3">
        <v>12</v>
      </c>
      <c r="J1494" s="3">
        <f>grocery_chain_data[[#This Row],[Total Amount]]-grocery_chain_data[[#This Row],[Discount Amount]]</f>
        <v>48</v>
      </c>
      <c r="K1494">
        <v>473</v>
      </c>
      <c r="L1494" t="str">
        <f>IF(grocery_chain_data[[#This Row],[Final Amount]]&lt;0,"Return","Sale")</f>
        <v>Sale</v>
      </c>
      <c r="M1494">
        <f>IF(grocery_chain_data[[#This Row],[Final Amount]]&lt;0,0,grocery_chain_data[[#This Row],[Final Amount]])</f>
        <v>48</v>
      </c>
    </row>
    <row r="1495" spans="1:13" x14ac:dyDescent="0.3">
      <c r="A1495">
        <v>3807</v>
      </c>
      <c r="B1495" t="s">
        <v>13</v>
      </c>
      <c r="C1495" s="1">
        <v>45209</v>
      </c>
      <c r="D1495" s="1" t="str">
        <f t="shared" si="23"/>
        <v>Pantry</v>
      </c>
      <c r="E1495" t="s">
        <v>1</v>
      </c>
      <c r="F1495" s="2">
        <v>1</v>
      </c>
      <c r="G1495" s="3">
        <v>30</v>
      </c>
      <c r="H1495" s="3">
        <f>grocery_chain_data[[#This Row],[Quantity]]*grocery_chain_data[[#This Row],[Unit Price]]</f>
        <v>30</v>
      </c>
      <c r="I1495" s="3">
        <v>4</v>
      </c>
      <c r="J1495" s="3">
        <f>grocery_chain_data[[#This Row],[Total Amount]]-grocery_chain_data[[#This Row],[Discount Amount]]</f>
        <v>26</v>
      </c>
      <c r="K1495">
        <v>394</v>
      </c>
      <c r="L1495" t="str">
        <f>IF(grocery_chain_data[[#This Row],[Final Amount]]&lt;0,"Return","Sale")</f>
        <v>Sale</v>
      </c>
      <c r="M1495">
        <f>IF(grocery_chain_data[[#This Row],[Final Amount]]&lt;0,0,grocery_chain_data[[#This Row],[Final Amount]])</f>
        <v>26</v>
      </c>
    </row>
    <row r="1496" spans="1:13" x14ac:dyDescent="0.3">
      <c r="A1496">
        <v>9189</v>
      </c>
      <c r="B1496" t="s">
        <v>8</v>
      </c>
      <c r="C1496" s="1">
        <v>45801</v>
      </c>
      <c r="D1496" s="1" t="str">
        <f t="shared" si="23"/>
        <v>Pantry</v>
      </c>
      <c r="E1496" t="s">
        <v>1</v>
      </c>
      <c r="F1496" s="2">
        <v>3</v>
      </c>
      <c r="G1496" s="3">
        <v>9</v>
      </c>
      <c r="H1496" s="3">
        <f>grocery_chain_data[[#This Row],[Quantity]]*grocery_chain_data[[#This Row],[Unit Price]]</f>
        <v>27</v>
      </c>
      <c r="I1496" s="3">
        <v>2</v>
      </c>
      <c r="J1496" s="3">
        <f>grocery_chain_data[[#This Row],[Total Amount]]-grocery_chain_data[[#This Row],[Discount Amount]]</f>
        <v>25</v>
      </c>
      <c r="K1496">
        <v>128</v>
      </c>
      <c r="L1496" t="str">
        <f>IF(grocery_chain_data[[#This Row],[Final Amount]]&lt;0,"Return","Sale")</f>
        <v>Sale</v>
      </c>
      <c r="M1496">
        <f>IF(grocery_chain_data[[#This Row],[Final Amount]]&lt;0,0,grocery_chain_data[[#This Row],[Final Amount]])</f>
        <v>25</v>
      </c>
    </row>
    <row r="1497" spans="1:13" x14ac:dyDescent="0.3">
      <c r="A1497">
        <v>8109</v>
      </c>
      <c r="B1497" t="s">
        <v>16</v>
      </c>
      <c r="C1497" s="1">
        <v>45645</v>
      </c>
      <c r="D1497" s="1" t="str">
        <f t="shared" si="23"/>
        <v>Produce</v>
      </c>
      <c r="E1497" t="s">
        <v>11</v>
      </c>
      <c r="F1497" s="2">
        <v>4</v>
      </c>
      <c r="G1497" s="3">
        <v>14</v>
      </c>
      <c r="H1497" s="3">
        <f>grocery_chain_data[[#This Row],[Quantity]]*grocery_chain_data[[#This Row],[Unit Price]]</f>
        <v>56</v>
      </c>
      <c r="I1497" s="3">
        <v>6</v>
      </c>
      <c r="J1497" s="3">
        <f>grocery_chain_data[[#This Row],[Total Amount]]-grocery_chain_data[[#This Row],[Discount Amount]]</f>
        <v>50</v>
      </c>
      <c r="K1497">
        <v>225</v>
      </c>
      <c r="L1497" t="str">
        <f>IF(grocery_chain_data[[#This Row],[Final Amount]]&lt;0,"Return","Sale")</f>
        <v>Sale</v>
      </c>
      <c r="M1497">
        <f>IF(grocery_chain_data[[#This Row],[Final Amount]]&lt;0,0,grocery_chain_data[[#This Row],[Final Amount]])</f>
        <v>50</v>
      </c>
    </row>
    <row r="1498" spans="1:13" x14ac:dyDescent="0.3">
      <c r="A1498">
        <v>6427</v>
      </c>
      <c r="B1498" t="s">
        <v>13</v>
      </c>
      <c r="C1498" s="1">
        <v>45584</v>
      </c>
      <c r="D1498" s="1" t="str">
        <f t="shared" si="23"/>
        <v>Produce</v>
      </c>
      <c r="E1498" t="s">
        <v>25</v>
      </c>
      <c r="F1498" s="2">
        <v>5</v>
      </c>
      <c r="G1498" s="3">
        <v>7</v>
      </c>
      <c r="H1498" s="3">
        <f>grocery_chain_data[[#This Row],[Quantity]]*grocery_chain_data[[#This Row],[Unit Price]]</f>
        <v>35</v>
      </c>
      <c r="I1498" s="3">
        <v>5</v>
      </c>
      <c r="J1498" s="3">
        <f>grocery_chain_data[[#This Row],[Total Amount]]-grocery_chain_data[[#This Row],[Discount Amount]]</f>
        <v>30</v>
      </c>
      <c r="K1498">
        <v>29</v>
      </c>
      <c r="L1498" t="str">
        <f>IF(grocery_chain_data[[#This Row],[Final Amount]]&lt;0,"Return","Sale")</f>
        <v>Sale</v>
      </c>
      <c r="M1498">
        <f>IF(grocery_chain_data[[#This Row],[Final Amount]]&lt;0,0,grocery_chain_data[[#This Row],[Final Amount]])</f>
        <v>30</v>
      </c>
    </row>
    <row r="1499" spans="1:13" x14ac:dyDescent="0.3">
      <c r="A1499">
        <v>2562</v>
      </c>
      <c r="B1499" t="s">
        <v>2</v>
      </c>
      <c r="C1499" s="1">
        <v>45840</v>
      </c>
      <c r="D1499" s="1" t="str">
        <f t="shared" si="23"/>
        <v>Bakery</v>
      </c>
      <c r="E1499" t="s">
        <v>22</v>
      </c>
      <c r="F1499" s="2">
        <v>4</v>
      </c>
      <c r="G1499" s="3">
        <v>6</v>
      </c>
      <c r="H1499" s="3">
        <f>grocery_chain_data[[#This Row],[Quantity]]*grocery_chain_data[[#This Row],[Unit Price]]</f>
        <v>24</v>
      </c>
      <c r="I1499" s="3">
        <v>4</v>
      </c>
      <c r="J1499" s="3">
        <f>grocery_chain_data[[#This Row],[Total Amount]]-grocery_chain_data[[#This Row],[Discount Amount]]</f>
        <v>20</v>
      </c>
      <c r="K1499">
        <v>392</v>
      </c>
      <c r="L1499" t="str">
        <f>IF(grocery_chain_data[[#This Row],[Final Amount]]&lt;0,"Return","Sale")</f>
        <v>Sale</v>
      </c>
      <c r="M1499">
        <f>IF(grocery_chain_data[[#This Row],[Final Amount]]&lt;0,0,grocery_chain_data[[#This Row],[Final Amount]])</f>
        <v>20</v>
      </c>
    </row>
    <row r="1500" spans="1:13" x14ac:dyDescent="0.3">
      <c r="A1500">
        <v>9653</v>
      </c>
      <c r="B1500" t="s">
        <v>10</v>
      </c>
      <c r="C1500" s="1">
        <v>45858</v>
      </c>
      <c r="D1500" s="1" t="str">
        <f t="shared" si="23"/>
        <v>Meat &amp; Seafood</v>
      </c>
      <c r="E1500" t="s">
        <v>9</v>
      </c>
      <c r="F1500" s="2">
        <v>2</v>
      </c>
      <c r="G1500" s="3">
        <v>5</v>
      </c>
      <c r="H1500" s="3">
        <f>grocery_chain_data[[#This Row],[Quantity]]*grocery_chain_data[[#This Row],[Unit Price]]</f>
        <v>10</v>
      </c>
      <c r="I1500" s="3">
        <v>2</v>
      </c>
      <c r="J1500" s="3">
        <f>grocery_chain_data[[#This Row],[Total Amount]]-grocery_chain_data[[#This Row],[Discount Amount]]</f>
        <v>8</v>
      </c>
      <c r="K1500">
        <v>316</v>
      </c>
      <c r="L1500" t="str">
        <f>IF(grocery_chain_data[[#This Row],[Final Amount]]&lt;0,"Return","Sale")</f>
        <v>Sale</v>
      </c>
      <c r="M1500">
        <f>IF(grocery_chain_data[[#This Row],[Final Amount]]&lt;0,0,grocery_chain_data[[#This Row],[Final Amount]])</f>
        <v>8</v>
      </c>
    </row>
    <row r="1501" spans="1:13" x14ac:dyDescent="0.3">
      <c r="A1501">
        <v>1697</v>
      </c>
      <c r="B1501" t="s">
        <v>0</v>
      </c>
      <c r="C1501" s="1">
        <v>45323</v>
      </c>
      <c r="D1501" s="1" t="str">
        <f t="shared" si="23"/>
        <v>Dairy</v>
      </c>
      <c r="E1501" t="s">
        <v>19</v>
      </c>
      <c r="F1501" s="2">
        <v>2</v>
      </c>
      <c r="G1501" s="3">
        <v>21</v>
      </c>
      <c r="H1501" s="3">
        <f>grocery_chain_data[[#This Row],[Quantity]]*grocery_chain_data[[#This Row],[Unit Price]]</f>
        <v>42</v>
      </c>
      <c r="I1501" s="3">
        <v>2</v>
      </c>
      <c r="J1501" s="3">
        <f>grocery_chain_data[[#This Row],[Total Amount]]-grocery_chain_data[[#This Row],[Discount Amount]]</f>
        <v>40</v>
      </c>
      <c r="K1501">
        <v>440</v>
      </c>
      <c r="L1501" t="str">
        <f>IF(grocery_chain_data[[#This Row],[Final Amount]]&lt;0,"Return","Sale")</f>
        <v>Sale</v>
      </c>
      <c r="M1501">
        <f>IF(grocery_chain_data[[#This Row],[Final Amount]]&lt;0,0,grocery_chain_data[[#This Row],[Final Amount]])</f>
        <v>40</v>
      </c>
    </row>
    <row r="1502" spans="1:13" x14ac:dyDescent="0.3">
      <c r="A1502">
        <v>4463</v>
      </c>
      <c r="B1502" t="s">
        <v>2</v>
      </c>
      <c r="C1502" s="1">
        <v>45845</v>
      </c>
      <c r="D1502" s="1" t="str">
        <f t="shared" si="23"/>
        <v>Dairy</v>
      </c>
      <c r="E1502" t="s">
        <v>19</v>
      </c>
      <c r="F1502" s="2">
        <v>3</v>
      </c>
      <c r="G1502" s="3">
        <v>29</v>
      </c>
      <c r="H1502" s="3">
        <f>grocery_chain_data[[#This Row],[Quantity]]*grocery_chain_data[[#This Row],[Unit Price]]</f>
        <v>87</v>
      </c>
      <c r="I1502" s="3">
        <v>4</v>
      </c>
      <c r="J1502" s="3">
        <f>grocery_chain_data[[#This Row],[Total Amount]]-grocery_chain_data[[#This Row],[Discount Amount]]</f>
        <v>83</v>
      </c>
      <c r="K1502">
        <v>8</v>
      </c>
      <c r="L1502" t="str">
        <f>IF(grocery_chain_data[[#This Row],[Final Amount]]&lt;0,"Return","Sale")</f>
        <v>Sale</v>
      </c>
      <c r="M1502">
        <f>IF(grocery_chain_data[[#This Row],[Final Amount]]&lt;0,0,grocery_chain_data[[#This Row],[Final Amount]])</f>
        <v>83</v>
      </c>
    </row>
    <row r="1503" spans="1:13" x14ac:dyDescent="0.3">
      <c r="A1503">
        <v>8790</v>
      </c>
      <c r="B1503" t="s">
        <v>21</v>
      </c>
      <c r="C1503" s="1">
        <v>45355</v>
      </c>
      <c r="D1503" s="1" t="str">
        <f t="shared" si="23"/>
        <v>Meat &amp; Seafood</v>
      </c>
      <c r="E1503" t="s">
        <v>26</v>
      </c>
      <c r="F1503" s="2">
        <v>1</v>
      </c>
      <c r="G1503" s="3">
        <v>16</v>
      </c>
      <c r="H1503" s="3">
        <f>grocery_chain_data[[#This Row],[Quantity]]*grocery_chain_data[[#This Row],[Unit Price]]</f>
        <v>16</v>
      </c>
      <c r="I1503" s="3">
        <v>3</v>
      </c>
      <c r="J1503" s="3">
        <f>grocery_chain_data[[#This Row],[Total Amount]]-grocery_chain_data[[#This Row],[Discount Amount]]</f>
        <v>13</v>
      </c>
      <c r="K1503">
        <v>57</v>
      </c>
      <c r="L1503" t="str">
        <f>IF(grocery_chain_data[[#This Row],[Final Amount]]&lt;0,"Return","Sale")</f>
        <v>Sale</v>
      </c>
      <c r="M1503">
        <f>IF(grocery_chain_data[[#This Row],[Final Amount]]&lt;0,0,grocery_chain_data[[#This Row],[Final Amount]])</f>
        <v>13</v>
      </c>
    </row>
    <row r="1504" spans="1:13" x14ac:dyDescent="0.3">
      <c r="A1504">
        <v>1762</v>
      </c>
      <c r="B1504" t="s">
        <v>21</v>
      </c>
      <c r="C1504" s="1">
        <v>45862</v>
      </c>
      <c r="D1504" s="1" t="str">
        <f t="shared" si="23"/>
        <v>Beverages</v>
      </c>
      <c r="E1504" t="s">
        <v>7</v>
      </c>
      <c r="F1504" s="2">
        <v>4</v>
      </c>
      <c r="G1504" s="3">
        <v>3</v>
      </c>
      <c r="H1504" s="3">
        <f>grocery_chain_data[[#This Row],[Quantity]]*grocery_chain_data[[#This Row],[Unit Price]]</f>
        <v>12</v>
      </c>
      <c r="I1504" s="3">
        <v>2</v>
      </c>
      <c r="J1504" s="3">
        <f>grocery_chain_data[[#This Row],[Total Amount]]-grocery_chain_data[[#This Row],[Discount Amount]]</f>
        <v>10</v>
      </c>
      <c r="K1504">
        <v>218</v>
      </c>
      <c r="L1504" t="str">
        <f>IF(grocery_chain_data[[#This Row],[Final Amount]]&lt;0,"Return","Sale")</f>
        <v>Sale</v>
      </c>
      <c r="M1504">
        <f>IF(grocery_chain_data[[#This Row],[Final Amount]]&lt;0,0,grocery_chain_data[[#This Row],[Final Amount]])</f>
        <v>10</v>
      </c>
    </row>
    <row r="1505" spans="1:13" x14ac:dyDescent="0.3">
      <c r="A1505">
        <v>2218</v>
      </c>
      <c r="B1505" t="s">
        <v>13</v>
      </c>
      <c r="C1505" s="1">
        <v>45676</v>
      </c>
      <c r="D1505" s="1" t="str">
        <f t="shared" si="23"/>
        <v>Beverages</v>
      </c>
      <c r="E1505" t="s">
        <v>7</v>
      </c>
      <c r="F1505" s="2">
        <v>3</v>
      </c>
      <c r="G1505" s="3">
        <v>29</v>
      </c>
      <c r="H1505" s="3">
        <f>grocery_chain_data[[#This Row],[Quantity]]*grocery_chain_data[[#This Row],[Unit Price]]</f>
        <v>87</v>
      </c>
      <c r="I1505" s="3">
        <v>9</v>
      </c>
      <c r="J1505" s="3">
        <f>grocery_chain_data[[#This Row],[Total Amount]]-grocery_chain_data[[#This Row],[Discount Amount]]</f>
        <v>78</v>
      </c>
      <c r="K1505">
        <v>459</v>
      </c>
      <c r="L1505" t="str">
        <f>IF(grocery_chain_data[[#This Row],[Final Amount]]&lt;0,"Return","Sale")</f>
        <v>Sale</v>
      </c>
      <c r="M1505">
        <f>IF(grocery_chain_data[[#This Row],[Final Amount]]&lt;0,0,grocery_chain_data[[#This Row],[Final Amount]])</f>
        <v>78</v>
      </c>
    </row>
    <row r="1506" spans="1:13" x14ac:dyDescent="0.3">
      <c r="A1506">
        <v>5593</v>
      </c>
      <c r="B1506" t="s">
        <v>12</v>
      </c>
      <c r="C1506" s="1">
        <v>45843</v>
      </c>
      <c r="D1506" s="1" t="str">
        <f t="shared" si="23"/>
        <v>Produce</v>
      </c>
      <c r="E1506" t="s">
        <v>18</v>
      </c>
      <c r="F1506" s="2">
        <v>2</v>
      </c>
      <c r="G1506" s="3">
        <v>12</v>
      </c>
      <c r="H1506" s="3">
        <f>grocery_chain_data[[#This Row],[Quantity]]*grocery_chain_data[[#This Row],[Unit Price]]</f>
        <v>24</v>
      </c>
      <c r="I1506" s="3">
        <v>1</v>
      </c>
      <c r="J1506" s="3">
        <f>grocery_chain_data[[#This Row],[Total Amount]]-grocery_chain_data[[#This Row],[Discount Amount]]</f>
        <v>23</v>
      </c>
      <c r="K1506">
        <v>148</v>
      </c>
      <c r="L1506" t="str">
        <f>IF(grocery_chain_data[[#This Row],[Final Amount]]&lt;0,"Return","Sale")</f>
        <v>Sale</v>
      </c>
      <c r="M1506">
        <f>IF(grocery_chain_data[[#This Row],[Final Amount]]&lt;0,0,grocery_chain_data[[#This Row],[Final Amount]])</f>
        <v>23</v>
      </c>
    </row>
    <row r="1507" spans="1:13" x14ac:dyDescent="0.3">
      <c r="A1507">
        <v>9897</v>
      </c>
      <c r="B1507" t="s">
        <v>21</v>
      </c>
      <c r="C1507" s="1">
        <v>45582</v>
      </c>
      <c r="D1507" s="1" t="str">
        <f t="shared" si="23"/>
        <v>Produce</v>
      </c>
      <c r="E1507" t="s">
        <v>24</v>
      </c>
      <c r="F1507" s="2">
        <v>5</v>
      </c>
      <c r="G1507" s="3">
        <v>24</v>
      </c>
      <c r="H1507" s="3">
        <f>grocery_chain_data[[#This Row],[Quantity]]*grocery_chain_data[[#This Row],[Unit Price]]</f>
        <v>120</v>
      </c>
      <c r="I1507" s="3">
        <v>24</v>
      </c>
      <c r="J1507" s="3">
        <f>grocery_chain_data[[#This Row],[Total Amount]]-grocery_chain_data[[#This Row],[Discount Amount]]</f>
        <v>96</v>
      </c>
      <c r="K1507">
        <v>364</v>
      </c>
      <c r="L1507" t="str">
        <f>IF(grocery_chain_data[[#This Row],[Final Amount]]&lt;0,"Return","Sale")</f>
        <v>Sale</v>
      </c>
      <c r="M1507">
        <f>IF(grocery_chain_data[[#This Row],[Final Amount]]&lt;0,0,grocery_chain_data[[#This Row],[Final Amount]])</f>
        <v>96</v>
      </c>
    </row>
    <row r="1508" spans="1:13" x14ac:dyDescent="0.3">
      <c r="A1508">
        <v>1539</v>
      </c>
      <c r="B1508" t="s">
        <v>8</v>
      </c>
      <c r="C1508" s="1">
        <v>45284</v>
      </c>
      <c r="D1508" s="1" t="str">
        <f t="shared" si="23"/>
        <v>Dairy</v>
      </c>
      <c r="E1508" t="s">
        <v>19</v>
      </c>
      <c r="F1508" s="2">
        <v>2</v>
      </c>
      <c r="G1508" s="3">
        <v>12</v>
      </c>
      <c r="H1508" s="3">
        <f>grocery_chain_data[[#This Row],[Quantity]]*grocery_chain_data[[#This Row],[Unit Price]]</f>
        <v>24</v>
      </c>
      <c r="I1508" s="3">
        <v>5</v>
      </c>
      <c r="J1508" s="3">
        <f>grocery_chain_data[[#This Row],[Total Amount]]-grocery_chain_data[[#This Row],[Discount Amount]]</f>
        <v>19</v>
      </c>
      <c r="K1508">
        <v>332</v>
      </c>
      <c r="L1508" t="str">
        <f>IF(grocery_chain_data[[#This Row],[Final Amount]]&lt;0,"Return","Sale")</f>
        <v>Sale</v>
      </c>
      <c r="M1508">
        <f>IF(grocery_chain_data[[#This Row],[Final Amount]]&lt;0,0,grocery_chain_data[[#This Row],[Final Amount]])</f>
        <v>19</v>
      </c>
    </row>
    <row r="1509" spans="1:13" x14ac:dyDescent="0.3">
      <c r="A1509">
        <v>6152</v>
      </c>
      <c r="B1509" t="s">
        <v>21</v>
      </c>
      <c r="C1509" s="1">
        <v>45157</v>
      </c>
      <c r="D1509" s="1" t="str">
        <f t="shared" si="23"/>
        <v>Produce</v>
      </c>
      <c r="E1509" t="s">
        <v>24</v>
      </c>
      <c r="F1509" s="2">
        <v>5</v>
      </c>
      <c r="G1509" s="3">
        <v>19</v>
      </c>
      <c r="H1509" s="3">
        <f>grocery_chain_data[[#This Row],[Quantity]]*grocery_chain_data[[#This Row],[Unit Price]]</f>
        <v>95</v>
      </c>
      <c r="I1509" s="3">
        <v>4</v>
      </c>
      <c r="J1509" s="3">
        <f>grocery_chain_data[[#This Row],[Total Amount]]-grocery_chain_data[[#This Row],[Discount Amount]]</f>
        <v>91</v>
      </c>
      <c r="K1509">
        <v>375</v>
      </c>
      <c r="L1509" t="str">
        <f>IF(grocery_chain_data[[#This Row],[Final Amount]]&lt;0,"Return","Sale")</f>
        <v>Sale</v>
      </c>
      <c r="M1509">
        <f>IF(grocery_chain_data[[#This Row],[Final Amount]]&lt;0,0,grocery_chain_data[[#This Row],[Final Amount]])</f>
        <v>91</v>
      </c>
    </row>
    <row r="1510" spans="1:13" x14ac:dyDescent="0.3">
      <c r="A1510">
        <v>4394</v>
      </c>
      <c r="B1510" t="s">
        <v>2</v>
      </c>
      <c r="C1510" s="1">
        <v>45600</v>
      </c>
      <c r="D1510" s="1" t="str">
        <f t="shared" si="23"/>
        <v>Produce</v>
      </c>
      <c r="E1510" t="s">
        <v>25</v>
      </c>
      <c r="F1510" s="2">
        <v>5</v>
      </c>
      <c r="G1510" s="3">
        <v>16</v>
      </c>
      <c r="H1510" s="3">
        <f>grocery_chain_data[[#This Row],[Quantity]]*grocery_chain_data[[#This Row],[Unit Price]]</f>
        <v>80</v>
      </c>
      <c r="I1510" s="3">
        <v>16</v>
      </c>
      <c r="J1510" s="3">
        <f>grocery_chain_data[[#This Row],[Total Amount]]-grocery_chain_data[[#This Row],[Discount Amount]]</f>
        <v>64</v>
      </c>
      <c r="K1510">
        <v>162</v>
      </c>
      <c r="L1510" t="str">
        <f>IF(grocery_chain_data[[#This Row],[Final Amount]]&lt;0,"Return","Sale")</f>
        <v>Sale</v>
      </c>
      <c r="M1510">
        <f>IF(grocery_chain_data[[#This Row],[Final Amount]]&lt;0,0,grocery_chain_data[[#This Row],[Final Amount]])</f>
        <v>64</v>
      </c>
    </row>
    <row r="1511" spans="1:13" x14ac:dyDescent="0.3">
      <c r="A1511">
        <v>3362</v>
      </c>
      <c r="B1511" t="s">
        <v>12</v>
      </c>
      <c r="C1511" s="1">
        <v>45729</v>
      </c>
      <c r="D1511" s="1" t="str">
        <f t="shared" si="23"/>
        <v>Pantry</v>
      </c>
      <c r="E1511" t="s">
        <v>6</v>
      </c>
      <c r="F1511" s="2">
        <v>2</v>
      </c>
      <c r="G1511" s="3">
        <v>24</v>
      </c>
      <c r="H1511" s="3">
        <f>grocery_chain_data[[#This Row],[Quantity]]*grocery_chain_data[[#This Row],[Unit Price]]</f>
        <v>48</v>
      </c>
      <c r="I1511" s="3">
        <v>10</v>
      </c>
      <c r="J1511" s="3">
        <f>grocery_chain_data[[#This Row],[Total Amount]]-grocery_chain_data[[#This Row],[Discount Amount]]</f>
        <v>38</v>
      </c>
      <c r="K1511">
        <v>500</v>
      </c>
      <c r="L1511" t="str">
        <f>IF(grocery_chain_data[[#This Row],[Final Amount]]&lt;0,"Return","Sale")</f>
        <v>Sale</v>
      </c>
      <c r="M1511">
        <f>IF(grocery_chain_data[[#This Row],[Final Amount]]&lt;0,0,grocery_chain_data[[#This Row],[Final Amount]])</f>
        <v>38</v>
      </c>
    </row>
    <row r="1512" spans="1:13" x14ac:dyDescent="0.3">
      <c r="A1512">
        <v>7525</v>
      </c>
      <c r="B1512" t="s">
        <v>10</v>
      </c>
      <c r="C1512" s="1">
        <v>45866</v>
      </c>
      <c r="D1512" s="1" t="str">
        <f t="shared" si="23"/>
        <v>Meat &amp; Seafood</v>
      </c>
      <c r="E1512" t="s">
        <v>26</v>
      </c>
      <c r="F1512" s="2">
        <v>2</v>
      </c>
      <c r="G1512" s="3">
        <v>14</v>
      </c>
      <c r="H1512" s="3">
        <f>grocery_chain_data[[#This Row],[Quantity]]*grocery_chain_data[[#This Row],[Unit Price]]</f>
        <v>28</v>
      </c>
      <c r="I1512" s="3">
        <v>4</v>
      </c>
      <c r="J1512" s="3">
        <f>grocery_chain_data[[#This Row],[Total Amount]]-grocery_chain_data[[#This Row],[Discount Amount]]</f>
        <v>24</v>
      </c>
      <c r="K1512">
        <v>490</v>
      </c>
      <c r="L1512" t="str">
        <f>IF(grocery_chain_data[[#This Row],[Final Amount]]&lt;0,"Return","Sale")</f>
        <v>Sale</v>
      </c>
      <c r="M1512">
        <f>IF(grocery_chain_data[[#This Row],[Final Amount]]&lt;0,0,grocery_chain_data[[#This Row],[Final Amount]])</f>
        <v>24</v>
      </c>
    </row>
    <row r="1513" spans="1:13" x14ac:dyDescent="0.3">
      <c r="A1513">
        <v>2260</v>
      </c>
      <c r="B1513" t="s">
        <v>0</v>
      </c>
      <c r="C1513" s="1">
        <v>45377</v>
      </c>
      <c r="D1513" s="1" t="str">
        <f t="shared" si="23"/>
        <v>Produce</v>
      </c>
      <c r="E1513" t="s">
        <v>4</v>
      </c>
      <c r="F1513" s="2">
        <v>5</v>
      </c>
      <c r="G1513" s="3">
        <v>3</v>
      </c>
      <c r="H1513" s="3">
        <f>grocery_chain_data[[#This Row],[Quantity]]*grocery_chain_data[[#This Row],[Unit Price]]</f>
        <v>15</v>
      </c>
      <c r="I1513" s="3">
        <v>2</v>
      </c>
      <c r="J1513" s="3">
        <f>grocery_chain_data[[#This Row],[Total Amount]]-grocery_chain_data[[#This Row],[Discount Amount]]</f>
        <v>13</v>
      </c>
      <c r="K1513">
        <v>185</v>
      </c>
      <c r="L1513" t="str">
        <f>IF(grocery_chain_data[[#This Row],[Final Amount]]&lt;0,"Return","Sale")</f>
        <v>Sale</v>
      </c>
      <c r="M1513">
        <f>IF(grocery_chain_data[[#This Row],[Final Amount]]&lt;0,0,grocery_chain_data[[#This Row],[Final Amount]])</f>
        <v>13</v>
      </c>
    </row>
    <row r="1514" spans="1:13" x14ac:dyDescent="0.3">
      <c r="A1514">
        <v>3661</v>
      </c>
      <c r="B1514" t="s">
        <v>8</v>
      </c>
      <c r="C1514" s="1">
        <v>45583</v>
      </c>
      <c r="D1514" s="1" t="str">
        <f t="shared" si="23"/>
        <v>Dairy</v>
      </c>
      <c r="E1514" t="s">
        <v>20</v>
      </c>
      <c r="F1514" s="2">
        <v>5</v>
      </c>
      <c r="G1514" s="3">
        <v>8</v>
      </c>
      <c r="H1514" s="3">
        <f>grocery_chain_data[[#This Row],[Quantity]]*grocery_chain_data[[#This Row],[Unit Price]]</f>
        <v>40</v>
      </c>
      <c r="I1514" s="3">
        <v>0</v>
      </c>
      <c r="J1514" s="3">
        <f>grocery_chain_data[[#This Row],[Total Amount]]-grocery_chain_data[[#This Row],[Discount Amount]]</f>
        <v>40</v>
      </c>
      <c r="K1514">
        <v>465</v>
      </c>
      <c r="L1514" t="str">
        <f>IF(grocery_chain_data[[#This Row],[Final Amount]]&lt;0,"Return","Sale")</f>
        <v>Sale</v>
      </c>
      <c r="M1514">
        <f>IF(grocery_chain_data[[#This Row],[Final Amount]]&lt;0,0,grocery_chain_data[[#This Row],[Final Amount]])</f>
        <v>40</v>
      </c>
    </row>
    <row r="1515" spans="1:13" x14ac:dyDescent="0.3">
      <c r="A1515">
        <v>4939</v>
      </c>
      <c r="B1515" t="s">
        <v>5</v>
      </c>
      <c r="C1515" s="1">
        <v>45585</v>
      </c>
      <c r="D1515" s="1" t="str">
        <f t="shared" si="23"/>
        <v>Pantry</v>
      </c>
      <c r="E1515" t="s">
        <v>1</v>
      </c>
      <c r="F1515" s="2">
        <v>3</v>
      </c>
      <c r="G1515" s="3">
        <v>11</v>
      </c>
      <c r="H1515" s="3">
        <f>grocery_chain_data[[#This Row],[Quantity]]*grocery_chain_data[[#This Row],[Unit Price]]</f>
        <v>33</v>
      </c>
      <c r="I1515" s="3">
        <v>3</v>
      </c>
      <c r="J1515" s="3">
        <f>grocery_chain_data[[#This Row],[Total Amount]]-grocery_chain_data[[#This Row],[Discount Amount]]</f>
        <v>30</v>
      </c>
      <c r="K1515">
        <v>60</v>
      </c>
      <c r="L1515" t="str">
        <f>IF(grocery_chain_data[[#This Row],[Final Amount]]&lt;0,"Return","Sale")</f>
        <v>Sale</v>
      </c>
      <c r="M1515">
        <f>IF(grocery_chain_data[[#This Row],[Final Amount]]&lt;0,0,grocery_chain_data[[#This Row],[Final Amount]])</f>
        <v>30</v>
      </c>
    </row>
    <row r="1516" spans="1:13" x14ac:dyDescent="0.3">
      <c r="A1516">
        <v>7375</v>
      </c>
      <c r="B1516" t="s">
        <v>8</v>
      </c>
      <c r="C1516" s="1">
        <v>45670</v>
      </c>
      <c r="D1516" s="1" t="str">
        <f t="shared" si="23"/>
        <v>Dairy</v>
      </c>
      <c r="E1516" t="s">
        <v>20</v>
      </c>
      <c r="F1516" s="2">
        <v>5</v>
      </c>
      <c r="G1516" s="3">
        <v>15</v>
      </c>
      <c r="H1516" s="3">
        <f>grocery_chain_data[[#This Row],[Quantity]]*grocery_chain_data[[#This Row],[Unit Price]]</f>
        <v>75</v>
      </c>
      <c r="I1516" s="3">
        <v>15</v>
      </c>
      <c r="J1516" s="3">
        <f>grocery_chain_data[[#This Row],[Total Amount]]-grocery_chain_data[[#This Row],[Discount Amount]]</f>
        <v>60</v>
      </c>
      <c r="K1516">
        <v>451</v>
      </c>
      <c r="L1516" t="str">
        <f>IF(grocery_chain_data[[#This Row],[Final Amount]]&lt;0,"Return","Sale")</f>
        <v>Sale</v>
      </c>
      <c r="M1516">
        <f>IF(grocery_chain_data[[#This Row],[Final Amount]]&lt;0,0,grocery_chain_data[[#This Row],[Final Amount]])</f>
        <v>60</v>
      </c>
    </row>
    <row r="1517" spans="1:13" x14ac:dyDescent="0.3">
      <c r="A1517">
        <v>9856</v>
      </c>
      <c r="B1517" t="s">
        <v>10</v>
      </c>
      <c r="C1517" s="1">
        <v>45402</v>
      </c>
      <c r="D1517" s="1" t="str">
        <f t="shared" si="23"/>
        <v>Produce</v>
      </c>
      <c r="E1517" t="s">
        <v>11</v>
      </c>
      <c r="F1517" s="2">
        <v>1</v>
      </c>
      <c r="G1517" s="3">
        <v>13</v>
      </c>
      <c r="H1517" s="3">
        <f>grocery_chain_data[[#This Row],[Quantity]]*grocery_chain_data[[#This Row],[Unit Price]]</f>
        <v>13</v>
      </c>
      <c r="I1517" s="3">
        <v>0</v>
      </c>
      <c r="J1517" s="3">
        <f>grocery_chain_data[[#This Row],[Total Amount]]-grocery_chain_data[[#This Row],[Discount Amount]]</f>
        <v>13</v>
      </c>
      <c r="K1517">
        <v>391</v>
      </c>
      <c r="L1517" t="str">
        <f>IF(grocery_chain_data[[#This Row],[Final Amount]]&lt;0,"Return","Sale")</f>
        <v>Sale</v>
      </c>
      <c r="M1517">
        <f>IF(grocery_chain_data[[#This Row],[Final Amount]]&lt;0,0,grocery_chain_data[[#This Row],[Final Amount]])</f>
        <v>13</v>
      </c>
    </row>
    <row r="1518" spans="1:13" x14ac:dyDescent="0.3">
      <c r="A1518">
        <v>7288</v>
      </c>
      <c r="B1518" t="s">
        <v>0</v>
      </c>
      <c r="C1518" s="1">
        <v>45731</v>
      </c>
      <c r="D1518" s="1" t="str">
        <f t="shared" si="23"/>
        <v>Dairy</v>
      </c>
      <c r="E1518" t="s">
        <v>19</v>
      </c>
      <c r="F1518" s="2">
        <v>4</v>
      </c>
      <c r="G1518" s="3">
        <v>2</v>
      </c>
      <c r="H1518" s="3">
        <f>grocery_chain_data[[#This Row],[Quantity]]*grocery_chain_data[[#This Row],[Unit Price]]</f>
        <v>8</v>
      </c>
      <c r="I1518" s="3">
        <v>1</v>
      </c>
      <c r="J1518" s="3">
        <f>grocery_chain_data[[#This Row],[Total Amount]]-grocery_chain_data[[#This Row],[Discount Amount]]</f>
        <v>7</v>
      </c>
      <c r="K1518">
        <v>85</v>
      </c>
      <c r="L1518" t="str">
        <f>IF(grocery_chain_data[[#This Row],[Final Amount]]&lt;0,"Return","Sale")</f>
        <v>Sale</v>
      </c>
      <c r="M1518">
        <f>IF(grocery_chain_data[[#This Row],[Final Amount]]&lt;0,0,grocery_chain_data[[#This Row],[Final Amount]])</f>
        <v>7</v>
      </c>
    </row>
    <row r="1519" spans="1:13" x14ac:dyDescent="0.3">
      <c r="A1519">
        <v>3292</v>
      </c>
      <c r="B1519" t="s">
        <v>2</v>
      </c>
      <c r="C1519" s="1">
        <v>45758</v>
      </c>
      <c r="D1519" s="1" t="str">
        <f t="shared" si="23"/>
        <v>Produce</v>
      </c>
      <c r="E1519" t="s">
        <v>14</v>
      </c>
      <c r="F1519" s="2">
        <v>4</v>
      </c>
      <c r="G1519" s="3">
        <v>11</v>
      </c>
      <c r="H1519" s="3">
        <f>grocery_chain_data[[#This Row],[Quantity]]*grocery_chain_data[[#This Row],[Unit Price]]</f>
        <v>44</v>
      </c>
      <c r="I1519" s="3">
        <v>0</v>
      </c>
      <c r="J1519" s="3">
        <f>grocery_chain_data[[#This Row],[Total Amount]]-grocery_chain_data[[#This Row],[Discount Amount]]</f>
        <v>44</v>
      </c>
      <c r="K1519">
        <v>205</v>
      </c>
      <c r="L1519" t="str">
        <f>IF(grocery_chain_data[[#This Row],[Final Amount]]&lt;0,"Return","Sale")</f>
        <v>Sale</v>
      </c>
      <c r="M1519">
        <f>IF(grocery_chain_data[[#This Row],[Final Amount]]&lt;0,0,grocery_chain_data[[#This Row],[Final Amount]])</f>
        <v>44</v>
      </c>
    </row>
    <row r="1520" spans="1:13" x14ac:dyDescent="0.3">
      <c r="A1520">
        <v>2284</v>
      </c>
      <c r="B1520" t="s">
        <v>12</v>
      </c>
      <c r="C1520" s="1">
        <v>45533</v>
      </c>
      <c r="D1520" s="1" t="str">
        <f t="shared" si="23"/>
        <v>Pantry</v>
      </c>
      <c r="E1520" t="s">
        <v>6</v>
      </c>
      <c r="F1520" s="2">
        <v>3</v>
      </c>
      <c r="G1520" s="3">
        <v>18</v>
      </c>
      <c r="H1520" s="3">
        <f>grocery_chain_data[[#This Row],[Quantity]]*grocery_chain_data[[#This Row],[Unit Price]]</f>
        <v>54</v>
      </c>
      <c r="I1520" s="3">
        <v>0</v>
      </c>
      <c r="J1520" s="3">
        <f>grocery_chain_data[[#This Row],[Total Amount]]-grocery_chain_data[[#This Row],[Discount Amount]]</f>
        <v>54</v>
      </c>
      <c r="K1520">
        <v>315</v>
      </c>
      <c r="L1520" t="str">
        <f>IF(grocery_chain_data[[#This Row],[Final Amount]]&lt;0,"Return","Sale")</f>
        <v>Sale</v>
      </c>
      <c r="M1520">
        <f>IF(grocery_chain_data[[#This Row],[Final Amount]]&lt;0,0,grocery_chain_data[[#This Row],[Final Amount]])</f>
        <v>54</v>
      </c>
    </row>
    <row r="1521" spans="1:13" x14ac:dyDescent="0.3">
      <c r="A1521">
        <v>6666</v>
      </c>
      <c r="B1521" t="s">
        <v>13</v>
      </c>
      <c r="C1521" s="1">
        <v>45186</v>
      </c>
      <c r="D1521" s="1" t="str">
        <f t="shared" si="23"/>
        <v>Beverages</v>
      </c>
      <c r="E1521" t="s">
        <v>7</v>
      </c>
      <c r="F1521" s="2">
        <v>4</v>
      </c>
      <c r="G1521" s="3">
        <v>27</v>
      </c>
      <c r="H1521" s="3">
        <f>grocery_chain_data[[#This Row],[Quantity]]*grocery_chain_data[[#This Row],[Unit Price]]</f>
        <v>108</v>
      </c>
      <c r="I1521" s="3">
        <v>0</v>
      </c>
      <c r="J1521" s="3">
        <f>grocery_chain_data[[#This Row],[Total Amount]]-grocery_chain_data[[#This Row],[Discount Amount]]</f>
        <v>108</v>
      </c>
      <c r="K1521">
        <v>322</v>
      </c>
      <c r="L1521" t="str">
        <f>IF(grocery_chain_data[[#This Row],[Final Amount]]&lt;0,"Return","Sale")</f>
        <v>Sale</v>
      </c>
      <c r="M1521">
        <f>IF(grocery_chain_data[[#This Row],[Final Amount]]&lt;0,0,grocery_chain_data[[#This Row],[Final Amount]])</f>
        <v>108</v>
      </c>
    </row>
    <row r="1522" spans="1:13" x14ac:dyDescent="0.3">
      <c r="A1522">
        <v>2600</v>
      </c>
      <c r="B1522" t="s">
        <v>8</v>
      </c>
      <c r="C1522" s="1">
        <v>45484</v>
      </c>
      <c r="D1522" s="1" t="str">
        <f t="shared" si="23"/>
        <v>Produce</v>
      </c>
      <c r="E1522" t="s">
        <v>25</v>
      </c>
      <c r="F1522" s="2">
        <v>2</v>
      </c>
      <c r="G1522" s="3">
        <v>22</v>
      </c>
      <c r="H1522" s="3">
        <f>grocery_chain_data[[#This Row],[Quantity]]*grocery_chain_data[[#This Row],[Unit Price]]</f>
        <v>44</v>
      </c>
      <c r="I1522" s="3">
        <v>9</v>
      </c>
      <c r="J1522" s="3">
        <f>grocery_chain_data[[#This Row],[Total Amount]]-grocery_chain_data[[#This Row],[Discount Amount]]</f>
        <v>35</v>
      </c>
      <c r="K1522">
        <v>370</v>
      </c>
      <c r="L1522" t="str">
        <f>IF(grocery_chain_data[[#This Row],[Final Amount]]&lt;0,"Return","Sale")</f>
        <v>Sale</v>
      </c>
      <c r="M1522">
        <f>IF(grocery_chain_data[[#This Row],[Final Amount]]&lt;0,0,grocery_chain_data[[#This Row],[Final Amount]])</f>
        <v>35</v>
      </c>
    </row>
    <row r="1523" spans="1:13" x14ac:dyDescent="0.3">
      <c r="A1523">
        <v>4803</v>
      </c>
      <c r="B1523" t="s">
        <v>13</v>
      </c>
      <c r="C1523" s="1">
        <v>45796</v>
      </c>
      <c r="D1523" s="1" t="str">
        <f t="shared" si="23"/>
        <v>Beverages</v>
      </c>
      <c r="E1523" t="s">
        <v>7</v>
      </c>
      <c r="F1523" s="2">
        <v>4</v>
      </c>
      <c r="G1523" s="3">
        <v>12</v>
      </c>
      <c r="H1523" s="3">
        <f>grocery_chain_data[[#This Row],[Quantity]]*grocery_chain_data[[#This Row],[Unit Price]]</f>
        <v>48</v>
      </c>
      <c r="I1523" s="3">
        <v>4</v>
      </c>
      <c r="J1523" s="3">
        <f>grocery_chain_data[[#This Row],[Total Amount]]-grocery_chain_data[[#This Row],[Discount Amount]]</f>
        <v>44</v>
      </c>
      <c r="K1523">
        <v>224</v>
      </c>
      <c r="L1523" t="str">
        <f>IF(grocery_chain_data[[#This Row],[Final Amount]]&lt;0,"Return","Sale")</f>
        <v>Sale</v>
      </c>
      <c r="M1523">
        <f>IF(grocery_chain_data[[#This Row],[Final Amount]]&lt;0,0,grocery_chain_data[[#This Row],[Final Amount]])</f>
        <v>44</v>
      </c>
    </row>
    <row r="1524" spans="1:13" x14ac:dyDescent="0.3">
      <c r="A1524">
        <v>2245</v>
      </c>
      <c r="B1524" t="s">
        <v>12</v>
      </c>
      <c r="C1524" s="1">
        <v>45409</v>
      </c>
      <c r="D1524" s="1" t="str">
        <f t="shared" si="23"/>
        <v>Meat &amp; Seafood</v>
      </c>
      <c r="E1524" t="s">
        <v>9</v>
      </c>
      <c r="F1524" s="2">
        <v>3</v>
      </c>
      <c r="G1524" s="3">
        <v>15</v>
      </c>
      <c r="H1524" s="3">
        <f>grocery_chain_data[[#This Row],[Quantity]]*grocery_chain_data[[#This Row],[Unit Price]]</f>
        <v>45</v>
      </c>
      <c r="I1524" s="3">
        <v>7</v>
      </c>
      <c r="J1524" s="3">
        <f>grocery_chain_data[[#This Row],[Total Amount]]-grocery_chain_data[[#This Row],[Discount Amount]]</f>
        <v>38</v>
      </c>
      <c r="K1524">
        <v>24</v>
      </c>
      <c r="L1524" t="str">
        <f>IF(grocery_chain_data[[#This Row],[Final Amount]]&lt;0,"Return","Sale")</f>
        <v>Sale</v>
      </c>
      <c r="M1524">
        <f>IF(grocery_chain_data[[#This Row],[Final Amount]]&lt;0,0,grocery_chain_data[[#This Row],[Final Amount]])</f>
        <v>38</v>
      </c>
    </row>
    <row r="1525" spans="1:13" x14ac:dyDescent="0.3">
      <c r="A1525">
        <v>7499</v>
      </c>
      <c r="B1525" t="s">
        <v>16</v>
      </c>
      <c r="C1525" s="1">
        <v>45745</v>
      </c>
      <c r="D1525" s="1" t="str">
        <f t="shared" si="23"/>
        <v>Pantry</v>
      </c>
      <c r="E1525" t="s">
        <v>6</v>
      </c>
      <c r="F1525" s="2">
        <v>2</v>
      </c>
      <c r="G1525" s="3">
        <v>29</v>
      </c>
      <c r="H1525" s="3">
        <f>grocery_chain_data[[#This Row],[Quantity]]*grocery_chain_data[[#This Row],[Unit Price]]</f>
        <v>58</v>
      </c>
      <c r="I1525" s="3">
        <v>6</v>
      </c>
      <c r="J1525" s="3">
        <f>grocery_chain_data[[#This Row],[Total Amount]]-grocery_chain_data[[#This Row],[Discount Amount]]</f>
        <v>52</v>
      </c>
      <c r="K1525">
        <v>21</v>
      </c>
      <c r="L1525" t="str">
        <f>IF(grocery_chain_data[[#This Row],[Final Amount]]&lt;0,"Return","Sale")</f>
        <v>Sale</v>
      </c>
      <c r="M1525">
        <f>IF(grocery_chain_data[[#This Row],[Final Amount]]&lt;0,0,grocery_chain_data[[#This Row],[Final Amount]])</f>
        <v>52</v>
      </c>
    </row>
    <row r="1526" spans="1:13" x14ac:dyDescent="0.3">
      <c r="A1526">
        <v>6347</v>
      </c>
      <c r="B1526" t="s">
        <v>2</v>
      </c>
      <c r="C1526" s="1">
        <v>45168</v>
      </c>
      <c r="D1526" s="1" t="str">
        <f t="shared" si="23"/>
        <v>Pantry</v>
      </c>
      <c r="E1526" t="s">
        <v>6</v>
      </c>
      <c r="F1526" s="2">
        <v>1</v>
      </c>
      <c r="G1526" s="3">
        <v>11</v>
      </c>
      <c r="H1526" s="3">
        <f>grocery_chain_data[[#This Row],[Quantity]]*grocery_chain_data[[#This Row],[Unit Price]]</f>
        <v>11</v>
      </c>
      <c r="I1526" s="3">
        <v>2</v>
      </c>
      <c r="J1526" s="3">
        <f>grocery_chain_data[[#This Row],[Total Amount]]-grocery_chain_data[[#This Row],[Discount Amount]]</f>
        <v>9</v>
      </c>
      <c r="K1526">
        <v>84</v>
      </c>
      <c r="L1526" t="str">
        <f>IF(grocery_chain_data[[#This Row],[Final Amount]]&lt;0,"Return","Sale")</f>
        <v>Sale</v>
      </c>
      <c r="M1526">
        <f>IF(grocery_chain_data[[#This Row],[Final Amount]]&lt;0,0,grocery_chain_data[[#This Row],[Final Amount]])</f>
        <v>9</v>
      </c>
    </row>
    <row r="1527" spans="1:13" x14ac:dyDescent="0.3">
      <c r="A1527">
        <v>5478</v>
      </c>
      <c r="B1527" t="s">
        <v>12</v>
      </c>
      <c r="C1527" s="1">
        <v>45753</v>
      </c>
      <c r="D1527" s="1" t="str">
        <f t="shared" si="23"/>
        <v>Meat &amp; Seafood</v>
      </c>
      <c r="E1527" t="s">
        <v>15</v>
      </c>
      <c r="F1527" s="2">
        <v>2</v>
      </c>
      <c r="G1527" s="3">
        <v>27</v>
      </c>
      <c r="H1527" s="3">
        <f>grocery_chain_data[[#This Row],[Quantity]]*grocery_chain_data[[#This Row],[Unit Price]]</f>
        <v>54</v>
      </c>
      <c r="I1527" s="3">
        <v>4</v>
      </c>
      <c r="J1527" s="3">
        <f>grocery_chain_data[[#This Row],[Total Amount]]-grocery_chain_data[[#This Row],[Discount Amount]]</f>
        <v>50</v>
      </c>
      <c r="K1527">
        <v>147</v>
      </c>
      <c r="L1527" t="str">
        <f>IF(grocery_chain_data[[#This Row],[Final Amount]]&lt;0,"Return","Sale")</f>
        <v>Sale</v>
      </c>
      <c r="M1527">
        <f>IF(grocery_chain_data[[#This Row],[Final Amount]]&lt;0,0,grocery_chain_data[[#This Row],[Final Amount]])</f>
        <v>50</v>
      </c>
    </row>
    <row r="1528" spans="1:13" x14ac:dyDescent="0.3">
      <c r="A1528">
        <v>8381</v>
      </c>
      <c r="B1528" t="s">
        <v>21</v>
      </c>
      <c r="C1528" s="1">
        <v>45526</v>
      </c>
      <c r="D1528" s="1" t="str">
        <f t="shared" si="23"/>
        <v>Pantry</v>
      </c>
      <c r="E1528" t="s">
        <v>1</v>
      </c>
      <c r="F1528" s="2">
        <v>2</v>
      </c>
      <c r="G1528" s="3">
        <v>4</v>
      </c>
      <c r="H1528" s="3">
        <f>grocery_chain_data[[#This Row],[Quantity]]*grocery_chain_data[[#This Row],[Unit Price]]</f>
        <v>8</v>
      </c>
      <c r="I1528" s="3">
        <v>3</v>
      </c>
      <c r="J1528" s="3">
        <f>grocery_chain_data[[#This Row],[Total Amount]]-grocery_chain_data[[#This Row],[Discount Amount]]</f>
        <v>5</v>
      </c>
      <c r="K1528">
        <v>282</v>
      </c>
      <c r="L1528" t="str">
        <f>IF(grocery_chain_data[[#This Row],[Final Amount]]&lt;0,"Return","Sale")</f>
        <v>Sale</v>
      </c>
      <c r="M1528">
        <f>IF(grocery_chain_data[[#This Row],[Final Amount]]&lt;0,0,grocery_chain_data[[#This Row],[Final Amount]])</f>
        <v>5</v>
      </c>
    </row>
    <row r="1529" spans="1:13" x14ac:dyDescent="0.3">
      <c r="A1529">
        <v>4737</v>
      </c>
      <c r="B1529" t="s">
        <v>13</v>
      </c>
      <c r="C1529" s="1">
        <v>45421</v>
      </c>
      <c r="D1529" s="1" t="str">
        <f t="shared" si="23"/>
        <v>Produce</v>
      </c>
      <c r="E1529" t="s">
        <v>4</v>
      </c>
      <c r="F1529" s="2">
        <v>2</v>
      </c>
      <c r="G1529" s="3">
        <v>1</v>
      </c>
      <c r="H1529" s="3">
        <f>grocery_chain_data[[#This Row],[Quantity]]*grocery_chain_data[[#This Row],[Unit Price]]</f>
        <v>2</v>
      </c>
      <c r="I1529" s="3">
        <v>0</v>
      </c>
      <c r="J1529" s="3">
        <f>grocery_chain_data[[#This Row],[Total Amount]]-grocery_chain_data[[#This Row],[Discount Amount]]</f>
        <v>2</v>
      </c>
      <c r="K1529">
        <v>426</v>
      </c>
      <c r="L1529" t="str">
        <f>IF(grocery_chain_data[[#This Row],[Final Amount]]&lt;0,"Return","Sale")</f>
        <v>Sale</v>
      </c>
      <c r="M1529">
        <f>IF(grocery_chain_data[[#This Row],[Final Amount]]&lt;0,0,grocery_chain_data[[#This Row],[Final Amount]])</f>
        <v>2</v>
      </c>
    </row>
    <row r="1530" spans="1:13" x14ac:dyDescent="0.3">
      <c r="A1530">
        <v>7150</v>
      </c>
      <c r="B1530" t="s">
        <v>21</v>
      </c>
      <c r="C1530" s="1">
        <v>45480</v>
      </c>
      <c r="D1530" s="1" t="str">
        <f t="shared" si="23"/>
        <v>Dairy</v>
      </c>
      <c r="E1530" t="s">
        <v>3</v>
      </c>
      <c r="F1530" s="2">
        <v>4</v>
      </c>
      <c r="G1530" s="3">
        <v>16</v>
      </c>
      <c r="H1530" s="3">
        <f>grocery_chain_data[[#This Row],[Quantity]]*grocery_chain_data[[#This Row],[Unit Price]]</f>
        <v>64</v>
      </c>
      <c r="I1530" s="3">
        <v>10</v>
      </c>
      <c r="J1530" s="3">
        <f>grocery_chain_data[[#This Row],[Total Amount]]-grocery_chain_data[[#This Row],[Discount Amount]]</f>
        <v>54</v>
      </c>
      <c r="K1530">
        <v>425</v>
      </c>
      <c r="L1530" t="str">
        <f>IF(grocery_chain_data[[#This Row],[Final Amount]]&lt;0,"Return","Sale")</f>
        <v>Sale</v>
      </c>
      <c r="M1530">
        <f>IF(grocery_chain_data[[#This Row],[Final Amount]]&lt;0,0,grocery_chain_data[[#This Row],[Final Amount]])</f>
        <v>54</v>
      </c>
    </row>
    <row r="1531" spans="1:13" x14ac:dyDescent="0.3">
      <c r="A1531">
        <v>4043</v>
      </c>
      <c r="B1531" t="s">
        <v>0</v>
      </c>
      <c r="C1531" s="1">
        <v>45672</v>
      </c>
      <c r="D1531" s="1" t="str">
        <f t="shared" si="23"/>
        <v>Meat &amp; Seafood</v>
      </c>
      <c r="E1531" t="s">
        <v>15</v>
      </c>
      <c r="F1531" s="2">
        <v>4</v>
      </c>
      <c r="G1531" s="3">
        <v>15</v>
      </c>
      <c r="H1531" s="3">
        <f>grocery_chain_data[[#This Row],[Quantity]]*grocery_chain_data[[#This Row],[Unit Price]]</f>
        <v>60</v>
      </c>
      <c r="I1531" s="3">
        <v>9</v>
      </c>
      <c r="J1531" s="3">
        <f>grocery_chain_data[[#This Row],[Total Amount]]-grocery_chain_data[[#This Row],[Discount Amount]]</f>
        <v>51</v>
      </c>
      <c r="K1531">
        <v>44</v>
      </c>
      <c r="L1531" t="str">
        <f>IF(grocery_chain_data[[#This Row],[Final Amount]]&lt;0,"Return","Sale")</f>
        <v>Sale</v>
      </c>
      <c r="M1531">
        <f>IF(grocery_chain_data[[#This Row],[Final Amount]]&lt;0,0,grocery_chain_data[[#This Row],[Final Amount]])</f>
        <v>51</v>
      </c>
    </row>
    <row r="1532" spans="1:13" x14ac:dyDescent="0.3">
      <c r="A1532">
        <v>7227</v>
      </c>
      <c r="B1532" t="s">
        <v>0</v>
      </c>
      <c r="C1532" s="1">
        <v>45211</v>
      </c>
      <c r="D1532" s="1" t="str">
        <f t="shared" si="23"/>
        <v>Bakery</v>
      </c>
      <c r="E1532" t="s">
        <v>22</v>
      </c>
      <c r="F1532" s="2">
        <v>2</v>
      </c>
      <c r="G1532" s="3">
        <v>22</v>
      </c>
      <c r="H1532" s="3">
        <f>grocery_chain_data[[#This Row],[Quantity]]*grocery_chain_data[[#This Row],[Unit Price]]</f>
        <v>44</v>
      </c>
      <c r="I1532" s="3">
        <v>2</v>
      </c>
      <c r="J1532" s="3">
        <f>grocery_chain_data[[#This Row],[Total Amount]]-grocery_chain_data[[#This Row],[Discount Amount]]</f>
        <v>42</v>
      </c>
      <c r="K1532">
        <v>167</v>
      </c>
      <c r="L1532" t="str">
        <f>IF(grocery_chain_data[[#This Row],[Final Amount]]&lt;0,"Return","Sale")</f>
        <v>Sale</v>
      </c>
      <c r="M1532">
        <f>IF(grocery_chain_data[[#This Row],[Final Amount]]&lt;0,0,grocery_chain_data[[#This Row],[Final Amount]])</f>
        <v>42</v>
      </c>
    </row>
    <row r="1533" spans="1:13" x14ac:dyDescent="0.3">
      <c r="A1533">
        <v>5839</v>
      </c>
      <c r="B1533" t="s">
        <v>10</v>
      </c>
      <c r="C1533" s="1">
        <v>45764</v>
      </c>
      <c r="D1533" s="1" t="str">
        <f t="shared" si="23"/>
        <v>Produce</v>
      </c>
      <c r="E1533" t="s">
        <v>24</v>
      </c>
      <c r="F1533" s="2">
        <v>1</v>
      </c>
      <c r="G1533" s="3">
        <v>21</v>
      </c>
      <c r="H1533" s="3">
        <f>grocery_chain_data[[#This Row],[Quantity]]*grocery_chain_data[[#This Row],[Unit Price]]</f>
        <v>21</v>
      </c>
      <c r="I1533" s="3">
        <v>2</v>
      </c>
      <c r="J1533" s="3">
        <f>grocery_chain_data[[#This Row],[Total Amount]]-grocery_chain_data[[#This Row],[Discount Amount]]</f>
        <v>19</v>
      </c>
      <c r="K1533">
        <v>161</v>
      </c>
      <c r="L1533" t="str">
        <f>IF(grocery_chain_data[[#This Row],[Final Amount]]&lt;0,"Return","Sale")</f>
        <v>Sale</v>
      </c>
      <c r="M1533">
        <f>IF(grocery_chain_data[[#This Row],[Final Amount]]&lt;0,0,grocery_chain_data[[#This Row],[Final Amount]])</f>
        <v>19</v>
      </c>
    </row>
    <row r="1534" spans="1:13" x14ac:dyDescent="0.3">
      <c r="A1534">
        <v>5037</v>
      </c>
      <c r="B1534" t="s">
        <v>0</v>
      </c>
      <c r="C1534" s="1">
        <v>45698</v>
      </c>
      <c r="D1534" s="1" t="str">
        <f t="shared" si="23"/>
        <v>Pantry</v>
      </c>
      <c r="E1534" t="s">
        <v>6</v>
      </c>
      <c r="F1534" s="2">
        <v>2</v>
      </c>
      <c r="G1534" s="3">
        <v>25</v>
      </c>
      <c r="H1534" s="3">
        <f>grocery_chain_data[[#This Row],[Quantity]]*grocery_chain_data[[#This Row],[Unit Price]]</f>
        <v>50</v>
      </c>
      <c r="I1534" s="3">
        <v>0</v>
      </c>
      <c r="J1534" s="3">
        <f>grocery_chain_data[[#This Row],[Total Amount]]-grocery_chain_data[[#This Row],[Discount Amount]]</f>
        <v>50</v>
      </c>
      <c r="K1534">
        <v>338</v>
      </c>
      <c r="L1534" t="str">
        <f>IF(grocery_chain_data[[#This Row],[Final Amount]]&lt;0,"Return","Sale")</f>
        <v>Sale</v>
      </c>
      <c r="M1534">
        <f>IF(grocery_chain_data[[#This Row],[Final Amount]]&lt;0,0,grocery_chain_data[[#This Row],[Final Amount]])</f>
        <v>50</v>
      </c>
    </row>
    <row r="1535" spans="1:13" x14ac:dyDescent="0.3">
      <c r="A1535">
        <v>2204</v>
      </c>
      <c r="B1535" t="s">
        <v>13</v>
      </c>
      <c r="C1535" s="1">
        <v>45208</v>
      </c>
      <c r="D1535" s="1" t="str">
        <f t="shared" si="23"/>
        <v>Dairy</v>
      </c>
      <c r="E1535" t="s">
        <v>20</v>
      </c>
      <c r="F1535" s="2">
        <v>5</v>
      </c>
      <c r="G1535" s="3">
        <v>12</v>
      </c>
      <c r="H1535" s="3">
        <f>grocery_chain_data[[#This Row],[Quantity]]*grocery_chain_data[[#This Row],[Unit Price]]</f>
        <v>60</v>
      </c>
      <c r="I1535" s="3">
        <v>0</v>
      </c>
      <c r="J1535" s="3">
        <f>grocery_chain_data[[#This Row],[Total Amount]]-grocery_chain_data[[#This Row],[Discount Amount]]</f>
        <v>60</v>
      </c>
      <c r="K1535">
        <v>482</v>
      </c>
      <c r="L1535" t="str">
        <f>IF(grocery_chain_data[[#This Row],[Final Amount]]&lt;0,"Return","Sale")</f>
        <v>Sale</v>
      </c>
      <c r="M1535">
        <f>IF(grocery_chain_data[[#This Row],[Final Amount]]&lt;0,0,grocery_chain_data[[#This Row],[Final Amount]])</f>
        <v>60</v>
      </c>
    </row>
    <row r="1536" spans="1:13" x14ac:dyDescent="0.3">
      <c r="A1536">
        <v>5390</v>
      </c>
      <c r="B1536" t="s">
        <v>21</v>
      </c>
      <c r="C1536" s="1">
        <v>45264</v>
      </c>
      <c r="D1536" s="1" t="str">
        <f t="shared" si="23"/>
        <v>Produce</v>
      </c>
      <c r="E1536" t="s">
        <v>25</v>
      </c>
      <c r="F1536" s="2">
        <v>2</v>
      </c>
      <c r="G1536" s="3">
        <v>15</v>
      </c>
      <c r="H1536" s="3">
        <f>grocery_chain_data[[#This Row],[Quantity]]*grocery_chain_data[[#This Row],[Unit Price]]</f>
        <v>30</v>
      </c>
      <c r="I1536" s="3">
        <v>5</v>
      </c>
      <c r="J1536" s="3">
        <f>grocery_chain_data[[#This Row],[Total Amount]]-grocery_chain_data[[#This Row],[Discount Amount]]</f>
        <v>25</v>
      </c>
      <c r="K1536">
        <v>95</v>
      </c>
      <c r="L1536" t="str">
        <f>IF(grocery_chain_data[[#This Row],[Final Amount]]&lt;0,"Return","Sale")</f>
        <v>Sale</v>
      </c>
      <c r="M1536">
        <f>IF(grocery_chain_data[[#This Row],[Final Amount]]&lt;0,0,grocery_chain_data[[#This Row],[Final Amount]])</f>
        <v>25</v>
      </c>
    </row>
    <row r="1537" spans="1:13" x14ac:dyDescent="0.3">
      <c r="A1537">
        <v>7225</v>
      </c>
      <c r="B1537" t="s">
        <v>5</v>
      </c>
      <c r="C1537" s="1">
        <v>45697</v>
      </c>
      <c r="D1537" s="1" t="str">
        <f t="shared" si="23"/>
        <v>Bakery</v>
      </c>
      <c r="E1537" t="s">
        <v>22</v>
      </c>
      <c r="F1537" s="2">
        <v>5</v>
      </c>
      <c r="G1537" s="3">
        <v>26</v>
      </c>
      <c r="H1537" s="3">
        <f>grocery_chain_data[[#This Row],[Quantity]]*grocery_chain_data[[#This Row],[Unit Price]]</f>
        <v>130</v>
      </c>
      <c r="I1537" s="3">
        <v>3</v>
      </c>
      <c r="J1537" s="3">
        <f>grocery_chain_data[[#This Row],[Total Amount]]-grocery_chain_data[[#This Row],[Discount Amount]]</f>
        <v>127</v>
      </c>
      <c r="K1537">
        <v>383</v>
      </c>
      <c r="L1537" t="str">
        <f>IF(grocery_chain_data[[#This Row],[Final Amount]]&lt;0,"Return","Sale")</f>
        <v>Sale</v>
      </c>
      <c r="M1537">
        <f>IF(grocery_chain_data[[#This Row],[Final Amount]]&lt;0,0,grocery_chain_data[[#This Row],[Final Amount]])</f>
        <v>127</v>
      </c>
    </row>
    <row r="1538" spans="1:13" x14ac:dyDescent="0.3">
      <c r="A1538">
        <v>3527</v>
      </c>
      <c r="B1538" t="s">
        <v>10</v>
      </c>
      <c r="C1538" s="1">
        <v>45719</v>
      </c>
      <c r="D1538" s="1" t="str">
        <f t="shared" ref="D1538:D1601" si="24">IF(E1538="Pasta","Pantry",
IF(E1538="Cheese","Dairy",
IF(E1538="Onions","Produce",
IF(E1538="Cereal","Pantry",
IF(E1538="Orange Juice","Beverages",
IF(E1538="Ground Beef","Meat &amp; Seafood",
IF(E1538="Apples","Produce",
IF(E1538="Milk","Dairy",
IF(E1538="Bananas","Produce",
IF(E1538="Bread","Bakery",
IF(E1538="Carrots","Produce",
IF(E1538="Chicken Breast","Meat &amp; Seafood",
IF(E1538="Eggs","Dairy",
IF(E1538="Potatoes","Produce",
IF(E1538="Rice","Produce",
IF(E1538="Salmon","Meat &amp; Seafood",
IF(E1538="Tomatoes","Produce",
IF(E1538="Yogurt","Dairy",
"Others"))))))))))))))))))</f>
        <v>Dairy</v>
      </c>
      <c r="E1538" t="s">
        <v>23</v>
      </c>
      <c r="F1538" s="2">
        <v>2</v>
      </c>
      <c r="G1538" s="3">
        <v>2</v>
      </c>
      <c r="H1538" s="3">
        <f>grocery_chain_data[[#This Row],[Quantity]]*grocery_chain_data[[#This Row],[Unit Price]]</f>
        <v>4</v>
      </c>
      <c r="I1538" s="3">
        <v>3</v>
      </c>
      <c r="J1538" s="3">
        <f>grocery_chain_data[[#This Row],[Total Amount]]-grocery_chain_data[[#This Row],[Discount Amount]]</f>
        <v>1</v>
      </c>
      <c r="K1538">
        <v>352</v>
      </c>
      <c r="L1538" t="str">
        <f>IF(grocery_chain_data[[#This Row],[Final Amount]]&lt;0,"Return","Sale")</f>
        <v>Sale</v>
      </c>
      <c r="M1538">
        <f>IF(grocery_chain_data[[#This Row],[Final Amount]]&lt;0,0,grocery_chain_data[[#This Row],[Final Amount]])</f>
        <v>1</v>
      </c>
    </row>
    <row r="1539" spans="1:13" x14ac:dyDescent="0.3">
      <c r="A1539">
        <v>7383</v>
      </c>
      <c r="B1539" t="s">
        <v>21</v>
      </c>
      <c r="C1539" s="1">
        <v>45390</v>
      </c>
      <c r="D1539" s="1" t="str">
        <f t="shared" si="24"/>
        <v>Beverages</v>
      </c>
      <c r="E1539" t="s">
        <v>7</v>
      </c>
      <c r="F1539" s="2">
        <v>4</v>
      </c>
      <c r="G1539" s="3">
        <v>16</v>
      </c>
      <c r="H1539" s="3">
        <f>grocery_chain_data[[#This Row],[Quantity]]*grocery_chain_data[[#This Row],[Unit Price]]</f>
        <v>64</v>
      </c>
      <c r="I1539" s="3">
        <v>10</v>
      </c>
      <c r="J1539" s="3">
        <f>grocery_chain_data[[#This Row],[Total Amount]]-grocery_chain_data[[#This Row],[Discount Amount]]</f>
        <v>54</v>
      </c>
      <c r="K1539">
        <v>488</v>
      </c>
      <c r="L1539" t="str">
        <f>IF(grocery_chain_data[[#This Row],[Final Amount]]&lt;0,"Return","Sale")</f>
        <v>Sale</v>
      </c>
      <c r="M1539">
        <f>IF(grocery_chain_data[[#This Row],[Final Amount]]&lt;0,0,grocery_chain_data[[#This Row],[Final Amount]])</f>
        <v>54</v>
      </c>
    </row>
    <row r="1540" spans="1:13" x14ac:dyDescent="0.3">
      <c r="A1540">
        <v>6909</v>
      </c>
      <c r="B1540" t="s">
        <v>21</v>
      </c>
      <c r="C1540" s="1">
        <v>45227</v>
      </c>
      <c r="D1540" s="1" t="str">
        <f t="shared" si="24"/>
        <v>Produce</v>
      </c>
      <c r="E1540" t="s">
        <v>25</v>
      </c>
      <c r="F1540" s="2">
        <v>4</v>
      </c>
      <c r="G1540" s="3">
        <v>24</v>
      </c>
      <c r="H1540" s="3">
        <f>grocery_chain_data[[#This Row],[Quantity]]*grocery_chain_data[[#This Row],[Unit Price]]</f>
        <v>96</v>
      </c>
      <c r="I1540" s="3">
        <v>3</v>
      </c>
      <c r="J1540" s="3">
        <f>grocery_chain_data[[#This Row],[Total Amount]]-grocery_chain_data[[#This Row],[Discount Amount]]</f>
        <v>93</v>
      </c>
      <c r="K1540">
        <v>200</v>
      </c>
      <c r="L1540" t="str">
        <f>IF(grocery_chain_data[[#This Row],[Final Amount]]&lt;0,"Return","Sale")</f>
        <v>Sale</v>
      </c>
      <c r="M1540">
        <f>IF(grocery_chain_data[[#This Row],[Final Amount]]&lt;0,0,grocery_chain_data[[#This Row],[Final Amount]])</f>
        <v>93</v>
      </c>
    </row>
    <row r="1541" spans="1:13" x14ac:dyDescent="0.3">
      <c r="A1541">
        <v>2499</v>
      </c>
      <c r="B1541" t="s">
        <v>0</v>
      </c>
      <c r="C1541" s="1">
        <v>45149</v>
      </c>
      <c r="D1541" s="1" t="str">
        <f t="shared" si="24"/>
        <v>Meat &amp; Seafood</v>
      </c>
      <c r="E1541" t="s">
        <v>26</v>
      </c>
      <c r="F1541" s="2">
        <v>3</v>
      </c>
      <c r="G1541" s="3">
        <v>13</v>
      </c>
      <c r="H1541" s="3">
        <f>grocery_chain_data[[#This Row],[Quantity]]*grocery_chain_data[[#This Row],[Unit Price]]</f>
        <v>39</v>
      </c>
      <c r="I1541" s="3">
        <v>8</v>
      </c>
      <c r="J1541" s="3">
        <f>grocery_chain_data[[#This Row],[Total Amount]]-grocery_chain_data[[#This Row],[Discount Amount]]</f>
        <v>31</v>
      </c>
      <c r="K1541">
        <v>228</v>
      </c>
      <c r="L1541" t="str">
        <f>IF(grocery_chain_data[[#This Row],[Final Amount]]&lt;0,"Return","Sale")</f>
        <v>Sale</v>
      </c>
      <c r="M1541">
        <f>IF(grocery_chain_data[[#This Row],[Final Amount]]&lt;0,0,grocery_chain_data[[#This Row],[Final Amount]])</f>
        <v>31</v>
      </c>
    </row>
    <row r="1542" spans="1:13" x14ac:dyDescent="0.3">
      <c r="A1542">
        <v>6050</v>
      </c>
      <c r="B1542" t="s">
        <v>8</v>
      </c>
      <c r="C1542" s="1">
        <v>45490</v>
      </c>
      <c r="D1542" s="1" t="str">
        <f t="shared" si="24"/>
        <v>Produce</v>
      </c>
      <c r="E1542" t="s">
        <v>11</v>
      </c>
      <c r="F1542" s="2">
        <v>4</v>
      </c>
      <c r="G1542" s="3">
        <v>29</v>
      </c>
      <c r="H1542" s="3">
        <f>grocery_chain_data[[#This Row],[Quantity]]*grocery_chain_data[[#This Row],[Unit Price]]</f>
        <v>116</v>
      </c>
      <c r="I1542" s="3">
        <v>17</v>
      </c>
      <c r="J1542" s="3">
        <f>grocery_chain_data[[#This Row],[Total Amount]]-grocery_chain_data[[#This Row],[Discount Amount]]</f>
        <v>99</v>
      </c>
      <c r="K1542">
        <v>338</v>
      </c>
      <c r="L1542" t="str">
        <f>IF(grocery_chain_data[[#This Row],[Final Amount]]&lt;0,"Return","Sale")</f>
        <v>Sale</v>
      </c>
      <c r="M1542">
        <f>IF(grocery_chain_data[[#This Row],[Final Amount]]&lt;0,0,grocery_chain_data[[#This Row],[Final Amount]])</f>
        <v>99</v>
      </c>
    </row>
    <row r="1543" spans="1:13" x14ac:dyDescent="0.3">
      <c r="A1543">
        <v>6896</v>
      </c>
      <c r="B1543" t="s">
        <v>8</v>
      </c>
      <c r="C1543" s="1">
        <v>45736</v>
      </c>
      <c r="D1543" s="1" t="str">
        <f t="shared" si="24"/>
        <v>Produce</v>
      </c>
      <c r="E1543" t="s">
        <v>25</v>
      </c>
      <c r="F1543" s="2">
        <v>4</v>
      </c>
      <c r="G1543" s="3">
        <v>18</v>
      </c>
      <c r="H1543" s="3">
        <f>grocery_chain_data[[#This Row],[Quantity]]*grocery_chain_data[[#This Row],[Unit Price]]</f>
        <v>72</v>
      </c>
      <c r="I1543" s="3">
        <v>2</v>
      </c>
      <c r="J1543" s="3">
        <f>grocery_chain_data[[#This Row],[Total Amount]]-grocery_chain_data[[#This Row],[Discount Amount]]</f>
        <v>70</v>
      </c>
      <c r="K1543">
        <v>351</v>
      </c>
      <c r="L1543" t="str">
        <f>IF(grocery_chain_data[[#This Row],[Final Amount]]&lt;0,"Return","Sale")</f>
        <v>Sale</v>
      </c>
      <c r="M1543">
        <f>IF(grocery_chain_data[[#This Row],[Final Amount]]&lt;0,0,grocery_chain_data[[#This Row],[Final Amount]])</f>
        <v>70</v>
      </c>
    </row>
    <row r="1544" spans="1:13" x14ac:dyDescent="0.3">
      <c r="A1544">
        <v>5419</v>
      </c>
      <c r="B1544" t="s">
        <v>2</v>
      </c>
      <c r="C1544" s="1">
        <v>45224</v>
      </c>
      <c r="D1544" s="1" t="str">
        <f t="shared" si="24"/>
        <v>Dairy</v>
      </c>
      <c r="E1544" t="s">
        <v>3</v>
      </c>
      <c r="F1544" s="2">
        <v>1</v>
      </c>
      <c r="G1544" s="3">
        <v>17</v>
      </c>
      <c r="H1544" s="3">
        <f>grocery_chain_data[[#This Row],[Quantity]]*grocery_chain_data[[#This Row],[Unit Price]]</f>
        <v>17</v>
      </c>
      <c r="I1544" s="3">
        <v>0</v>
      </c>
      <c r="J1544" s="3">
        <f>grocery_chain_data[[#This Row],[Total Amount]]-grocery_chain_data[[#This Row],[Discount Amount]]</f>
        <v>17</v>
      </c>
      <c r="K1544">
        <v>165</v>
      </c>
      <c r="L1544" t="str">
        <f>IF(grocery_chain_data[[#This Row],[Final Amount]]&lt;0,"Return","Sale")</f>
        <v>Sale</v>
      </c>
      <c r="M1544">
        <f>IF(grocery_chain_data[[#This Row],[Final Amount]]&lt;0,0,grocery_chain_data[[#This Row],[Final Amount]])</f>
        <v>17</v>
      </c>
    </row>
    <row r="1545" spans="1:13" x14ac:dyDescent="0.3">
      <c r="A1545">
        <v>3170</v>
      </c>
      <c r="B1545" t="s">
        <v>16</v>
      </c>
      <c r="C1545" s="1">
        <v>45212</v>
      </c>
      <c r="D1545" s="1" t="str">
        <f t="shared" si="24"/>
        <v>Produce</v>
      </c>
      <c r="E1545" t="s">
        <v>14</v>
      </c>
      <c r="F1545" s="2">
        <v>4</v>
      </c>
      <c r="G1545" s="3">
        <v>13</v>
      </c>
      <c r="H1545" s="3">
        <f>grocery_chain_data[[#This Row],[Quantity]]*grocery_chain_data[[#This Row],[Unit Price]]</f>
        <v>52</v>
      </c>
      <c r="I1545" s="3">
        <v>8</v>
      </c>
      <c r="J1545" s="3">
        <f>grocery_chain_data[[#This Row],[Total Amount]]-grocery_chain_data[[#This Row],[Discount Amount]]</f>
        <v>44</v>
      </c>
      <c r="K1545">
        <v>133</v>
      </c>
      <c r="L1545" t="str">
        <f>IF(grocery_chain_data[[#This Row],[Final Amount]]&lt;0,"Return","Sale")</f>
        <v>Sale</v>
      </c>
      <c r="M1545">
        <f>IF(grocery_chain_data[[#This Row],[Final Amount]]&lt;0,0,grocery_chain_data[[#This Row],[Final Amount]])</f>
        <v>44</v>
      </c>
    </row>
    <row r="1546" spans="1:13" x14ac:dyDescent="0.3">
      <c r="A1546">
        <v>4070</v>
      </c>
      <c r="B1546" t="s">
        <v>10</v>
      </c>
      <c r="C1546" s="1">
        <v>45479</v>
      </c>
      <c r="D1546" s="1" t="str">
        <f t="shared" si="24"/>
        <v>Pantry</v>
      </c>
      <c r="E1546" t="s">
        <v>6</v>
      </c>
      <c r="F1546" s="2">
        <v>1</v>
      </c>
      <c r="G1546" s="3">
        <v>10</v>
      </c>
      <c r="H1546" s="3">
        <f>grocery_chain_data[[#This Row],[Quantity]]*grocery_chain_data[[#This Row],[Unit Price]]</f>
        <v>10</v>
      </c>
      <c r="I1546" s="3">
        <v>4</v>
      </c>
      <c r="J1546" s="3">
        <f>grocery_chain_data[[#This Row],[Total Amount]]-grocery_chain_data[[#This Row],[Discount Amount]]</f>
        <v>6</v>
      </c>
      <c r="K1546">
        <v>209</v>
      </c>
      <c r="L1546" t="str">
        <f>IF(grocery_chain_data[[#This Row],[Final Amount]]&lt;0,"Return","Sale")</f>
        <v>Sale</v>
      </c>
      <c r="M1546">
        <f>IF(grocery_chain_data[[#This Row],[Final Amount]]&lt;0,0,grocery_chain_data[[#This Row],[Final Amount]])</f>
        <v>6</v>
      </c>
    </row>
    <row r="1547" spans="1:13" x14ac:dyDescent="0.3">
      <c r="A1547">
        <v>8353</v>
      </c>
      <c r="B1547" t="s">
        <v>2</v>
      </c>
      <c r="C1547" s="1">
        <v>45577</v>
      </c>
      <c r="D1547" s="1" t="str">
        <f t="shared" si="24"/>
        <v>Meat &amp; Seafood</v>
      </c>
      <c r="E1547" t="s">
        <v>26</v>
      </c>
      <c r="F1547" s="2">
        <v>5</v>
      </c>
      <c r="G1547" s="3">
        <v>19</v>
      </c>
      <c r="H1547" s="3">
        <f>grocery_chain_data[[#This Row],[Quantity]]*grocery_chain_data[[#This Row],[Unit Price]]</f>
        <v>95</v>
      </c>
      <c r="I1547" s="3">
        <v>0</v>
      </c>
      <c r="J1547" s="3">
        <f>grocery_chain_data[[#This Row],[Total Amount]]-grocery_chain_data[[#This Row],[Discount Amount]]</f>
        <v>95</v>
      </c>
      <c r="K1547">
        <v>66</v>
      </c>
      <c r="L1547" t="str">
        <f>IF(grocery_chain_data[[#This Row],[Final Amount]]&lt;0,"Return","Sale")</f>
        <v>Sale</v>
      </c>
      <c r="M1547">
        <f>IF(grocery_chain_data[[#This Row],[Final Amount]]&lt;0,0,grocery_chain_data[[#This Row],[Final Amount]])</f>
        <v>95</v>
      </c>
    </row>
    <row r="1548" spans="1:13" x14ac:dyDescent="0.3">
      <c r="A1548">
        <v>9395</v>
      </c>
      <c r="B1548" t="s">
        <v>13</v>
      </c>
      <c r="C1548" s="1">
        <v>45461</v>
      </c>
      <c r="D1548" s="1" t="str">
        <f t="shared" si="24"/>
        <v>Bakery</v>
      </c>
      <c r="E1548" t="s">
        <v>22</v>
      </c>
      <c r="F1548" s="2">
        <v>3</v>
      </c>
      <c r="G1548" s="3">
        <v>27</v>
      </c>
      <c r="H1548" s="3">
        <f>grocery_chain_data[[#This Row],[Quantity]]*grocery_chain_data[[#This Row],[Unit Price]]</f>
        <v>81</v>
      </c>
      <c r="I1548" s="3">
        <v>0</v>
      </c>
      <c r="J1548" s="3">
        <f>grocery_chain_data[[#This Row],[Total Amount]]-grocery_chain_data[[#This Row],[Discount Amount]]</f>
        <v>81</v>
      </c>
      <c r="K1548">
        <v>392</v>
      </c>
      <c r="L1548" t="str">
        <f>IF(grocery_chain_data[[#This Row],[Final Amount]]&lt;0,"Return","Sale")</f>
        <v>Sale</v>
      </c>
      <c r="M1548">
        <f>IF(grocery_chain_data[[#This Row],[Final Amount]]&lt;0,0,grocery_chain_data[[#This Row],[Final Amount]])</f>
        <v>81</v>
      </c>
    </row>
    <row r="1549" spans="1:13" x14ac:dyDescent="0.3">
      <c r="A1549">
        <v>2692</v>
      </c>
      <c r="B1549" t="s">
        <v>13</v>
      </c>
      <c r="C1549" s="1">
        <v>45165</v>
      </c>
      <c r="D1549" s="1" t="str">
        <f t="shared" si="24"/>
        <v>Dairy</v>
      </c>
      <c r="E1549" t="s">
        <v>23</v>
      </c>
      <c r="F1549" s="2">
        <v>3</v>
      </c>
      <c r="G1549" s="3">
        <v>17</v>
      </c>
      <c r="H1549" s="3">
        <f>grocery_chain_data[[#This Row],[Quantity]]*grocery_chain_data[[#This Row],[Unit Price]]</f>
        <v>51</v>
      </c>
      <c r="I1549" s="3">
        <v>0</v>
      </c>
      <c r="J1549" s="3">
        <f>grocery_chain_data[[#This Row],[Total Amount]]-grocery_chain_data[[#This Row],[Discount Amount]]</f>
        <v>51</v>
      </c>
      <c r="K1549">
        <v>80</v>
      </c>
      <c r="L1549" t="str">
        <f>IF(grocery_chain_data[[#This Row],[Final Amount]]&lt;0,"Return","Sale")</f>
        <v>Sale</v>
      </c>
      <c r="M1549">
        <f>IF(grocery_chain_data[[#This Row],[Final Amount]]&lt;0,0,grocery_chain_data[[#This Row],[Final Amount]])</f>
        <v>51</v>
      </c>
    </row>
    <row r="1550" spans="1:13" x14ac:dyDescent="0.3">
      <c r="A1550">
        <v>2468</v>
      </c>
      <c r="B1550" t="s">
        <v>21</v>
      </c>
      <c r="C1550" s="1">
        <v>45419</v>
      </c>
      <c r="D1550" s="1" t="str">
        <f t="shared" si="24"/>
        <v>Produce</v>
      </c>
      <c r="E1550" t="s">
        <v>11</v>
      </c>
      <c r="F1550" s="2">
        <v>3</v>
      </c>
      <c r="G1550" s="3">
        <v>11</v>
      </c>
      <c r="H1550" s="3">
        <f>grocery_chain_data[[#This Row],[Quantity]]*grocery_chain_data[[#This Row],[Unit Price]]</f>
        <v>33</v>
      </c>
      <c r="I1550" s="3">
        <v>1</v>
      </c>
      <c r="J1550" s="3">
        <f>grocery_chain_data[[#This Row],[Total Amount]]-grocery_chain_data[[#This Row],[Discount Amount]]</f>
        <v>32</v>
      </c>
      <c r="K1550">
        <v>110</v>
      </c>
      <c r="L1550" t="str">
        <f>IF(grocery_chain_data[[#This Row],[Final Amount]]&lt;0,"Return","Sale")</f>
        <v>Sale</v>
      </c>
      <c r="M1550">
        <f>IF(grocery_chain_data[[#This Row],[Final Amount]]&lt;0,0,grocery_chain_data[[#This Row],[Final Amount]])</f>
        <v>32</v>
      </c>
    </row>
    <row r="1551" spans="1:13" x14ac:dyDescent="0.3">
      <c r="A1551">
        <v>2524</v>
      </c>
      <c r="B1551" t="s">
        <v>13</v>
      </c>
      <c r="C1551" s="1">
        <v>45608</v>
      </c>
      <c r="D1551" s="1" t="str">
        <f t="shared" si="24"/>
        <v>Meat &amp; Seafood</v>
      </c>
      <c r="E1551" t="s">
        <v>26</v>
      </c>
      <c r="F1551" s="2">
        <v>5</v>
      </c>
      <c r="G1551" s="3">
        <v>13</v>
      </c>
      <c r="H1551" s="3">
        <f>grocery_chain_data[[#This Row],[Quantity]]*grocery_chain_data[[#This Row],[Unit Price]]</f>
        <v>65</v>
      </c>
      <c r="I1551" s="3">
        <v>13</v>
      </c>
      <c r="J1551" s="3">
        <f>grocery_chain_data[[#This Row],[Total Amount]]-grocery_chain_data[[#This Row],[Discount Amount]]</f>
        <v>52</v>
      </c>
      <c r="K1551">
        <v>248</v>
      </c>
      <c r="L1551" t="str">
        <f>IF(grocery_chain_data[[#This Row],[Final Amount]]&lt;0,"Return","Sale")</f>
        <v>Sale</v>
      </c>
      <c r="M1551">
        <f>IF(grocery_chain_data[[#This Row],[Final Amount]]&lt;0,0,grocery_chain_data[[#This Row],[Final Amount]])</f>
        <v>52</v>
      </c>
    </row>
    <row r="1552" spans="1:13" x14ac:dyDescent="0.3">
      <c r="A1552">
        <v>6315</v>
      </c>
      <c r="B1552" t="s">
        <v>12</v>
      </c>
      <c r="C1552" s="1">
        <v>45815</v>
      </c>
      <c r="D1552" s="1" t="str">
        <f t="shared" si="24"/>
        <v>Produce</v>
      </c>
      <c r="E1552" t="s">
        <v>18</v>
      </c>
      <c r="F1552" s="2">
        <v>2</v>
      </c>
      <c r="G1552" s="3">
        <v>19</v>
      </c>
      <c r="H1552" s="3">
        <f>grocery_chain_data[[#This Row],[Quantity]]*grocery_chain_data[[#This Row],[Unit Price]]</f>
        <v>38</v>
      </c>
      <c r="I1552" s="3">
        <v>2</v>
      </c>
      <c r="J1552" s="3">
        <f>grocery_chain_data[[#This Row],[Total Amount]]-grocery_chain_data[[#This Row],[Discount Amount]]</f>
        <v>36</v>
      </c>
      <c r="K1552">
        <v>352</v>
      </c>
      <c r="L1552" t="str">
        <f>IF(grocery_chain_data[[#This Row],[Final Amount]]&lt;0,"Return","Sale")</f>
        <v>Sale</v>
      </c>
      <c r="M1552">
        <f>IF(grocery_chain_data[[#This Row],[Final Amount]]&lt;0,0,grocery_chain_data[[#This Row],[Final Amount]])</f>
        <v>36</v>
      </c>
    </row>
    <row r="1553" spans="1:13" x14ac:dyDescent="0.3">
      <c r="A1553">
        <v>7311</v>
      </c>
      <c r="B1553" t="s">
        <v>0</v>
      </c>
      <c r="C1553" s="1">
        <v>45154</v>
      </c>
      <c r="D1553" s="1" t="str">
        <f t="shared" si="24"/>
        <v>Produce</v>
      </c>
      <c r="E1553" t="s">
        <v>14</v>
      </c>
      <c r="F1553" s="2">
        <v>2</v>
      </c>
      <c r="G1553" s="3">
        <v>25</v>
      </c>
      <c r="H1553" s="3">
        <f>grocery_chain_data[[#This Row],[Quantity]]*grocery_chain_data[[#This Row],[Unit Price]]</f>
        <v>50</v>
      </c>
      <c r="I1553" s="3">
        <v>1</v>
      </c>
      <c r="J1553" s="3">
        <f>grocery_chain_data[[#This Row],[Total Amount]]-grocery_chain_data[[#This Row],[Discount Amount]]</f>
        <v>49</v>
      </c>
      <c r="K1553">
        <v>448</v>
      </c>
      <c r="L1553" t="str">
        <f>IF(grocery_chain_data[[#This Row],[Final Amount]]&lt;0,"Return","Sale")</f>
        <v>Sale</v>
      </c>
      <c r="M1553">
        <f>IF(grocery_chain_data[[#This Row],[Final Amount]]&lt;0,0,grocery_chain_data[[#This Row],[Final Amount]])</f>
        <v>49</v>
      </c>
    </row>
    <row r="1554" spans="1:13" x14ac:dyDescent="0.3">
      <c r="A1554">
        <v>5781</v>
      </c>
      <c r="B1554" t="s">
        <v>2</v>
      </c>
      <c r="C1554" s="1">
        <v>45466</v>
      </c>
      <c r="D1554" s="1" t="str">
        <f t="shared" si="24"/>
        <v>Produce</v>
      </c>
      <c r="E1554" t="s">
        <v>18</v>
      </c>
      <c r="F1554" s="2">
        <v>1</v>
      </c>
      <c r="G1554" s="3">
        <v>23</v>
      </c>
      <c r="H1554" s="3">
        <f>grocery_chain_data[[#This Row],[Quantity]]*grocery_chain_data[[#This Row],[Unit Price]]</f>
        <v>23</v>
      </c>
      <c r="I1554" s="3">
        <v>4</v>
      </c>
      <c r="J1554" s="3">
        <f>grocery_chain_data[[#This Row],[Total Amount]]-grocery_chain_data[[#This Row],[Discount Amount]]</f>
        <v>19</v>
      </c>
      <c r="K1554">
        <v>277</v>
      </c>
      <c r="L1554" t="str">
        <f>IF(grocery_chain_data[[#This Row],[Final Amount]]&lt;0,"Return","Sale")</f>
        <v>Sale</v>
      </c>
      <c r="M1554">
        <f>IF(grocery_chain_data[[#This Row],[Final Amount]]&lt;0,0,grocery_chain_data[[#This Row],[Final Amount]])</f>
        <v>19</v>
      </c>
    </row>
    <row r="1555" spans="1:13" x14ac:dyDescent="0.3">
      <c r="A1555">
        <v>7353</v>
      </c>
      <c r="B1555" t="s">
        <v>8</v>
      </c>
      <c r="C1555" s="1">
        <v>45750</v>
      </c>
      <c r="D1555" s="1" t="str">
        <f t="shared" si="24"/>
        <v>Produce</v>
      </c>
      <c r="E1555" t="s">
        <v>17</v>
      </c>
      <c r="F1555" s="2">
        <v>3</v>
      </c>
      <c r="G1555" s="3">
        <v>13</v>
      </c>
      <c r="H1555" s="3">
        <f>grocery_chain_data[[#This Row],[Quantity]]*grocery_chain_data[[#This Row],[Unit Price]]</f>
        <v>39</v>
      </c>
      <c r="I1555" s="3">
        <v>6</v>
      </c>
      <c r="J1555" s="3">
        <f>grocery_chain_data[[#This Row],[Total Amount]]-grocery_chain_data[[#This Row],[Discount Amount]]</f>
        <v>33</v>
      </c>
      <c r="K1555">
        <v>380</v>
      </c>
      <c r="L1555" t="str">
        <f>IF(grocery_chain_data[[#This Row],[Final Amount]]&lt;0,"Return","Sale")</f>
        <v>Sale</v>
      </c>
      <c r="M1555">
        <f>IF(grocery_chain_data[[#This Row],[Final Amount]]&lt;0,0,grocery_chain_data[[#This Row],[Final Amount]])</f>
        <v>33</v>
      </c>
    </row>
    <row r="1556" spans="1:13" x14ac:dyDescent="0.3">
      <c r="A1556">
        <v>2387</v>
      </c>
      <c r="B1556" t="s">
        <v>12</v>
      </c>
      <c r="C1556" s="1">
        <v>45708</v>
      </c>
      <c r="D1556" s="1" t="str">
        <f t="shared" si="24"/>
        <v>Dairy</v>
      </c>
      <c r="E1556" t="s">
        <v>23</v>
      </c>
      <c r="F1556" s="2">
        <v>1</v>
      </c>
      <c r="G1556" s="3">
        <v>9</v>
      </c>
      <c r="H1556" s="3">
        <f>grocery_chain_data[[#This Row],[Quantity]]*grocery_chain_data[[#This Row],[Unit Price]]</f>
        <v>9</v>
      </c>
      <c r="I1556" s="3">
        <v>1</v>
      </c>
      <c r="J1556" s="3">
        <f>grocery_chain_data[[#This Row],[Total Amount]]-grocery_chain_data[[#This Row],[Discount Amount]]</f>
        <v>8</v>
      </c>
      <c r="K1556">
        <v>335</v>
      </c>
      <c r="L1556" t="str">
        <f>IF(grocery_chain_data[[#This Row],[Final Amount]]&lt;0,"Return","Sale")</f>
        <v>Sale</v>
      </c>
      <c r="M1556">
        <f>IF(grocery_chain_data[[#This Row],[Final Amount]]&lt;0,0,grocery_chain_data[[#This Row],[Final Amount]])</f>
        <v>8</v>
      </c>
    </row>
    <row r="1557" spans="1:13" x14ac:dyDescent="0.3">
      <c r="A1557">
        <v>4977</v>
      </c>
      <c r="B1557" t="s">
        <v>12</v>
      </c>
      <c r="C1557" s="1">
        <v>45589</v>
      </c>
      <c r="D1557" s="1" t="str">
        <f t="shared" si="24"/>
        <v>Bakery</v>
      </c>
      <c r="E1557" t="s">
        <v>22</v>
      </c>
      <c r="F1557" s="2">
        <v>2</v>
      </c>
      <c r="G1557" s="3">
        <v>29</v>
      </c>
      <c r="H1557" s="3">
        <f>grocery_chain_data[[#This Row],[Quantity]]*grocery_chain_data[[#This Row],[Unit Price]]</f>
        <v>58</v>
      </c>
      <c r="I1557" s="3">
        <v>6</v>
      </c>
      <c r="J1557" s="3">
        <f>grocery_chain_data[[#This Row],[Total Amount]]-grocery_chain_data[[#This Row],[Discount Amount]]</f>
        <v>52</v>
      </c>
      <c r="K1557">
        <v>287</v>
      </c>
      <c r="L1557" t="str">
        <f>IF(grocery_chain_data[[#This Row],[Final Amount]]&lt;0,"Return","Sale")</f>
        <v>Sale</v>
      </c>
      <c r="M1557">
        <f>IF(grocery_chain_data[[#This Row],[Final Amount]]&lt;0,0,grocery_chain_data[[#This Row],[Final Amount]])</f>
        <v>52</v>
      </c>
    </row>
    <row r="1558" spans="1:13" x14ac:dyDescent="0.3">
      <c r="A1558">
        <v>9537</v>
      </c>
      <c r="B1558" t="s">
        <v>12</v>
      </c>
      <c r="C1558" s="1">
        <v>45276</v>
      </c>
      <c r="D1558" s="1" t="str">
        <f t="shared" si="24"/>
        <v>Produce</v>
      </c>
      <c r="E1558" t="s">
        <v>24</v>
      </c>
      <c r="F1558" s="2">
        <v>2</v>
      </c>
      <c r="G1558" s="3">
        <v>12</v>
      </c>
      <c r="H1558" s="3">
        <f>grocery_chain_data[[#This Row],[Quantity]]*grocery_chain_data[[#This Row],[Unit Price]]</f>
        <v>24</v>
      </c>
      <c r="I1558" s="3">
        <v>4</v>
      </c>
      <c r="J1558" s="3">
        <f>grocery_chain_data[[#This Row],[Total Amount]]-grocery_chain_data[[#This Row],[Discount Amount]]</f>
        <v>20</v>
      </c>
      <c r="K1558">
        <v>254</v>
      </c>
      <c r="L1558" t="str">
        <f>IF(grocery_chain_data[[#This Row],[Final Amount]]&lt;0,"Return","Sale")</f>
        <v>Sale</v>
      </c>
      <c r="M1558">
        <f>IF(grocery_chain_data[[#This Row],[Final Amount]]&lt;0,0,grocery_chain_data[[#This Row],[Final Amount]])</f>
        <v>20</v>
      </c>
    </row>
    <row r="1559" spans="1:13" x14ac:dyDescent="0.3">
      <c r="A1559">
        <v>7237</v>
      </c>
      <c r="B1559" t="s">
        <v>2</v>
      </c>
      <c r="C1559" s="1">
        <v>45276</v>
      </c>
      <c r="D1559" s="1" t="str">
        <f t="shared" si="24"/>
        <v>Meat &amp; Seafood</v>
      </c>
      <c r="E1559" t="s">
        <v>15</v>
      </c>
      <c r="F1559" s="2">
        <v>2</v>
      </c>
      <c r="G1559" s="3">
        <v>18</v>
      </c>
      <c r="H1559" s="3">
        <f>grocery_chain_data[[#This Row],[Quantity]]*grocery_chain_data[[#This Row],[Unit Price]]</f>
        <v>36</v>
      </c>
      <c r="I1559" s="3">
        <v>7</v>
      </c>
      <c r="J1559" s="3">
        <f>grocery_chain_data[[#This Row],[Total Amount]]-grocery_chain_data[[#This Row],[Discount Amount]]</f>
        <v>29</v>
      </c>
      <c r="K1559">
        <v>12</v>
      </c>
      <c r="L1559" t="str">
        <f>IF(grocery_chain_data[[#This Row],[Final Amount]]&lt;0,"Return","Sale")</f>
        <v>Sale</v>
      </c>
      <c r="M1559">
        <f>IF(grocery_chain_data[[#This Row],[Final Amount]]&lt;0,0,grocery_chain_data[[#This Row],[Final Amount]])</f>
        <v>29</v>
      </c>
    </row>
    <row r="1560" spans="1:13" x14ac:dyDescent="0.3">
      <c r="A1560">
        <v>3274</v>
      </c>
      <c r="B1560" t="s">
        <v>10</v>
      </c>
      <c r="C1560" s="1">
        <v>45353</v>
      </c>
      <c r="D1560" s="1" t="str">
        <f t="shared" si="24"/>
        <v>Produce</v>
      </c>
      <c r="E1560" t="s">
        <v>25</v>
      </c>
      <c r="F1560" s="2">
        <v>5</v>
      </c>
      <c r="G1560" s="3">
        <v>4</v>
      </c>
      <c r="H1560" s="3">
        <f>grocery_chain_data[[#This Row],[Quantity]]*grocery_chain_data[[#This Row],[Unit Price]]</f>
        <v>20</v>
      </c>
      <c r="I1560" s="3">
        <v>4</v>
      </c>
      <c r="J1560" s="3">
        <f>grocery_chain_data[[#This Row],[Total Amount]]-grocery_chain_data[[#This Row],[Discount Amount]]</f>
        <v>16</v>
      </c>
      <c r="K1560">
        <v>159</v>
      </c>
      <c r="L1560" t="str">
        <f>IF(grocery_chain_data[[#This Row],[Final Amount]]&lt;0,"Return","Sale")</f>
        <v>Sale</v>
      </c>
      <c r="M1560">
        <f>IF(grocery_chain_data[[#This Row],[Final Amount]]&lt;0,0,grocery_chain_data[[#This Row],[Final Amount]])</f>
        <v>16</v>
      </c>
    </row>
    <row r="1561" spans="1:13" x14ac:dyDescent="0.3">
      <c r="A1561">
        <v>5933</v>
      </c>
      <c r="B1561" t="s">
        <v>0</v>
      </c>
      <c r="C1561" s="1">
        <v>45353</v>
      </c>
      <c r="D1561" s="1" t="str">
        <f t="shared" si="24"/>
        <v>Produce</v>
      </c>
      <c r="E1561" t="s">
        <v>4</v>
      </c>
      <c r="F1561" s="2">
        <v>2</v>
      </c>
      <c r="G1561" s="3">
        <v>7</v>
      </c>
      <c r="H1561" s="3">
        <f>grocery_chain_data[[#This Row],[Quantity]]*grocery_chain_data[[#This Row],[Unit Price]]</f>
        <v>14</v>
      </c>
      <c r="I1561" s="3">
        <v>2</v>
      </c>
      <c r="J1561" s="3">
        <f>grocery_chain_data[[#This Row],[Total Amount]]-grocery_chain_data[[#This Row],[Discount Amount]]</f>
        <v>12</v>
      </c>
      <c r="K1561">
        <v>482</v>
      </c>
      <c r="L1561" t="str">
        <f>IF(grocery_chain_data[[#This Row],[Final Amount]]&lt;0,"Return","Sale")</f>
        <v>Sale</v>
      </c>
      <c r="M1561">
        <f>IF(grocery_chain_data[[#This Row],[Final Amount]]&lt;0,0,grocery_chain_data[[#This Row],[Final Amount]])</f>
        <v>12</v>
      </c>
    </row>
    <row r="1562" spans="1:13" x14ac:dyDescent="0.3">
      <c r="A1562">
        <v>9079</v>
      </c>
      <c r="B1562" t="s">
        <v>5</v>
      </c>
      <c r="C1562" s="1">
        <v>45258</v>
      </c>
      <c r="D1562" s="1" t="str">
        <f t="shared" si="24"/>
        <v>Produce</v>
      </c>
      <c r="E1562" t="s">
        <v>25</v>
      </c>
      <c r="F1562" s="2">
        <v>5</v>
      </c>
      <c r="G1562" s="3">
        <v>22</v>
      </c>
      <c r="H1562" s="3">
        <f>grocery_chain_data[[#This Row],[Quantity]]*grocery_chain_data[[#This Row],[Unit Price]]</f>
        <v>110</v>
      </c>
      <c r="I1562" s="3">
        <v>4</v>
      </c>
      <c r="J1562" s="3">
        <f>grocery_chain_data[[#This Row],[Total Amount]]-grocery_chain_data[[#This Row],[Discount Amount]]</f>
        <v>106</v>
      </c>
      <c r="K1562">
        <v>290</v>
      </c>
      <c r="L1562" t="str">
        <f>IF(grocery_chain_data[[#This Row],[Final Amount]]&lt;0,"Return","Sale")</f>
        <v>Sale</v>
      </c>
      <c r="M1562">
        <f>IF(grocery_chain_data[[#This Row],[Final Amount]]&lt;0,0,grocery_chain_data[[#This Row],[Final Amount]])</f>
        <v>106</v>
      </c>
    </row>
    <row r="1563" spans="1:13" x14ac:dyDescent="0.3">
      <c r="A1563">
        <v>2036</v>
      </c>
      <c r="B1563" t="s">
        <v>12</v>
      </c>
      <c r="C1563" s="1">
        <v>45274</v>
      </c>
      <c r="D1563" s="1" t="str">
        <f t="shared" si="24"/>
        <v>Produce</v>
      </c>
      <c r="E1563" t="s">
        <v>17</v>
      </c>
      <c r="F1563" s="2">
        <v>3</v>
      </c>
      <c r="G1563" s="3">
        <v>25</v>
      </c>
      <c r="H1563" s="3">
        <f>grocery_chain_data[[#This Row],[Quantity]]*grocery_chain_data[[#This Row],[Unit Price]]</f>
        <v>75</v>
      </c>
      <c r="I1563" s="3">
        <v>0</v>
      </c>
      <c r="J1563" s="3">
        <f>grocery_chain_data[[#This Row],[Total Amount]]-grocery_chain_data[[#This Row],[Discount Amount]]</f>
        <v>75</v>
      </c>
      <c r="K1563">
        <v>18</v>
      </c>
      <c r="L1563" t="str">
        <f>IF(grocery_chain_data[[#This Row],[Final Amount]]&lt;0,"Return","Sale")</f>
        <v>Sale</v>
      </c>
      <c r="M1563">
        <f>IF(grocery_chain_data[[#This Row],[Final Amount]]&lt;0,0,grocery_chain_data[[#This Row],[Final Amount]])</f>
        <v>75</v>
      </c>
    </row>
    <row r="1564" spans="1:13" x14ac:dyDescent="0.3">
      <c r="A1564">
        <v>8121</v>
      </c>
      <c r="B1564" t="s">
        <v>8</v>
      </c>
      <c r="C1564" s="1">
        <v>45359</v>
      </c>
      <c r="D1564" s="1" t="str">
        <f t="shared" si="24"/>
        <v>Pantry</v>
      </c>
      <c r="E1564" t="s">
        <v>1</v>
      </c>
      <c r="F1564" s="2">
        <v>2</v>
      </c>
      <c r="G1564" s="3">
        <v>23</v>
      </c>
      <c r="H1564" s="3">
        <f>grocery_chain_data[[#This Row],[Quantity]]*grocery_chain_data[[#This Row],[Unit Price]]</f>
        <v>46</v>
      </c>
      <c r="I1564" s="3">
        <v>3</v>
      </c>
      <c r="J1564" s="3">
        <f>grocery_chain_data[[#This Row],[Total Amount]]-grocery_chain_data[[#This Row],[Discount Amount]]</f>
        <v>43</v>
      </c>
      <c r="K1564">
        <v>406</v>
      </c>
      <c r="L1564" t="str">
        <f>IF(grocery_chain_data[[#This Row],[Final Amount]]&lt;0,"Return","Sale")</f>
        <v>Sale</v>
      </c>
      <c r="M1564">
        <f>IF(grocery_chain_data[[#This Row],[Final Amount]]&lt;0,0,grocery_chain_data[[#This Row],[Final Amount]])</f>
        <v>43</v>
      </c>
    </row>
    <row r="1565" spans="1:13" x14ac:dyDescent="0.3">
      <c r="A1565">
        <v>7899</v>
      </c>
      <c r="B1565" t="s">
        <v>21</v>
      </c>
      <c r="C1565" s="1">
        <v>45377</v>
      </c>
      <c r="D1565" s="1" t="str">
        <f t="shared" si="24"/>
        <v>Meat &amp; Seafood</v>
      </c>
      <c r="E1565" t="s">
        <v>15</v>
      </c>
      <c r="F1565" s="2">
        <v>4</v>
      </c>
      <c r="G1565" s="3">
        <v>16</v>
      </c>
      <c r="H1565" s="3">
        <f>grocery_chain_data[[#This Row],[Quantity]]*grocery_chain_data[[#This Row],[Unit Price]]</f>
        <v>64</v>
      </c>
      <c r="I1565" s="3">
        <v>3</v>
      </c>
      <c r="J1565" s="3">
        <f>grocery_chain_data[[#This Row],[Total Amount]]-grocery_chain_data[[#This Row],[Discount Amount]]</f>
        <v>61</v>
      </c>
      <c r="K1565">
        <v>439</v>
      </c>
      <c r="L1565" t="str">
        <f>IF(grocery_chain_data[[#This Row],[Final Amount]]&lt;0,"Return","Sale")</f>
        <v>Sale</v>
      </c>
      <c r="M1565">
        <f>IF(grocery_chain_data[[#This Row],[Final Amount]]&lt;0,0,grocery_chain_data[[#This Row],[Final Amount]])</f>
        <v>61</v>
      </c>
    </row>
    <row r="1566" spans="1:13" x14ac:dyDescent="0.3">
      <c r="A1566">
        <v>8933</v>
      </c>
      <c r="B1566" t="s">
        <v>0</v>
      </c>
      <c r="C1566" s="1">
        <v>45752</v>
      </c>
      <c r="D1566" s="1" t="str">
        <f t="shared" si="24"/>
        <v>Dairy</v>
      </c>
      <c r="E1566" t="s">
        <v>20</v>
      </c>
      <c r="F1566" s="2">
        <v>1</v>
      </c>
      <c r="G1566" s="3">
        <v>6</v>
      </c>
      <c r="H1566" s="3">
        <f>grocery_chain_data[[#This Row],[Quantity]]*grocery_chain_data[[#This Row],[Unit Price]]</f>
        <v>6</v>
      </c>
      <c r="I1566" s="3">
        <v>1</v>
      </c>
      <c r="J1566" s="3">
        <f>grocery_chain_data[[#This Row],[Total Amount]]-grocery_chain_data[[#This Row],[Discount Amount]]</f>
        <v>5</v>
      </c>
      <c r="K1566">
        <v>383</v>
      </c>
      <c r="L1566" t="str">
        <f>IF(grocery_chain_data[[#This Row],[Final Amount]]&lt;0,"Return","Sale")</f>
        <v>Sale</v>
      </c>
      <c r="M1566">
        <f>IF(grocery_chain_data[[#This Row],[Final Amount]]&lt;0,0,grocery_chain_data[[#This Row],[Final Amount]])</f>
        <v>5</v>
      </c>
    </row>
    <row r="1567" spans="1:13" x14ac:dyDescent="0.3">
      <c r="A1567">
        <v>2260</v>
      </c>
      <c r="B1567" t="s">
        <v>21</v>
      </c>
      <c r="C1567" s="1">
        <v>45425</v>
      </c>
      <c r="D1567" s="1" t="str">
        <f t="shared" si="24"/>
        <v>Meat &amp; Seafood</v>
      </c>
      <c r="E1567" t="s">
        <v>26</v>
      </c>
      <c r="F1567" s="2">
        <v>1</v>
      </c>
      <c r="G1567" s="3">
        <v>27</v>
      </c>
      <c r="H1567" s="3">
        <f>grocery_chain_data[[#This Row],[Quantity]]*grocery_chain_data[[#This Row],[Unit Price]]</f>
        <v>27</v>
      </c>
      <c r="I1567" s="3">
        <v>0</v>
      </c>
      <c r="J1567" s="3">
        <f>grocery_chain_data[[#This Row],[Total Amount]]-grocery_chain_data[[#This Row],[Discount Amount]]</f>
        <v>27</v>
      </c>
      <c r="K1567">
        <v>253</v>
      </c>
      <c r="L1567" t="str">
        <f>IF(grocery_chain_data[[#This Row],[Final Amount]]&lt;0,"Return","Sale")</f>
        <v>Sale</v>
      </c>
      <c r="M1567">
        <f>IF(grocery_chain_data[[#This Row],[Final Amount]]&lt;0,0,grocery_chain_data[[#This Row],[Final Amount]])</f>
        <v>27</v>
      </c>
    </row>
    <row r="1568" spans="1:13" x14ac:dyDescent="0.3">
      <c r="A1568">
        <v>5123</v>
      </c>
      <c r="B1568" t="s">
        <v>2</v>
      </c>
      <c r="C1568" s="1">
        <v>45336</v>
      </c>
      <c r="D1568" s="1" t="str">
        <f t="shared" si="24"/>
        <v>Dairy</v>
      </c>
      <c r="E1568" t="s">
        <v>20</v>
      </c>
      <c r="F1568" s="2">
        <v>5</v>
      </c>
      <c r="G1568" s="3">
        <v>13</v>
      </c>
      <c r="H1568" s="3">
        <f>grocery_chain_data[[#This Row],[Quantity]]*grocery_chain_data[[#This Row],[Unit Price]]</f>
        <v>65</v>
      </c>
      <c r="I1568" s="3">
        <v>3</v>
      </c>
      <c r="J1568" s="3">
        <f>grocery_chain_data[[#This Row],[Total Amount]]-grocery_chain_data[[#This Row],[Discount Amount]]</f>
        <v>62</v>
      </c>
      <c r="K1568">
        <v>4</v>
      </c>
      <c r="L1568" t="str">
        <f>IF(grocery_chain_data[[#This Row],[Final Amount]]&lt;0,"Return","Sale")</f>
        <v>Sale</v>
      </c>
      <c r="M1568">
        <f>IF(grocery_chain_data[[#This Row],[Final Amount]]&lt;0,0,grocery_chain_data[[#This Row],[Final Amount]])</f>
        <v>62</v>
      </c>
    </row>
    <row r="1569" spans="1:13" x14ac:dyDescent="0.3">
      <c r="A1569">
        <v>9123</v>
      </c>
      <c r="B1569" t="s">
        <v>12</v>
      </c>
      <c r="C1569" s="1">
        <v>45606</v>
      </c>
      <c r="D1569" s="1" t="str">
        <f t="shared" si="24"/>
        <v>Pantry</v>
      </c>
      <c r="E1569" t="s">
        <v>1</v>
      </c>
      <c r="F1569" s="2">
        <v>5</v>
      </c>
      <c r="G1569" s="3">
        <v>10</v>
      </c>
      <c r="H1569" s="3">
        <f>grocery_chain_data[[#This Row],[Quantity]]*grocery_chain_data[[#This Row],[Unit Price]]</f>
        <v>50</v>
      </c>
      <c r="I1569" s="3">
        <v>4</v>
      </c>
      <c r="J1569" s="3">
        <f>grocery_chain_data[[#This Row],[Total Amount]]-grocery_chain_data[[#This Row],[Discount Amount]]</f>
        <v>46</v>
      </c>
      <c r="K1569">
        <v>455</v>
      </c>
      <c r="L1569" t="str">
        <f>IF(grocery_chain_data[[#This Row],[Final Amount]]&lt;0,"Return","Sale")</f>
        <v>Sale</v>
      </c>
      <c r="M1569">
        <f>IF(grocery_chain_data[[#This Row],[Final Amount]]&lt;0,0,grocery_chain_data[[#This Row],[Final Amount]])</f>
        <v>46</v>
      </c>
    </row>
    <row r="1570" spans="1:13" x14ac:dyDescent="0.3">
      <c r="A1570">
        <v>4203</v>
      </c>
      <c r="B1570" t="s">
        <v>5</v>
      </c>
      <c r="C1570" s="1">
        <v>45500</v>
      </c>
      <c r="D1570" s="1" t="str">
        <f t="shared" si="24"/>
        <v>Produce</v>
      </c>
      <c r="E1570" t="s">
        <v>24</v>
      </c>
      <c r="F1570" s="2">
        <v>2</v>
      </c>
      <c r="G1570" s="3">
        <v>24</v>
      </c>
      <c r="H1570" s="3">
        <f>grocery_chain_data[[#This Row],[Quantity]]*grocery_chain_data[[#This Row],[Unit Price]]</f>
        <v>48</v>
      </c>
      <c r="I1570" s="3">
        <v>3</v>
      </c>
      <c r="J1570" s="3">
        <f>grocery_chain_data[[#This Row],[Total Amount]]-grocery_chain_data[[#This Row],[Discount Amount]]</f>
        <v>45</v>
      </c>
      <c r="K1570">
        <v>487</v>
      </c>
      <c r="L1570" t="str">
        <f>IF(grocery_chain_data[[#This Row],[Final Amount]]&lt;0,"Return","Sale")</f>
        <v>Sale</v>
      </c>
      <c r="M1570">
        <f>IF(grocery_chain_data[[#This Row],[Final Amount]]&lt;0,0,grocery_chain_data[[#This Row],[Final Amount]])</f>
        <v>45</v>
      </c>
    </row>
    <row r="1571" spans="1:13" x14ac:dyDescent="0.3">
      <c r="A1571">
        <v>2752</v>
      </c>
      <c r="B1571" t="s">
        <v>10</v>
      </c>
      <c r="C1571" s="1">
        <v>45250</v>
      </c>
      <c r="D1571" s="1" t="str">
        <f t="shared" si="24"/>
        <v>Dairy</v>
      </c>
      <c r="E1571" t="s">
        <v>23</v>
      </c>
      <c r="F1571" s="2">
        <v>3</v>
      </c>
      <c r="G1571" s="3">
        <v>28</v>
      </c>
      <c r="H1571" s="3">
        <f>grocery_chain_data[[#This Row],[Quantity]]*grocery_chain_data[[#This Row],[Unit Price]]</f>
        <v>84</v>
      </c>
      <c r="I1571" s="3">
        <v>17</v>
      </c>
      <c r="J1571" s="3">
        <f>grocery_chain_data[[#This Row],[Total Amount]]-grocery_chain_data[[#This Row],[Discount Amount]]</f>
        <v>67</v>
      </c>
      <c r="K1571">
        <v>368</v>
      </c>
      <c r="L1571" t="str">
        <f>IF(grocery_chain_data[[#This Row],[Final Amount]]&lt;0,"Return","Sale")</f>
        <v>Sale</v>
      </c>
      <c r="M1571">
        <f>IF(grocery_chain_data[[#This Row],[Final Amount]]&lt;0,0,grocery_chain_data[[#This Row],[Final Amount]])</f>
        <v>67</v>
      </c>
    </row>
    <row r="1572" spans="1:13" x14ac:dyDescent="0.3">
      <c r="A1572">
        <v>5991</v>
      </c>
      <c r="B1572" t="s">
        <v>2</v>
      </c>
      <c r="C1572" s="1">
        <v>45150</v>
      </c>
      <c r="D1572" s="1" t="str">
        <f t="shared" si="24"/>
        <v>Produce</v>
      </c>
      <c r="E1572" t="s">
        <v>18</v>
      </c>
      <c r="F1572" s="2">
        <v>3</v>
      </c>
      <c r="G1572" s="3">
        <v>13</v>
      </c>
      <c r="H1572" s="3">
        <f>grocery_chain_data[[#This Row],[Quantity]]*grocery_chain_data[[#This Row],[Unit Price]]</f>
        <v>39</v>
      </c>
      <c r="I1572" s="3">
        <v>5</v>
      </c>
      <c r="J1572" s="3">
        <f>grocery_chain_data[[#This Row],[Total Amount]]-grocery_chain_data[[#This Row],[Discount Amount]]</f>
        <v>34</v>
      </c>
      <c r="K1572">
        <v>76</v>
      </c>
      <c r="L1572" t="str">
        <f>IF(grocery_chain_data[[#This Row],[Final Amount]]&lt;0,"Return","Sale")</f>
        <v>Sale</v>
      </c>
      <c r="M1572">
        <f>IF(grocery_chain_data[[#This Row],[Final Amount]]&lt;0,0,grocery_chain_data[[#This Row],[Final Amount]])</f>
        <v>34</v>
      </c>
    </row>
    <row r="1573" spans="1:13" x14ac:dyDescent="0.3">
      <c r="A1573">
        <v>7483</v>
      </c>
      <c r="B1573" t="s">
        <v>13</v>
      </c>
      <c r="C1573" s="1">
        <v>45403</v>
      </c>
      <c r="D1573" s="1" t="str">
        <f t="shared" si="24"/>
        <v>Dairy</v>
      </c>
      <c r="E1573" t="s">
        <v>23</v>
      </c>
      <c r="F1573" s="2">
        <v>2</v>
      </c>
      <c r="G1573" s="3">
        <v>21</v>
      </c>
      <c r="H1573" s="3">
        <f>grocery_chain_data[[#This Row],[Quantity]]*grocery_chain_data[[#This Row],[Unit Price]]</f>
        <v>42</v>
      </c>
      <c r="I1573" s="3">
        <v>6</v>
      </c>
      <c r="J1573" s="3">
        <f>grocery_chain_data[[#This Row],[Total Amount]]-grocery_chain_data[[#This Row],[Discount Amount]]</f>
        <v>36</v>
      </c>
      <c r="K1573">
        <v>275</v>
      </c>
      <c r="L1573" t="str">
        <f>IF(grocery_chain_data[[#This Row],[Final Amount]]&lt;0,"Return","Sale")</f>
        <v>Sale</v>
      </c>
      <c r="M1573">
        <f>IF(grocery_chain_data[[#This Row],[Final Amount]]&lt;0,0,grocery_chain_data[[#This Row],[Final Amount]])</f>
        <v>36</v>
      </c>
    </row>
    <row r="1574" spans="1:13" x14ac:dyDescent="0.3">
      <c r="A1574">
        <v>7224</v>
      </c>
      <c r="B1574" t="s">
        <v>0</v>
      </c>
      <c r="C1574" s="1">
        <v>45769</v>
      </c>
      <c r="D1574" s="1" t="str">
        <f t="shared" si="24"/>
        <v>Meat &amp; Seafood</v>
      </c>
      <c r="E1574" t="s">
        <v>15</v>
      </c>
      <c r="F1574" s="2">
        <v>5</v>
      </c>
      <c r="G1574" s="3">
        <v>6</v>
      </c>
      <c r="H1574" s="3">
        <f>grocery_chain_data[[#This Row],[Quantity]]*grocery_chain_data[[#This Row],[Unit Price]]</f>
        <v>30</v>
      </c>
      <c r="I1574" s="3">
        <v>4</v>
      </c>
      <c r="J1574" s="3">
        <f>grocery_chain_data[[#This Row],[Total Amount]]-grocery_chain_data[[#This Row],[Discount Amount]]</f>
        <v>26</v>
      </c>
      <c r="K1574">
        <v>179</v>
      </c>
      <c r="L1574" t="str">
        <f>IF(grocery_chain_data[[#This Row],[Final Amount]]&lt;0,"Return","Sale")</f>
        <v>Sale</v>
      </c>
      <c r="M1574">
        <f>IF(grocery_chain_data[[#This Row],[Final Amount]]&lt;0,0,grocery_chain_data[[#This Row],[Final Amount]])</f>
        <v>26</v>
      </c>
    </row>
    <row r="1575" spans="1:13" x14ac:dyDescent="0.3">
      <c r="A1575">
        <v>6399</v>
      </c>
      <c r="B1575" t="s">
        <v>27</v>
      </c>
      <c r="C1575" s="1">
        <v>45486</v>
      </c>
      <c r="D1575" s="1" t="str">
        <f t="shared" si="24"/>
        <v>Pantry</v>
      </c>
      <c r="E1575" t="s">
        <v>1</v>
      </c>
      <c r="F1575" s="2">
        <v>3</v>
      </c>
      <c r="G1575" s="3">
        <v>25</v>
      </c>
      <c r="H1575" s="3">
        <f>grocery_chain_data[[#This Row],[Quantity]]*grocery_chain_data[[#This Row],[Unit Price]]</f>
        <v>75</v>
      </c>
      <c r="I1575" s="3">
        <v>4</v>
      </c>
      <c r="J1575" s="3">
        <f>grocery_chain_data[[#This Row],[Total Amount]]-grocery_chain_data[[#This Row],[Discount Amount]]</f>
        <v>71</v>
      </c>
      <c r="K1575">
        <v>444</v>
      </c>
      <c r="L1575" t="str">
        <f>IF(grocery_chain_data[[#This Row],[Final Amount]]&lt;0,"Return","Sale")</f>
        <v>Sale</v>
      </c>
      <c r="M1575">
        <f>IF(grocery_chain_data[[#This Row],[Final Amount]]&lt;0,0,grocery_chain_data[[#This Row],[Final Amount]])</f>
        <v>71</v>
      </c>
    </row>
    <row r="1576" spans="1:13" x14ac:dyDescent="0.3">
      <c r="A1576">
        <v>6484</v>
      </c>
      <c r="B1576" t="s">
        <v>16</v>
      </c>
      <c r="C1576" s="1">
        <v>45479</v>
      </c>
      <c r="D1576" s="1" t="str">
        <f t="shared" si="24"/>
        <v>Produce</v>
      </c>
      <c r="E1576" t="s">
        <v>14</v>
      </c>
      <c r="F1576" s="2">
        <v>3</v>
      </c>
      <c r="G1576" s="3">
        <v>17</v>
      </c>
      <c r="H1576" s="3">
        <f>grocery_chain_data[[#This Row],[Quantity]]*grocery_chain_data[[#This Row],[Unit Price]]</f>
        <v>51</v>
      </c>
      <c r="I1576" s="3">
        <v>3</v>
      </c>
      <c r="J1576" s="3">
        <f>grocery_chain_data[[#This Row],[Total Amount]]-grocery_chain_data[[#This Row],[Discount Amount]]</f>
        <v>48</v>
      </c>
      <c r="K1576">
        <v>328</v>
      </c>
      <c r="L1576" t="str">
        <f>IF(grocery_chain_data[[#This Row],[Final Amount]]&lt;0,"Return","Sale")</f>
        <v>Sale</v>
      </c>
      <c r="M1576">
        <f>IF(grocery_chain_data[[#This Row],[Final Amount]]&lt;0,0,grocery_chain_data[[#This Row],[Final Amount]])</f>
        <v>48</v>
      </c>
    </row>
    <row r="1577" spans="1:13" x14ac:dyDescent="0.3">
      <c r="A1577">
        <v>3230</v>
      </c>
      <c r="B1577" t="s">
        <v>0</v>
      </c>
      <c r="C1577" s="1">
        <v>45378</v>
      </c>
      <c r="D1577" s="1" t="str">
        <f t="shared" si="24"/>
        <v>Pantry</v>
      </c>
      <c r="E1577" t="s">
        <v>1</v>
      </c>
      <c r="F1577" s="2">
        <v>2</v>
      </c>
      <c r="G1577" s="3">
        <v>9</v>
      </c>
      <c r="H1577" s="3">
        <f>grocery_chain_data[[#This Row],[Quantity]]*grocery_chain_data[[#This Row],[Unit Price]]</f>
        <v>18</v>
      </c>
      <c r="I1577" s="3">
        <v>3</v>
      </c>
      <c r="J1577" s="3">
        <f>grocery_chain_data[[#This Row],[Total Amount]]-grocery_chain_data[[#This Row],[Discount Amount]]</f>
        <v>15</v>
      </c>
      <c r="K1577">
        <v>52</v>
      </c>
      <c r="L1577" t="str">
        <f>IF(grocery_chain_data[[#This Row],[Final Amount]]&lt;0,"Return","Sale")</f>
        <v>Sale</v>
      </c>
      <c r="M1577">
        <f>IF(grocery_chain_data[[#This Row],[Final Amount]]&lt;0,0,grocery_chain_data[[#This Row],[Final Amount]])</f>
        <v>15</v>
      </c>
    </row>
    <row r="1578" spans="1:13" x14ac:dyDescent="0.3">
      <c r="A1578">
        <v>6253</v>
      </c>
      <c r="B1578" t="s">
        <v>27</v>
      </c>
      <c r="C1578" s="1">
        <v>45613</v>
      </c>
      <c r="D1578" s="1" t="str">
        <f t="shared" si="24"/>
        <v>Pantry</v>
      </c>
      <c r="E1578" t="s">
        <v>1</v>
      </c>
      <c r="F1578" s="2">
        <v>5</v>
      </c>
      <c r="G1578" s="3">
        <v>20</v>
      </c>
      <c r="H1578" s="3">
        <f>grocery_chain_data[[#This Row],[Quantity]]*grocery_chain_data[[#This Row],[Unit Price]]</f>
        <v>100</v>
      </c>
      <c r="I1578" s="3">
        <v>20</v>
      </c>
      <c r="J1578" s="3">
        <f>grocery_chain_data[[#This Row],[Total Amount]]-grocery_chain_data[[#This Row],[Discount Amount]]</f>
        <v>80</v>
      </c>
      <c r="K1578">
        <v>242</v>
      </c>
      <c r="L1578" t="str">
        <f>IF(grocery_chain_data[[#This Row],[Final Amount]]&lt;0,"Return","Sale")</f>
        <v>Sale</v>
      </c>
      <c r="M1578">
        <f>IF(grocery_chain_data[[#This Row],[Final Amount]]&lt;0,0,grocery_chain_data[[#This Row],[Final Amount]])</f>
        <v>80</v>
      </c>
    </row>
    <row r="1579" spans="1:13" x14ac:dyDescent="0.3">
      <c r="A1579">
        <v>4290</v>
      </c>
      <c r="B1579" t="s">
        <v>13</v>
      </c>
      <c r="C1579" s="1">
        <v>45517</v>
      </c>
      <c r="D1579" s="1" t="str">
        <f t="shared" si="24"/>
        <v>Dairy</v>
      </c>
      <c r="E1579" t="s">
        <v>23</v>
      </c>
      <c r="F1579" s="2">
        <v>1</v>
      </c>
      <c r="G1579" s="3">
        <v>28</v>
      </c>
      <c r="H1579" s="3">
        <f>grocery_chain_data[[#This Row],[Quantity]]*grocery_chain_data[[#This Row],[Unit Price]]</f>
        <v>28</v>
      </c>
      <c r="I1579" s="3">
        <v>6</v>
      </c>
      <c r="J1579" s="3">
        <f>grocery_chain_data[[#This Row],[Total Amount]]-grocery_chain_data[[#This Row],[Discount Amount]]</f>
        <v>22</v>
      </c>
      <c r="K1579">
        <v>314</v>
      </c>
      <c r="L1579" t="str">
        <f>IF(grocery_chain_data[[#This Row],[Final Amount]]&lt;0,"Return","Sale")</f>
        <v>Sale</v>
      </c>
      <c r="M1579">
        <f>IF(grocery_chain_data[[#This Row],[Final Amount]]&lt;0,0,grocery_chain_data[[#This Row],[Final Amount]])</f>
        <v>22</v>
      </c>
    </row>
    <row r="1580" spans="1:13" x14ac:dyDescent="0.3">
      <c r="A1580">
        <v>6147</v>
      </c>
      <c r="B1580" t="s">
        <v>5</v>
      </c>
      <c r="C1580" s="1">
        <v>45282</v>
      </c>
      <c r="D1580" s="1" t="str">
        <f t="shared" si="24"/>
        <v>Produce</v>
      </c>
      <c r="E1580" t="s">
        <v>18</v>
      </c>
      <c r="F1580" s="2">
        <v>3</v>
      </c>
      <c r="G1580" s="3">
        <v>3</v>
      </c>
      <c r="H1580" s="3">
        <f>grocery_chain_data[[#This Row],[Quantity]]*grocery_chain_data[[#This Row],[Unit Price]]</f>
        <v>9</v>
      </c>
      <c r="I1580" s="3">
        <v>2</v>
      </c>
      <c r="J1580" s="3">
        <f>grocery_chain_data[[#This Row],[Total Amount]]-grocery_chain_data[[#This Row],[Discount Amount]]</f>
        <v>7</v>
      </c>
      <c r="K1580">
        <v>496</v>
      </c>
      <c r="L1580" t="str">
        <f>IF(grocery_chain_data[[#This Row],[Final Amount]]&lt;0,"Return","Sale")</f>
        <v>Sale</v>
      </c>
      <c r="M1580">
        <f>IF(grocery_chain_data[[#This Row],[Final Amount]]&lt;0,0,grocery_chain_data[[#This Row],[Final Amount]])</f>
        <v>7</v>
      </c>
    </row>
    <row r="1581" spans="1:13" x14ac:dyDescent="0.3">
      <c r="A1581">
        <v>7524</v>
      </c>
      <c r="B1581" t="s">
        <v>2</v>
      </c>
      <c r="C1581" s="1">
        <v>45392</v>
      </c>
      <c r="D1581" s="1" t="str">
        <f t="shared" si="24"/>
        <v>Dairy</v>
      </c>
      <c r="E1581" t="s">
        <v>3</v>
      </c>
      <c r="F1581" s="2">
        <v>4</v>
      </c>
      <c r="G1581" s="3">
        <v>10</v>
      </c>
      <c r="H1581" s="3">
        <f>grocery_chain_data[[#This Row],[Quantity]]*grocery_chain_data[[#This Row],[Unit Price]]</f>
        <v>40</v>
      </c>
      <c r="I1581" s="3">
        <v>8</v>
      </c>
      <c r="J1581" s="3">
        <f>grocery_chain_data[[#This Row],[Total Amount]]-grocery_chain_data[[#This Row],[Discount Amount]]</f>
        <v>32</v>
      </c>
      <c r="K1581">
        <v>256</v>
      </c>
      <c r="L1581" t="str">
        <f>IF(grocery_chain_data[[#This Row],[Final Amount]]&lt;0,"Return","Sale")</f>
        <v>Sale</v>
      </c>
      <c r="M1581">
        <f>IF(grocery_chain_data[[#This Row],[Final Amount]]&lt;0,0,grocery_chain_data[[#This Row],[Final Amount]])</f>
        <v>32</v>
      </c>
    </row>
    <row r="1582" spans="1:13" x14ac:dyDescent="0.3">
      <c r="A1582">
        <v>5775</v>
      </c>
      <c r="B1582" t="s">
        <v>2</v>
      </c>
      <c r="C1582" s="1">
        <v>45715</v>
      </c>
      <c r="D1582" s="1" t="str">
        <f t="shared" si="24"/>
        <v>Produce</v>
      </c>
      <c r="E1582" t="s">
        <v>14</v>
      </c>
      <c r="F1582" s="2">
        <v>4</v>
      </c>
      <c r="G1582" s="3">
        <v>21</v>
      </c>
      <c r="H1582" s="3">
        <f>grocery_chain_data[[#This Row],[Quantity]]*grocery_chain_data[[#This Row],[Unit Price]]</f>
        <v>84</v>
      </c>
      <c r="I1582" s="3">
        <v>2</v>
      </c>
      <c r="J1582" s="3">
        <f>grocery_chain_data[[#This Row],[Total Amount]]-grocery_chain_data[[#This Row],[Discount Amount]]</f>
        <v>82</v>
      </c>
      <c r="K1582">
        <v>181</v>
      </c>
      <c r="L1582" t="str">
        <f>IF(grocery_chain_data[[#This Row],[Final Amount]]&lt;0,"Return","Sale")</f>
        <v>Sale</v>
      </c>
      <c r="M1582">
        <f>IF(grocery_chain_data[[#This Row],[Final Amount]]&lt;0,0,grocery_chain_data[[#This Row],[Final Amount]])</f>
        <v>82</v>
      </c>
    </row>
    <row r="1583" spans="1:13" x14ac:dyDescent="0.3">
      <c r="A1583">
        <v>9044</v>
      </c>
      <c r="B1583" t="s">
        <v>0</v>
      </c>
      <c r="C1583" s="1">
        <v>45592</v>
      </c>
      <c r="D1583" s="1" t="str">
        <f t="shared" si="24"/>
        <v>Dairy</v>
      </c>
      <c r="E1583" t="s">
        <v>23</v>
      </c>
      <c r="F1583" s="2">
        <v>2</v>
      </c>
      <c r="G1583" s="3">
        <v>28</v>
      </c>
      <c r="H1583" s="3">
        <f>grocery_chain_data[[#This Row],[Quantity]]*grocery_chain_data[[#This Row],[Unit Price]]</f>
        <v>56</v>
      </c>
      <c r="I1583" s="3">
        <v>0</v>
      </c>
      <c r="J1583" s="3">
        <f>grocery_chain_data[[#This Row],[Total Amount]]-grocery_chain_data[[#This Row],[Discount Amount]]</f>
        <v>56</v>
      </c>
      <c r="K1583">
        <v>426</v>
      </c>
      <c r="L1583" t="str">
        <f>IF(grocery_chain_data[[#This Row],[Final Amount]]&lt;0,"Return","Sale")</f>
        <v>Sale</v>
      </c>
      <c r="M1583">
        <f>IF(grocery_chain_data[[#This Row],[Final Amount]]&lt;0,0,grocery_chain_data[[#This Row],[Final Amount]])</f>
        <v>56</v>
      </c>
    </row>
    <row r="1584" spans="1:13" x14ac:dyDescent="0.3">
      <c r="A1584">
        <v>4971</v>
      </c>
      <c r="B1584" t="s">
        <v>5</v>
      </c>
      <c r="C1584" s="1">
        <v>45398</v>
      </c>
      <c r="D1584" s="1" t="str">
        <f t="shared" si="24"/>
        <v>Produce</v>
      </c>
      <c r="E1584" t="s">
        <v>4</v>
      </c>
      <c r="F1584" s="2">
        <v>4</v>
      </c>
      <c r="G1584" s="3">
        <v>15</v>
      </c>
      <c r="H1584" s="3">
        <f>grocery_chain_data[[#This Row],[Quantity]]*grocery_chain_data[[#This Row],[Unit Price]]</f>
        <v>60</v>
      </c>
      <c r="I1584" s="3">
        <v>0</v>
      </c>
      <c r="J1584" s="3">
        <f>grocery_chain_data[[#This Row],[Total Amount]]-grocery_chain_data[[#This Row],[Discount Amount]]</f>
        <v>60</v>
      </c>
      <c r="K1584">
        <v>403</v>
      </c>
      <c r="L1584" t="str">
        <f>IF(grocery_chain_data[[#This Row],[Final Amount]]&lt;0,"Return","Sale")</f>
        <v>Sale</v>
      </c>
      <c r="M1584">
        <f>IF(grocery_chain_data[[#This Row],[Final Amount]]&lt;0,0,grocery_chain_data[[#This Row],[Final Amount]])</f>
        <v>60</v>
      </c>
    </row>
    <row r="1585" spans="1:13" x14ac:dyDescent="0.3">
      <c r="A1585">
        <v>7161</v>
      </c>
      <c r="B1585" t="s">
        <v>0</v>
      </c>
      <c r="C1585" s="1">
        <v>45362</v>
      </c>
      <c r="D1585" s="1" t="str">
        <f t="shared" si="24"/>
        <v>Dairy</v>
      </c>
      <c r="E1585" t="s">
        <v>3</v>
      </c>
      <c r="F1585" s="2">
        <v>3</v>
      </c>
      <c r="G1585" s="3">
        <v>6</v>
      </c>
      <c r="H1585" s="3">
        <f>grocery_chain_data[[#This Row],[Quantity]]*grocery_chain_data[[#This Row],[Unit Price]]</f>
        <v>18</v>
      </c>
      <c r="I1585" s="3">
        <v>2</v>
      </c>
      <c r="J1585" s="3">
        <f>grocery_chain_data[[#This Row],[Total Amount]]-grocery_chain_data[[#This Row],[Discount Amount]]</f>
        <v>16</v>
      </c>
      <c r="K1585">
        <v>443</v>
      </c>
      <c r="L1585" t="str">
        <f>IF(grocery_chain_data[[#This Row],[Final Amount]]&lt;0,"Return","Sale")</f>
        <v>Sale</v>
      </c>
      <c r="M1585">
        <f>IF(grocery_chain_data[[#This Row],[Final Amount]]&lt;0,0,grocery_chain_data[[#This Row],[Final Amount]])</f>
        <v>16</v>
      </c>
    </row>
    <row r="1586" spans="1:13" x14ac:dyDescent="0.3">
      <c r="A1586">
        <v>7437</v>
      </c>
      <c r="B1586" t="s">
        <v>16</v>
      </c>
      <c r="C1586" s="1">
        <v>45428</v>
      </c>
      <c r="D1586" s="1" t="str">
        <f t="shared" si="24"/>
        <v>Dairy</v>
      </c>
      <c r="E1586" t="s">
        <v>23</v>
      </c>
      <c r="F1586" s="2">
        <v>5</v>
      </c>
      <c r="G1586" s="3">
        <v>17</v>
      </c>
      <c r="H1586" s="3">
        <f>grocery_chain_data[[#This Row],[Quantity]]*grocery_chain_data[[#This Row],[Unit Price]]</f>
        <v>85</v>
      </c>
      <c r="I1586" s="3">
        <v>9</v>
      </c>
      <c r="J1586" s="3">
        <f>grocery_chain_data[[#This Row],[Total Amount]]-grocery_chain_data[[#This Row],[Discount Amount]]</f>
        <v>76</v>
      </c>
      <c r="K1586">
        <v>471</v>
      </c>
      <c r="L1586" t="str">
        <f>IF(grocery_chain_data[[#This Row],[Final Amount]]&lt;0,"Return","Sale")</f>
        <v>Sale</v>
      </c>
      <c r="M1586">
        <f>IF(grocery_chain_data[[#This Row],[Final Amount]]&lt;0,0,grocery_chain_data[[#This Row],[Final Amount]])</f>
        <v>76</v>
      </c>
    </row>
    <row r="1587" spans="1:13" x14ac:dyDescent="0.3">
      <c r="A1587">
        <v>2865</v>
      </c>
      <c r="B1587" t="s">
        <v>16</v>
      </c>
      <c r="C1587" s="1">
        <v>45868</v>
      </c>
      <c r="D1587" s="1" t="str">
        <f t="shared" si="24"/>
        <v>Produce</v>
      </c>
      <c r="E1587" t="s">
        <v>18</v>
      </c>
      <c r="F1587" s="2">
        <v>2</v>
      </c>
      <c r="G1587" s="3">
        <v>14</v>
      </c>
      <c r="H1587" s="3">
        <f>grocery_chain_data[[#This Row],[Quantity]]*grocery_chain_data[[#This Row],[Unit Price]]</f>
        <v>28</v>
      </c>
      <c r="I1587" s="3">
        <v>3</v>
      </c>
      <c r="J1587" s="3">
        <f>grocery_chain_data[[#This Row],[Total Amount]]-grocery_chain_data[[#This Row],[Discount Amount]]</f>
        <v>25</v>
      </c>
      <c r="K1587">
        <v>269</v>
      </c>
      <c r="L1587" t="str">
        <f>IF(grocery_chain_data[[#This Row],[Final Amount]]&lt;0,"Return","Sale")</f>
        <v>Sale</v>
      </c>
      <c r="M1587">
        <f>IF(grocery_chain_data[[#This Row],[Final Amount]]&lt;0,0,grocery_chain_data[[#This Row],[Final Amount]])</f>
        <v>25</v>
      </c>
    </row>
    <row r="1588" spans="1:13" x14ac:dyDescent="0.3">
      <c r="A1588">
        <v>4273</v>
      </c>
      <c r="B1588" t="s">
        <v>16</v>
      </c>
      <c r="C1588" s="1">
        <v>45604</v>
      </c>
      <c r="D1588" s="1" t="str">
        <f t="shared" si="24"/>
        <v>Beverages</v>
      </c>
      <c r="E1588" t="s">
        <v>7</v>
      </c>
      <c r="F1588" s="2">
        <v>3</v>
      </c>
      <c r="G1588" s="3">
        <v>16</v>
      </c>
      <c r="H1588" s="3">
        <f>grocery_chain_data[[#This Row],[Quantity]]*grocery_chain_data[[#This Row],[Unit Price]]</f>
        <v>48</v>
      </c>
      <c r="I1588" s="3">
        <v>4</v>
      </c>
      <c r="J1588" s="3">
        <f>grocery_chain_data[[#This Row],[Total Amount]]-grocery_chain_data[[#This Row],[Discount Amount]]</f>
        <v>44</v>
      </c>
      <c r="K1588">
        <v>6</v>
      </c>
      <c r="L1588" t="str">
        <f>IF(grocery_chain_data[[#This Row],[Final Amount]]&lt;0,"Return","Sale")</f>
        <v>Sale</v>
      </c>
      <c r="M1588">
        <f>IF(grocery_chain_data[[#This Row],[Final Amount]]&lt;0,0,grocery_chain_data[[#This Row],[Final Amount]])</f>
        <v>44</v>
      </c>
    </row>
    <row r="1589" spans="1:13" x14ac:dyDescent="0.3">
      <c r="A1589">
        <v>9939</v>
      </c>
      <c r="B1589" t="s">
        <v>10</v>
      </c>
      <c r="C1589" s="1">
        <v>45284</v>
      </c>
      <c r="D1589" s="1" t="str">
        <f t="shared" si="24"/>
        <v>Dairy</v>
      </c>
      <c r="E1589" t="s">
        <v>19</v>
      </c>
      <c r="F1589" s="2">
        <v>3</v>
      </c>
      <c r="G1589" s="3">
        <v>9</v>
      </c>
      <c r="H1589" s="3">
        <f>grocery_chain_data[[#This Row],[Quantity]]*grocery_chain_data[[#This Row],[Unit Price]]</f>
        <v>27</v>
      </c>
      <c r="I1589" s="3">
        <v>0</v>
      </c>
      <c r="J1589" s="3">
        <f>grocery_chain_data[[#This Row],[Total Amount]]-grocery_chain_data[[#This Row],[Discount Amount]]</f>
        <v>27</v>
      </c>
      <c r="K1589">
        <v>29</v>
      </c>
      <c r="L1589" t="str">
        <f>IF(grocery_chain_data[[#This Row],[Final Amount]]&lt;0,"Return","Sale")</f>
        <v>Sale</v>
      </c>
      <c r="M1589">
        <f>IF(grocery_chain_data[[#This Row],[Final Amount]]&lt;0,0,grocery_chain_data[[#This Row],[Final Amount]])</f>
        <v>27</v>
      </c>
    </row>
    <row r="1590" spans="1:13" x14ac:dyDescent="0.3">
      <c r="A1590">
        <v>1440</v>
      </c>
      <c r="B1590" t="s">
        <v>10</v>
      </c>
      <c r="C1590" s="1">
        <v>45709</v>
      </c>
      <c r="D1590" s="1" t="str">
        <f t="shared" si="24"/>
        <v>Meat &amp; Seafood</v>
      </c>
      <c r="E1590" t="s">
        <v>15</v>
      </c>
      <c r="F1590" s="2">
        <v>4</v>
      </c>
      <c r="G1590" s="3">
        <v>6</v>
      </c>
      <c r="H1590" s="3">
        <f>grocery_chain_data[[#This Row],[Quantity]]*grocery_chain_data[[#This Row],[Unit Price]]</f>
        <v>24</v>
      </c>
      <c r="I1590" s="3">
        <v>2</v>
      </c>
      <c r="J1590" s="3">
        <f>grocery_chain_data[[#This Row],[Total Amount]]-grocery_chain_data[[#This Row],[Discount Amount]]</f>
        <v>22</v>
      </c>
      <c r="K1590">
        <v>383</v>
      </c>
      <c r="L1590" t="str">
        <f>IF(grocery_chain_data[[#This Row],[Final Amount]]&lt;0,"Return","Sale")</f>
        <v>Sale</v>
      </c>
      <c r="M1590">
        <f>IF(grocery_chain_data[[#This Row],[Final Amount]]&lt;0,0,grocery_chain_data[[#This Row],[Final Amount]])</f>
        <v>22</v>
      </c>
    </row>
    <row r="1591" spans="1:13" x14ac:dyDescent="0.3">
      <c r="A1591">
        <v>8563</v>
      </c>
      <c r="B1591" t="s">
        <v>5</v>
      </c>
      <c r="C1591" s="1">
        <v>45695</v>
      </c>
      <c r="D1591" s="1" t="str">
        <f t="shared" si="24"/>
        <v>Dairy</v>
      </c>
      <c r="E1591" t="s">
        <v>20</v>
      </c>
      <c r="F1591" s="2">
        <v>1</v>
      </c>
      <c r="G1591" s="3">
        <v>13</v>
      </c>
      <c r="H1591" s="3">
        <f>grocery_chain_data[[#This Row],[Quantity]]*grocery_chain_data[[#This Row],[Unit Price]]</f>
        <v>13</v>
      </c>
      <c r="I1591" s="3">
        <v>3</v>
      </c>
      <c r="J1591" s="3">
        <f>grocery_chain_data[[#This Row],[Total Amount]]-grocery_chain_data[[#This Row],[Discount Amount]]</f>
        <v>10</v>
      </c>
      <c r="K1591">
        <v>433</v>
      </c>
      <c r="L1591" t="str">
        <f>IF(grocery_chain_data[[#This Row],[Final Amount]]&lt;0,"Return","Sale")</f>
        <v>Sale</v>
      </c>
      <c r="M1591">
        <f>IF(grocery_chain_data[[#This Row],[Final Amount]]&lt;0,0,grocery_chain_data[[#This Row],[Final Amount]])</f>
        <v>10</v>
      </c>
    </row>
    <row r="1592" spans="1:13" x14ac:dyDescent="0.3">
      <c r="A1592">
        <v>4434</v>
      </c>
      <c r="B1592" t="s">
        <v>13</v>
      </c>
      <c r="C1592" s="1">
        <v>45485</v>
      </c>
      <c r="D1592" s="1" t="str">
        <f t="shared" si="24"/>
        <v>Meat &amp; Seafood</v>
      </c>
      <c r="E1592" t="s">
        <v>26</v>
      </c>
      <c r="F1592" s="2">
        <v>5</v>
      </c>
      <c r="G1592" s="3">
        <v>9</v>
      </c>
      <c r="H1592" s="3">
        <f>grocery_chain_data[[#This Row],[Quantity]]*grocery_chain_data[[#This Row],[Unit Price]]</f>
        <v>45</v>
      </c>
      <c r="I1592" s="3">
        <v>0</v>
      </c>
      <c r="J1592" s="3">
        <f>grocery_chain_data[[#This Row],[Total Amount]]-grocery_chain_data[[#This Row],[Discount Amount]]</f>
        <v>45</v>
      </c>
      <c r="K1592">
        <v>436</v>
      </c>
      <c r="L1592" t="str">
        <f>IF(grocery_chain_data[[#This Row],[Final Amount]]&lt;0,"Return","Sale")</f>
        <v>Sale</v>
      </c>
      <c r="M1592">
        <f>IF(grocery_chain_data[[#This Row],[Final Amount]]&lt;0,0,grocery_chain_data[[#This Row],[Final Amount]])</f>
        <v>45</v>
      </c>
    </row>
    <row r="1593" spans="1:13" x14ac:dyDescent="0.3">
      <c r="A1593">
        <v>5773</v>
      </c>
      <c r="B1593" t="s">
        <v>13</v>
      </c>
      <c r="C1593" s="1">
        <v>45790</v>
      </c>
      <c r="D1593" s="1" t="str">
        <f t="shared" si="24"/>
        <v>Pantry</v>
      </c>
      <c r="E1593" t="s">
        <v>6</v>
      </c>
      <c r="F1593" s="2">
        <v>2</v>
      </c>
      <c r="G1593" s="3">
        <v>27</v>
      </c>
      <c r="H1593" s="3">
        <f>grocery_chain_data[[#This Row],[Quantity]]*grocery_chain_data[[#This Row],[Unit Price]]</f>
        <v>54</v>
      </c>
      <c r="I1593" s="3">
        <v>1</v>
      </c>
      <c r="J1593" s="3">
        <f>grocery_chain_data[[#This Row],[Total Amount]]-grocery_chain_data[[#This Row],[Discount Amount]]</f>
        <v>53</v>
      </c>
      <c r="K1593">
        <v>300</v>
      </c>
      <c r="L1593" t="str">
        <f>IF(grocery_chain_data[[#This Row],[Final Amount]]&lt;0,"Return","Sale")</f>
        <v>Sale</v>
      </c>
      <c r="M1593">
        <f>IF(grocery_chain_data[[#This Row],[Final Amount]]&lt;0,0,grocery_chain_data[[#This Row],[Final Amount]])</f>
        <v>53</v>
      </c>
    </row>
    <row r="1594" spans="1:13" x14ac:dyDescent="0.3">
      <c r="A1594">
        <v>2133</v>
      </c>
      <c r="B1594" t="s">
        <v>8</v>
      </c>
      <c r="C1594" s="1">
        <v>45781</v>
      </c>
      <c r="D1594" s="1" t="str">
        <f t="shared" si="24"/>
        <v>Dairy</v>
      </c>
      <c r="E1594" t="s">
        <v>19</v>
      </c>
      <c r="F1594" s="2">
        <v>1</v>
      </c>
      <c r="G1594" s="3">
        <v>7</v>
      </c>
      <c r="H1594" s="3">
        <f>grocery_chain_data[[#This Row],[Quantity]]*grocery_chain_data[[#This Row],[Unit Price]]</f>
        <v>7</v>
      </c>
      <c r="I1594" s="3">
        <v>0</v>
      </c>
      <c r="J1594" s="3">
        <f>grocery_chain_data[[#This Row],[Total Amount]]-grocery_chain_data[[#This Row],[Discount Amount]]</f>
        <v>7</v>
      </c>
      <c r="K1594">
        <v>389</v>
      </c>
      <c r="L1594" t="str">
        <f>IF(grocery_chain_data[[#This Row],[Final Amount]]&lt;0,"Return","Sale")</f>
        <v>Sale</v>
      </c>
      <c r="M1594">
        <f>IF(grocery_chain_data[[#This Row],[Final Amount]]&lt;0,0,grocery_chain_data[[#This Row],[Final Amount]])</f>
        <v>7</v>
      </c>
    </row>
    <row r="1595" spans="1:13" x14ac:dyDescent="0.3">
      <c r="A1595">
        <v>7703</v>
      </c>
      <c r="B1595" t="s">
        <v>12</v>
      </c>
      <c r="C1595" s="1">
        <v>45667</v>
      </c>
      <c r="D1595" s="1" t="str">
        <f t="shared" si="24"/>
        <v>Produce</v>
      </c>
      <c r="E1595" t="s">
        <v>11</v>
      </c>
      <c r="F1595" s="2">
        <v>4</v>
      </c>
      <c r="G1595" s="3">
        <v>2</v>
      </c>
      <c r="H1595" s="3">
        <f>grocery_chain_data[[#This Row],[Quantity]]*grocery_chain_data[[#This Row],[Unit Price]]</f>
        <v>8</v>
      </c>
      <c r="I1595" s="3">
        <v>0</v>
      </c>
      <c r="J1595" s="3">
        <f>grocery_chain_data[[#This Row],[Total Amount]]-grocery_chain_data[[#This Row],[Discount Amount]]</f>
        <v>8</v>
      </c>
      <c r="K1595">
        <v>311</v>
      </c>
      <c r="L1595" t="str">
        <f>IF(grocery_chain_data[[#This Row],[Final Amount]]&lt;0,"Return","Sale")</f>
        <v>Sale</v>
      </c>
      <c r="M1595">
        <f>IF(grocery_chain_data[[#This Row],[Final Amount]]&lt;0,0,grocery_chain_data[[#This Row],[Final Amount]])</f>
        <v>8</v>
      </c>
    </row>
    <row r="1596" spans="1:13" x14ac:dyDescent="0.3">
      <c r="A1596">
        <v>9180</v>
      </c>
      <c r="B1596" t="s">
        <v>2</v>
      </c>
      <c r="C1596" s="1">
        <v>45253</v>
      </c>
      <c r="D1596" s="1" t="str">
        <f t="shared" si="24"/>
        <v>Produce</v>
      </c>
      <c r="E1596" t="s">
        <v>11</v>
      </c>
      <c r="F1596" s="2">
        <v>1</v>
      </c>
      <c r="G1596" s="3">
        <v>10</v>
      </c>
      <c r="H1596" s="3">
        <f>grocery_chain_data[[#This Row],[Quantity]]*grocery_chain_data[[#This Row],[Unit Price]]</f>
        <v>10</v>
      </c>
      <c r="I1596" s="3">
        <v>2</v>
      </c>
      <c r="J1596" s="3">
        <f>grocery_chain_data[[#This Row],[Total Amount]]-grocery_chain_data[[#This Row],[Discount Amount]]</f>
        <v>8</v>
      </c>
      <c r="K1596">
        <v>287</v>
      </c>
      <c r="L1596" t="str">
        <f>IF(grocery_chain_data[[#This Row],[Final Amount]]&lt;0,"Return","Sale")</f>
        <v>Sale</v>
      </c>
      <c r="M1596">
        <f>IF(grocery_chain_data[[#This Row],[Final Amount]]&lt;0,0,grocery_chain_data[[#This Row],[Final Amount]])</f>
        <v>8</v>
      </c>
    </row>
    <row r="1597" spans="1:13" x14ac:dyDescent="0.3">
      <c r="A1597">
        <v>5961</v>
      </c>
      <c r="B1597" t="s">
        <v>0</v>
      </c>
      <c r="C1597" s="1">
        <v>45332</v>
      </c>
      <c r="D1597" s="1" t="str">
        <f t="shared" si="24"/>
        <v>Meat &amp; Seafood</v>
      </c>
      <c r="E1597" t="s">
        <v>15</v>
      </c>
      <c r="F1597" s="2">
        <v>1</v>
      </c>
      <c r="G1597" s="3">
        <v>4</v>
      </c>
      <c r="H1597" s="3">
        <f>grocery_chain_data[[#This Row],[Quantity]]*grocery_chain_data[[#This Row],[Unit Price]]</f>
        <v>4</v>
      </c>
      <c r="I1597" s="3">
        <v>0</v>
      </c>
      <c r="J1597" s="3">
        <f>grocery_chain_data[[#This Row],[Total Amount]]-grocery_chain_data[[#This Row],[Discount Amount]]</f>
        <v>4</v>
      </c>
      <c r="K1597">
        <v>46</v>
      </c>
      <c r="L1597" t="str">
        <f>IF(grocery_chain_data[[#This Row],[Final Amount]]&lt;0,"Return","Sale")</f>
        <v>Sale</v>
      </c>
      <c r="M1597">
        <f>IF(grocery_chain_data[[#This Row],[Final Amount]]&lt;0,0,grocery_chain_data[[#This Row],[Final Amount]])</f>
        <v>4</v>
      </c>
    </row>
    <row r="1598" spans="1:13" x14ac:dyDescent="0.3">
      <c r="A1598">
        <v>5139</v>
      </c>
      <c r="B1598" t="s">
        <v>0</v>
      </c>
      <c r="C1598" s="1">
        <v>45656</v>
      </c>
      <c r="D1598" s="1" t="str">
        <f t="shared" si="24"/>
        <v>Pantry</v>
      </c>
      <c r="E1598" t="s">
        <v>6</v>
      </c>
      <c r="F1598" s="2">
        <v>5</v>
      </c>
      <c r="G1598" s="3">
        <v>19</v>
      </c>
      <c r="H1598" s="3">
        <f>grocery_chain_data[[#This Row],[Quantity]]*grocery_chain_data[[#This Row],[Unit Price]]</f>
        <v>95</v>
      </c>
      <c r="I1598" s="3">
        <v>2</v>
      </c>
      <c r="J1598" s="3">
        <f>grocery_chain_data[[#This Row],[Total Amount]]-grocery_chain_data[[#This Row],[Discount Amount]]</f>
        <v>93</v>
      </c>
      <c r="K1598">
        <v>10</v>
      </c>
      <c r="L1598" t="str">
        <f>IF(grocery_chain_data[[#This Row],[Final Amount]]&lt;0,"Return","Sale")</f>
        <v>Sale</v>
      </c>
      <c r="M1598">
        <f>IF(grocery_chain_data[[#This Row],[Final Amount]]&lt;0,0,grocery_chain_data[[#This Row],[Final Amount]])</f>
        <v>93</v>
      </c>
    </row>
    <row r="1599" spans="1:13" x14ac:dyDescent="0.3">
      <c r="A1599">
        <v>3525</v>
      </c>
      <c r="B1599" t="s">
        <v>16</v>
      </c>
      <c r="C1599" s="1">
        <v>45700</v>
      </c>
      <c r="D1599" s="1" t="str">
        <f t="shared" si="24"/>
        <v>Bakery</v>
      </c>
      <c r="E1599" t="s">
        <v>22</v>
      </c>
      <c r="F1599" s="2">
        <v>2</v>
      </c>
      <c r="G1599" s="3">
        <v>10</v>
      </c>
      <c r="H1599" s="3">
        <f>grocery_chain_data[[#This Row],[Quantity]]*grocery_chain_data[[#This Row],[Unit Price]]</f>
        <v>20</v>
      </c>
      <c r="I1599" s="3">
        <v>0</v>
      </c>
      <c r="J1599" s="3">
        <f>grocery_chain_data[[#This Row],[Total Amount]]-grocery_chain_data[[#This Row],[Discount Amount]]</f>
        <v>20</v>
      </c>
      <c r="K1599">
        <v>348</v>
      </c>
      <c r="L1599" t="str">
        <f>IF(grocery_chain_data[[#This Row],[Final Amount]]&lt;0,"Return","Sale")</f>
        <v>Sale</v>
      </c>
      <c r="M1599">
        <f>IF(grocery_chain_data[[#This Row],[Final Amount]]&lt;0,0,grocery_chain_data[[#This Row],[Final Amount]])</f>
        <v>20</v>
      </c>
    </row>
    <row r="1600" spans="1:13" x14ac:dyDescent="0.3">
      <c r="A1600">
        <v>7932</v>
      </c>
      <c r="B1600" t="s">
        <v>5</v>
      </c>
      <c r="C1600" s="1">
        <v>45757</v>
      </c>
      <c r="D1600" s="1" t="str">
        <f t="shared" si="24"/>
        <v>Dairy</v>
      </c>
      <c r="E1600" t="s">
        <v>19</v>
      </c>
      <c r="F1600" s="2">
        <v>4</v>
      </c>
      <c r="G1600" s="3">
        <v>21</v>
      </c>
      <c r="H1600" s="3">
        <f>grocery_chain_data[[#This Row],[Quantity]]*grocery_chain_data[[#This Row],[Unit Price]]</f>
        <v>84</v>
      </c>
      <c r="I1600" s="3">
        <v>17</v>
      </c>
      <c r="J1600" s="3">
        <f>grocery_chain_data[[#This Row],[Total Amount]]-grocery_chain_data[[#This Row],[Discount Amount]]</f>
        <v>67</v>
      </c>
      <c r="K1600">
        <v>91</v>
      </c>
      <c r="L1600" t="str">
        <f>IF(grocery_chain_data[[#This Row],[Final Amount]]&lt;0,"Return","Sale")</f>
        <v>Sale</v>
      </c>
      <c r="M1600">
        <f>IF(grocery_chain_data[[#This Row],[Final Amount]]&lt;0,0,grocery_chain_data[[#This Row],[Final Amount]])</f>
        <v>67</v>
      </c>
    </row>
    <row r="1601" spans="1:13" x14ac:dyDescent="0.3">
      <c r="A1601">
        <v>7176</v>
      </c>
      <c r="B1601" t="s">
        <v>16</v>
      </c>
      <c r="C1601" s="1">
        <v>45202</v>
      </c>
      <c r="D1601" s="1" t="str">
        <f t="shared" si="24"/>
        <v>Meat &amp; Seafood</v>
      </c>
      <c r="E1601" t="s">
        <v>9</v>
      </c>
      <c r="F1601" s="2">
        <v>2</v>
      </c>
      <c r="G1601" s="3">
        <v>9</v>
      </c>
      <c r="H1601" s="3">
        <f>grocery_chain_data[[#This Row],[Quantity]]*grocery_chain_data[[#This Row],[Unit Price]]</f>
        <v>18</v>
      </c>
      <c r="I1601" s="3">
        <v>3</v>
      </c>
      <c r="J1601" s="3">
        <f>grocery_chain_data[[#This Row],[Total Amount]]-grocery_chain_data[[#This Row],[Discount Amount]]</f>
        <v>15</v>
      </c>
      <c r="K1601">
        <v>102</v>
      </c>
      <c r="L1601" t="str">
        <f>IF(grocery_chain_data[[#This Row],[Final Amount]]&lt;0,"Return","Sale")</f>
        <v>Sale</v>
      </c>
      <c r="M1601">
        <f>IF(grocery_chain_data[[#This Row],[Final Amount]]&lt;0,0,grocery_chain_data[[#This Row],[Final Amount]])</f>
        <v>15</v>
      </c>
    </row>
    <row r="1602" spans="1:13" x14ac:dyDescent="0.3">
      <c r="A1602">
        <v>8357</v>
      </c>
      <c r="B1602" t="s">
        <v>12</v>
      </c>
      <c r="C1602" s="1">
        <v>45609</v>
      </c>
      <c r="D1602" s="1" t="str">
        <f t="shared" ref="D1602:D1665" si="25">IF(E1602="Pasta","Pantry",
IF(E1602="Cheese","Dairy",
IF(E1602="Onions","Produce",
IF(E1602="Cereal","Pantry",
IF(E1602="Orange Juice","Beverages",
IF(E1602="Ground Beef","Meat &amp; Seafood",
IF(E1602="Apples","Produce",
IF(E1602="Milk","Dairy",
IF(E1602="Bananas","Produce",
IF(E1602="Bread","Bakery",
IF(E1602="Carrots","Produce",
IF(E1602="Chicken Breast","Meat &amp; Seafood",
IF(E1602="Eggs","Dairy",
IF(E1602="Potatoes","Produce",
IF(E1602="Rice","Produce",
IF(E1602="Salmon","Meat &amp; Seafood",
IF(E1602="Tomatoes","Produce",
IF(E1602="Yogurt","Dairy",
"Others"))))))))))))))))))</f>
        <v>Pantry</v>
      </c>
      <c r="E1602" t="s">
        <v>1</v>
      </c>
      <c r="F1602" s="2">
        <v>1</v>
      </c>
      <c r="G1602" s="3">
        <v>15</v>
      </c>
      <c r="H1602" s="3">
        <f>grocery_chain_data[[#This Row],[Quantity]]*grocery_chain_data[[#This Row],[Unit Price]]</f>
        <v>15</v>
      </c>
      <c r="I1602" s="3">
        <v>2</v>
      </c>
      <c r="J1602" s="3">
        <f>grocery_chain_data[[#This Row],[Total Amount]]-grocery_chain_data[[#This Row],[Discount Amount]]</f>
        <v>13</v>
      </c>
      <c r="K1602">
        <v>296</v>
      </c>
      <c r="L1602" t="str">
        <f>IF(grocery_chain_data[[#This Row],[Final Amount]]&lt;0,"Return","Sale")</f>
        <v>Sale</v>
      </c>
      <c r="M1602">
        <f>IF(grocery_chain_data[[#This Row],[Final Amount]]&lt;0,0,grocery_chain_data[[#This Row],[Final Amount]])</f>
        <v>13</v>
      </c>
    </row>
    <row r="1603" spans="1:13" x14ac:dyDescent="0.3">
      <c r="A1603">
        <v>8851</v>
      </c>
      <c r="B1603" t="s">
        <v>2</v>
      </c>
      <c r="C1603" s="1">
        <v>45597</v>
      </c>
      <c r="D1603" s="1" t="str">
        <f t="shared" si="25"/>
        <v>Produce</v>
      </c>
      <c r="E1603" t="s">
        <v>11</v>
      </c>
      <c r="F1603" s="2">
        <v>1</v>
      </c>
      <c r="G1603" s="3">
        <v>29</v>
      </c>
      <c r="H1603" s="3">
        <f>grocery_chain_data[[#This Row],[Quantity]]*grocery_chain_data[[#This Row],[Unit Price]]</f>
        <v>29</v>
      </c>
      <c r="I1603" s="3">
        <v>6</v>
      </c>
      <c r="J1603" s="3">
        <f>grocery_chain_data[[#This Row],[Total Amount]]-grocery_chain_data[[#This Row],[Discount Amount]]</f>
        <v>23</v>
      </c>
      <c r="K1603">
        <v>299</v>
      </c>
      <c r="L1603" t="str">
        <f>IF(grocery_chain_data[[#This Row],[Final Amount]]&lt;0,"Return","Sale")</f>
        <v>Sale</v>
      </c>
      <c r="M1603">
        <f>IF(grocery_chain_data[[#This Row],[Final Amount]]&lt;0,0,grocery_chain_data[[#This Row],[Final Amount]])</f>
        <v>23</v>
      </c>
    </row>
    <row r="1604" spans="1:13" x14ac:dyDescent="0.3">
      <c r="A1604">
        <v>7566</v>
      </c>
      <c r="B1604" t="s">
        <v>2</v>
      </c>
      <c r="C1604" s="1">
        <v>45560</v>
      </c>
      <c r="D1604" s="1" t="str">
        <f t="shared" si="25"/>
        <v>Dairy</v>
      </c>
      <c r="E1604" t="s">
        <v>23</v>
      </c>
      <c r="F1604" s="2">
        <v>4</v>
      </c>
      <c r="G1604" s="3">
        <v>11</v>
      </c>
      <c r="H1604" s="3">
        <f>grocery_chain_data[[#This Row],[Quantity]]*grocery_chain_data[[#This Row],[Unit Price]]</f>
        <v>44</v>
      </c>
      <c r="I1604" s="3">
        <v>9</v>
      </c>
      <c r="J1604" s="3">
        <f>grocery_chain_data[[#This Row],[Total Amount]]-grocery_chain_data[[#This Row],[Discount Amount]]</f>
        <v>35</v>
      </c>
      <c r="K1604">
        <v>415</v>
      </c>
      <c r="L1604" t="str">
        <f>IF(grocery_chain_data[[#This Row],[Final Amount]]&lt;0,"Return","Sale")</f>
        <v>Sale</v>
      </c>
      <c r="M1604">
        <f>IF(grocery_chain_data[[#This Row],[Final Amount]]&lt;0,0,grocery_chain_data[[#This Row],[Final Amount]])</f>
        <v>35</v>
      </c>
    </row>
    <row r="1605" spans="1:13" x14ac:dyDescent="0.3">
      <c r="A1605">
        <v>9300</v>
      </c>
      <c r="B1605" t="s">
        <v>16</v>
      </c>
      <c r="C1605" s="1">
        <v>45862</v>
      </c>
      <c r="D1605" s="1" t="str">
        <f t="shared" si="25"/>
        <v>Produce</v>
      </c>
      <c r="E1605" t="s">
        <v>4</v>
      </c>
      <c r="F1605" s="2">
        <v>3</v>
      </c>
      <c r="G1605" s="3">
        <v>4</v>
      </c>
      <c r="H1605" s="3">
        <f>grocery_chain_data[[#This Row],[Quantity]]*grocery_chain_data[[#This Row],[Unit Price]]</f>
        <v>12</v>
      </c>
      <c r="I1605" s="3">
        <v>2</v>
      </c>
      <c r="J1605" s="3">
        <f>grocery_chain_data[[#This Row],[Total Amount]]-grocery_chain_data[[#This Row],[Discount Amount]]</f>
        <v>10</v>
      </c>
      <c r="K1605">
        <v>395</v>
      </c>
      <c r="L1605" t="str">
        <f>IF(grocery_chain_data[[#This Row],[Final Amount]]&lt;0,"Return","Sale")</f>
        <v>Sale</v>
      </c>
      <c r="M1605">
        <f>IF(grocery_chain_data[[#This Row],[Final Amount]]&lt;0,0,grocery_chain_data[[#This Row],[Final Amount]])</f>
        <v>10</v>
      </c>
    </row>
    <row r="1606" spans="1:13" x14ac:dyDescent="0.3">
      <c r="A1606">
        <v>7853</v>
      </c>
      <c r="B1606" t="s">
        <v>21</v>
      </c>
      <c r="C1606" s="1">
        <v>45567</v>
      </c>
      <c r="D1606" s="1" t="str">
        <f t="shared" si="25"/>
        <v>Pantry</v>
      </c>
      <c r="E1606" t="s">
        <v>1</v>
      </c>
      <c r="F1606" s="2">
        <v>1</v>
      </c>
      <c r="G1606" s="3">
        <v>28</v>
      </c>
      <c r="H1606" s="3">
        <f>grocery_chain_data[[#This Row],[Quantity]]*grocery_chain_data[[#This Row],[Unit Price]]</f>
        <v>28</v>
      </c>
      <c r="I1606" s="3">
        <v>3</v>
      </c>
      <c r="J1606" s="3">
        <f>grocery_chain_data[[#This Row],[Total Amount]]-grocery_chain_data[[#This Row],[Discount Amount]]</f>
        <v>25</v>
      </c>
      <c r="K1606">
        <v>264</v>
      </c>
      <c r="L1606" t="str">
        <f>IF(grocery_chain_data[[#This Row],[Final Amount]]&lt;0,"Return","Sale")</f>
        <v>Sale</v>
      </c>
      <c r="M1606">
        <f>IF(grocery_chain_data[[#This Row],[Final Amount]]&lt;0,0,grocery_chain_data[[#This Row],[Final Amount]])</f>
        <v>25</v>
      </c>
    </row>
    <row r="1607" spans="1:13" x14ac:dyDescent="0.3">
      <c r="A1607">
        <v>1602</v>
      </c>
      <c r="B1607" t="s">
        <v>5</v>
      </c>
      <c r="C1607" s="1">
        <v>45759</v>
      </c>
      <c r="D1607" s="1" t="str">
        <f t="shared" si="25"/>
        <v>Pantry</v>
      </c>
      <c r="E1607" t="s">
        <v>6</v>
      </c>
      <c r="F1607" s="2">
        <v>3</v>
      </c>
      <c r="G1607" s="3">
        <v>17</v>
      </c>
      <c r="H1607" s="3">
        <f>grocery_chain_data[[#This Row],[Quantity]]*grocery_chain_data[[#This Row],[Unit Price]]</f>
        <v>51</v>
      </c>
      <c r="I1607" s="3">
        <v>8</v>
      </c>
      <c r="J1607" s="3">
        <f>grocery_chain_data[[#This Row],[Total Amount]]-grocery_chain_data[[#This Row],[Discount Amount]]</f>
        <v>43</v>
      </c>
      <c r="K1607">
        <v>337</v>
      </c>
      <c r="L1607" t="str">
        <f>IF(grocery_chain_data[[#This Row],[Final Amount]]&lt;0,"Return","Sale")</f>
        <v>Sale</v>
      </c>
      <c r="M1607">
        <f>IF(grocery_chain_data[[#This Row],[Final Amount]]&lt;0,0,grocery_chain_data[[#This Row],[Final Amount]])</f>
        <v>43</v>
      </c>
    </row>
    <row r="1608" spans="1:13" x14ac:dyDescent="0.3">
      <c r="A1608">
        <v>6890</v>
      </c>
      <c r="B1608" t="s">
        <v>0</v>
      </c>
      <c r="C1608" s="1">
        <v>45689</v>
      </c>
      <c r="D1608" s="1" t="str">
        <f t="shared" si="25"/>
        <v>Beverages</v>
      </c>
      <c r="E1608" t="s">
        <v>7</v>
      </c>
      <c r="F1608" s="2">
        <v>1</v>
      </c>
      <c r="G1608" s="3">
        <v>6</v>
      </c>
      <c r="H1608" s="3">
        <f>grocery_chain_data[[#This Row],[Quantity]]*grocery_chain_data[[#This Row],[Unit Price]]</f>
        <v>6</v>
      </c>
      <c r="I1608" s="3">
        <v>1</v>
      </c>
      <c r="J1608" s="3">
        <f>grocery_chain_data[[#This Row],[Total Amount]]-grocery_chain_data[[#This Row],[Discount Amount]]</f>
        <v>5</v>
      </c>
      <c r="K1608">
        <v>243</v>
      </c>
      <c r="L1608" t="str">
        <f>IF(grocery_chain_data[[#This Row],[Final Amount]]&lt;0,"Return","Sale")</f>
        <v>Sale</v>
      </c>
      <c r="M1608">
        <f>IF(grocery_chain_data[[#This Row],[Final Amount]]&lt;0,0,grocery_chain_data[[#This Row],[Final Amount]])</f>
        <v>5</v>
      </c>
    </row>
    <row r="1609" spans="1:13" x14ac:dyDescent="0.3">
      <c r="A1609">
        <v>9796</v>
      </c>
      <c r="B1609" t="s">
        <v>0</v>
      </c>
      <c r="C1609" s="1">
        <v>45606</v>
      </c>
      <c r="D1609" s="1" t="str">
        <f t="shared" si="25"/>
        <v>Beverages</v>
      </c>
      <c r="E1609" t="s">
        <v>7</v>
      </c>
      <c r="F1609" s="2">
        <v>3</v>
      </c>
      <c r="G1609" s="3">
        <v>6</v>
      </c>
      <c r="H1609" s="3">
        <f>grocery_chain_data[[#This Row],[Quantity]]*grocery_chain_data[[#This Row],[Unit Price]]</f>
        <v>18</v>
      </c>
      <c r="I1609" s="3">
        <v>3</v>
      </c>
      <c r="J1609" s="3">
        <f>grocery_chain_data[[#This Row],[Total Amount]]-grocery_chain_data[[#This Row],[Discount Amount]]</f>
        <v>15</v>
      </c>
      <c r="K1609">
        <v>279</v>
      </c>
      <c r="L1609" t="str">
        <f>IF(grocery_chain_data[[#This Row],[Final Amount]]&lt;0,"Return","Sale")</f>
        <v>Sale</v>
      </c>
      <c r="M1609">
        <f>IF(grocery_chain_data[[#This Row],[Final Amount]]&lt;0,0,grocery_chain_data[[#This Row],[Final Amount]])</f>
        <v>15</v>
      </c>
    </row>
    <row r="1610" spans="1:13" x14ac:dyDescent="0.3">
      <c r="A1610">
        <v>2392</v>
      </c>
      <c r="B1610" t="s">
        <v>10</v>
      </c>
      <c r="C1610" s="1">
        <v>45229</v>
      </c>
      <c r="D1610" s="1" t="str">
        <f t="shared" si="25"/>
        <v>Dairy</v>
      </c>
      <c r="E1610" t="s">
        <v>3</v>
      </c>
      <c r="F1610" s="2">
        <v>4</v>
      </c>
      <c r="G1610" s="3">
        <v>15</v>
      </c>
      <c r="H1610" s="3">
        <f>grocery_chain_data[[#This Row],[Quantity]]*grocery_chain_data[[#This Row],[Unit Price]]</f>
        <v>60</v>
      </c>
      <c r="I1610" s="3">
        <v>0</v>
      </c>
      <c r="J1610" s="3">
        <f>grocery_chain_data[[#This Row],[Total Amount]]-grocery_chain_data[[#This Row],[Discount Amount]]</f>
        <v>60</v>
      </c>
      <c r="K1610">
        <v>124</v>
      </c>
      <c r="L1610" t="str">
        <f>IF(grocery_chain_data[[#This Row],[Final Amount]]&lt;0,"Return","Sale")</f>
        <v>Sale</v>
      </c>
      <c r="M1610">
        <f>IF(grocery_chain_data[[#This Row],[Final Amount]]&lt;0,0,grocery_chain_data[[#This Row],[Final Amount]])</f>
        <v>60</v>
      </c>
    </row>
    <row r="1611" spans="1:13" x14ac:dyDescent="0.3">
      <c r="A1611">
        <v>5067</v>
      </c>
      <c r="B1611" t="s">
        <v>16</v>
      </c>
      <c r="C1611" s="1">
        <v>45655</v>
      </c>
      <c r="D1611" s="1" t="str">
        <f t="shared" si="25"/>
        <v>Pantry</v>
      </c>
      <c r="E1611" t="s">
        <v>6</v>
      </c>
      <c r="F1611" s="2">
        <v>4</v>
      </c>
      <c r="G1611" s="3">
        <v>21</v>
      </c>
      <c r="H1611" s="3">
        <f>grocery_chain_data[[#This Row],[Quantity]]*grocery_chain_data[[#This Row],[Unit Price]]</f>
        <v>84</v>
      </c>
      <c r="I1611" s="3">
        <v>17</v>
      </c>
      <c r="J1611" s="3">
        <f>grocery_chain_data[[#This Row],[Total Amount]]-grocery_chain_data[[#This Row],[Discount Amount]]</f>
        <v>67</v>
      </c>
      <c r="K1611">
        <v>153</v>
      </c>
      <c r="L1611" t="str">
        <f>IF(grocery_chain_data[[#This Row],[Final Amount]]&lt;0,"Return","Sale")</f>
        <v>Sale</v>
      </c>
      <c r="M1611">
        <f>IF(grocery_chain_data[[#This Row],[Final Amount]]&lt;0,0,grocery_chain_data[[#This Row],[Final Amount]])</f>
        <v>67</v>
      </c>
    </row>
    <row r="1612" spans="1:13" x14ac:dyDescent="0.3">
      <c r="A1612">
        <v>6816</v>
      </c>
      <c r="B1612" t="s">
        <v>2</v>
      </c>
      <c r="C1612" s="1">
        <v>45274</v>
      </c>
      <c r="D1612" s="1" t="str">
        <f t="shared" si="25"/>
        <v>Dairy</v>
      </c>
      <c r="E1612" t="s">
        <v>3</v>
      </c>
      <c r="F1612" s="2">
        <v>4</v>
      </c>
      <c r="G1612" s="3">
        <v>23</v>
      </c>
      <c r="H1612" s="3">
        <f>grocery_chain_data[[#This Row],[Quantity]]*grocery_chain_data[[#This Row],[Unit Price]]</f>
        <v>92</v>
      </c>
      <c r="I1612" s="3">
        <v>1</v>
      </c>
      <c r="J1612" s="3">
        <f>grocery_chain_data[[#This Row],[Total Amount]]-grocery_chain_data[[#This Row],[Discount Amount]]</f>
        <v>91</v>
      </c>
      <c r="K1612">
        <v>488</v>
      </c>
      <c r="L1612" t="str">
        <f>IF(grocery_chain_data[[#This Row],[Final Amount]]&lt;0,"Return","Sale")</f>
        <v>Sale</v>
      </c>
      <c r="M1612">
        <f>IF(grocery_chain_data[[#This Row],[Final Amount]]&lt;0,0,grocery_chain_data[[#This Row],[Final Amount]])</f>
        <v>91</v>
      </c>
    </row>
    <row r="1613" spans="1:13" x14ac:dyDescent="0.3">
      <c r="A1613">
        <v>1725</v>
      </c>
      <c r="B1613" t="s">
        <v>27</v>
      </c>
      <c r="C1613" s="1">
        <v>45582</v>
      </c>
      <c r="D1613" s="1" t="str">
        <f t="shared" si="25"/>
        <v>Produce</v>
      </c>
      <c r="E1613" t="s">
        <v>17</v>
      </c>
      <c r="F1613" s="2">
        <v>5</v>
      </c>
      <c r="G1613" s="3">
        <v>29</v>
      </c>
      <c r="H1613" s="3">
        <f>grocery_chain_data[[#This Row],[Quantity]]*grocery_chain_data[[#This Row],[Unit Price]]</f>
        <v>145</v>
      </c>
      <c r="I1613" s="3">
        <v>4</v>
      </c>
      <c r="J1613" s="3">
        <f>grocery_chain_data[[#This Row],[Total Amount]]-grocery_chain_data[[#This Row],[Discount Amount]]</f>
        <v>141</v>
      </c>
      <c r="K1613">
        <v>482</v>
      </c>
      <c r="L1613" t="str">
        <f>IF(grocery_chain_data[[#This Row],[Final Amount]]&lt;0,"Return","Sale")</f>
        <v>Sale</v>
      </c>
      <c r="M1613">
        <f>IF(grocery_chain_data[[#This Row],[Final Amount]]&lt;0,0,grocery_chain_data[[#This Row],[Final Amount]])</f>
        <v>141</v>
      </c>
    </row>
    <row r="1614" spans="1:13" x14ac:dyDescent="0.3">
      <c r="A1614">
        <v>7547</v>
      </c>
      <c r="B1614" t="s">
        <v>5</v>
      </c>
      <c r="C1614" s="1">
        <v>45729</v>
      </c>
      <c r="D1614" s="1" t="str">
        <f t="shared" si="25"/>
        <v>Pantry</v>
      </c>
      <c r="E1614" t="s">
        <v>6</v>
      </c>
      <c r="F1614" s="2">
        <v>1</v>
      </c>
      <c r="G1614" s="3">
        <v>29</v>
      </c>
      <c r="H1614" s="3">
        <f>grocery_chain_data[[#This Row],[Quantity]]*grocery_chain_data[[#This Row],[Unit Price]]</f>
        <v>29</v>
      </c>
      <c r="I1614" s="3">
        <v>4</v>
      </c>
      <c r="J1614" s="3">
        <f>grocery_chain_data[[#This Row],[Total Amount]]-grocery_chain_data[[#This Row],[Discount Amount]]</f>
        <v>25</v>
      </c>
      <c r="K1614">
        <v>158</v>
      </c>
      <c r="L1614" t="str">
        <f>IF(grocery_chain_data[[#This Row],[Final Amount]]&lt;0,"Return","Sale")</f>
        <v>Sale</v>
      </c>
      <c r="M1614">
        <f>IF(grocery_chain_data[[#This Row],[Final Amount]]&lt;0,0,grocery_chain_data[[#This Row],[Final Amount]])</f>
        <v>25</v>
      </c>
    </row>
    <row r="1615" spans="1:13" x14ac:dyDescent="0.3">
      <c r="A1615">
        <v>6432</v>
      </c>
      <c r="B1615" t="s">
        <v>10</v>
      </c>
      <c r="C1615" s="1">
        <v>45763</v>
      </c>
      <c r="D1615" s="1" t="str">
        <f t="shared" si="25"/>
        <v>Produce</v>
      </c>
      <c r="E1615" t="s">
        <v>11</v>
      </c>
      <c r="F1615" s="2">
        <v>4</v>
      </c>
      <c r="G1615" s="3">
        <v>1</v>
      </c>
      <c r="H1615" s="3">
        <f>grocery_chain_data[[#This Row],[Quantity]]*grocery_chain_data[[#This Row],[Unit Price]]</f>
        <v>4</v>
      </c>
      <c r="I1615" s="3">
        <v>1</v>
      </c>
      <c r="J1615" s="3">
        <f>grocery_chain_data[[#This Row],[Total Amount]]-grocery_chain_data[[#This Row],[Discount Amount]]</f>
        <v>3</v>
      </c>
      <c r="K1615">
        <v>75</v>
      </c>
      <c r="L1615" t="str">
        <f>IF(grocery_chain_data[[#This Row],[Final Amount]]&lt;0,"Return","Sale")</f>
        <v>Sale</v>
      </c>
      <c r="M1615">
        <f>IF(grocery_chain_data[[#This Row],[Final Amount]]&lt;0,0,grocery_chain_data[[#This Row],[Final Amount]])</f>
        <v>3</v>
      </c>
    </row>
    <row r="1616" spans="1:13" x14ac:dyDescent="0.3">
      <c r="A1616">
        <v>8052</v>
      </c>
      <c r="B1616" t="s">
        <v>12</v>
      </c>
      <c r="C1616" s="1">
        <v>45227</v>
      </c>
      <c r="D1616" s="1" t="str">
        <f t="shared" si="25"/>
        <v>Bakery</v>
      </c>
      <c r="E1616" t="s">
        <v>22</v>
      </c>
      <c r="F1616" s="2">
        <v>2</v>
      </c>
      <c r="G1616" s="3">
        <v>8</v>
      </c>
      <c r="H1616" s="3">
        <f>grocery_chain_data[[#This Row],[Quantity]]*grocery_chain_data[[#This Row],[Unit Price]]</f>
        <v>16</v>
      </c>
      <c r="I1616" s="3">
        <v>4</v>
      </c>
      <c r="J1616" s="3">
        <f>grocery_chain_data[[#This Row],[Total Amount]]-grocery_chain_data[[#This Row],[Discount Amount]]</f>
        <v>12</v>
      </c>
      <c r="K1616">
        <v>104</v>
      </c>
      <c r="L1616" t="str">
        <f>IF(grocery_chain_data[[#This Row],[Final Amount]]&lt;0,"Return","Sale")</f>
        <v>Sale</v>
      </c>
      <c r="M1616">
        <f>IF(grocery_chain_data[[#This Row],[Final Amount]]&lt;0,0,grocery_chain_data[[#This Row],[Final Amount]])</f>
        <v>12</v>
      </c>
    </row>
    <row r="1617" spans="1:13" x14ac:dyDescent="0.3">
      <c r="A1617">
        <v>1172</v>
      </c>
      <c r="B1617" t="s">
        <v>5</v>
      </c>
      <c r="C1617" s="1">
        <v>45221</v>
      </c>
      <c r="D1617" s="1" t="str">
        <f t="shared" si="25"/>
        <v>Produce</v>
      </c>
      <c r="E1617" t="s">
        <v>4</v>
      </c>
      <c r="F1617" s="2">
        <v>3</v>
      </c>
      <c r="G1617" s="3">
        <v>1</v>
      </c>
      <c r="H1617" s="3">
        <f>grocery_chain_data[[#This Row],[Quantity]]*grocery_chain_data[[#This Row],[Unit Price]]</f>
        <v>3</v>
      </c>
      <c r="I1617" s="3">
        <v>3</v>
      </c>
      <c r="J1617" s="3">
        <f>grocery_chain_data[[#This Row],[Total Amount]]-grocery_chain_data[[#This Row],[Discount Amount]]</f>
        <v>0</v>
      </c>
      <c r="K1617">
        <v>81</v>
      </c>
      <c r="L1617" t="str">
        <f>IF(grocery_chain_data[[#This Row],[Final Amount]]&lt;0,"Return","Sale")</f>
        <v>Sale</v>
      </c>
      <c r="M1617">
        <f>IF(grocery_chain_data[[#This Row],[Final Amount]]&lt;0,0,grocery_chain_data[[#This Row],[Final Amount]])</f>
        <v>0</v>
      </c>
    </row>
    <row r="1618" spans="1:13" x14ac:dyDescent="0.3">
      <c r="A1618">
        <v>5239</v>
      </c>
      <c r="B1618" t="s">
        <v>8</v>
      </c>
      <c r="C1618" s="1">
        <v>45317</v>
      </c>
      <c r="D1618" s="1" t="str">
        <f t="shared" si="25"/>
        <v>Produce</v>
      </c>
      <c r="E1618" t="s">
        <v>25</v>
      </c>
      <c r="F1618" s="2">
        <v>4</v>
      </c>
      <c r="G1618" s="3">
        <v>25</v>
      </c>
      <c r="H1618" s="3">
        <f>grocery_chain_data[[#This Row],[Quantity]]*grocery_chain_data[[#This Row],[Unit Price]]</f>
        <v>100</v>
      </c>
      <c r="I1618" s="3">
        <v>3</v>
      </c>
      <c r="J1618" s="3">
        <f>grocery_chain_data[[#This Row],[Total Amount]]-grocery_chain_data[[#This Row],[Discount Amount]]</f>
        <v>97</v>
      </c>
      <c r="K1618">
        <v>361</v>
      </c>
      <c r="L1618" t="str">
        <f>IF(grocery_chain_data[[#This Row],[Final Amount]]&lt;0,"Return","Sale")</f>
        <v>Sale</v>
      </c>
      <c r="M1618">
        <f>IF(grocery_chain_data[[#This Row],[Final Amount]]&lt;0,0,grocery_chain_data[[#This Row],[Final Amount]])</f>
        <v>97</v>
      </c>
    </row>
    <row r="1619" spans="1:13" x14ac:dyDescent="0.3">
      <c r="A1619">
        <v>9366</v>
      </c>
      <c r="B1619" t="s">
        <v>16</v>
      </c>
      <c r="C1619" s="1">
        <v>45725</v>
      </c>
      <c r="D1619" s="1" t="str">
        <f t="shared" si="25"/>
        <v>Produce</v>
      </c>
      <c r="E1619" t="s">
        <v>14</v>
      </c>
      <c r="F1619" s="2">
        <v>3</v>
      </c>
      <c r="G1619" s="3">
        <v>27</v>
      </c>
      <c r="H1619" s="3">
        <f>grocery_chain_data[[#This Row],[Quantity]]*grocery_chain_data[[#This Row],[Unit Price]]</f>
        <v>81</v>
      </c>
      <c r="I1619" s="3">
        <v>3</v>
      </c>
      <c r="J1619" s="3">
        <f>grocery_chain_data[[#This Row],[Total Amount]]-grocery_chain_data[[#This Row],[Discount Amount]]</f>
        <v>78</v>
      </c>
      <c r="K1619">
        <v>419</v>
      </c>
      <c r="L1619" t="str">
        <f>IF(grocery_chain_data[[#This Row],[Final Amount]]&lt;0,"Return","Sale")</f>
        <v>Sale</v>
      </c>
      <c r="M1619">
        <f>IF(grocery_chain_data[[#This Row],[Final Amount]]&lt;0,0,grocery_chain_data[[#This Row],[Final Amount]])</f>
        <v>78</v>
      </c>
    </row>
    <row r="1620" spans="1:13" x14ac:dyDescent="0.3">
      <c r="A1620">
        <v>9499</v>
      </c>
      <c r="B1620" t="s">
        <v>0</v>
      </c>
      <c r="C1620" s="1">
        <v>45578</v>
      </c>
      <c r="D1620" s="1" t="str">
        <f t="shared" si="25"/>
        <v>Produce</v>
      </c>
      <c r="E1620" t="s">
        <v>25</v>
      </c>
      <c r="F1620" s="2">
        <v>5</v>
      </c>
      <c r="G1620" s="3">
        <v>2</v>
      </c>
      <c r="H1620" s="3">
        <f>grocery_chain_data[[#This Row],[Quantity]]*grocery_chain_data[[#This Row],[Unit Price]]</f>
        <v>10</v>
      </c>
      <c r="I1620" s="3">
        <v>2</v>
      </c>
      <c r="J1620" s="3">
        <f>grocery_chain_data[[#This Row],[Total Amount]]-grocery_chain_data[[#This Row],[Discount Amount]]</f>
        <v>8</v>
      </c>
      <c r="K1620">
        <v>453</v>
      </c>
      <c r="L1620" t="str">
        <f>IF(grocery_chain_data[[#This Row],[Final Amount]]&lt;0,"Return","Sale")</f>
        <v>Sale</v>
      </c>
      <c r="M1620">
        <f>IF(grocery_chain_data[[#This Row],[Final Amount]]&lt;0,0,grocery_chain_data[[#This Row],[Final Amount]])</f>
        <v>8</v>
      </c>
    </row>
    <row r="1621" spans="1:13" x14ac:dyDescent="0.3">
      <c r="A1621">
        <v>4621</v>
      </c>
      <c r="B1621" t="s">
        <v>16</v>
      </c>
      <c r="C1621" s="1">
        <v>45491</v>
      </c>
      <c r="D1621" s="1" t="str">
        <f t="shared" si="25"/>
        <v>Pantry</v>
      </c>
      <c r="E1621" t="s">
        <v>6</v>
      </c>
      <c r="F1621" s="2">
        <v>5</v>
      </c>
      <c r="G1621" s="3">
        <v>25</v>
      </c>
      <c r="H1621" s="3">
        <f>grocery_chain_data[[#This Row],[Quantity]]*grocery_chain_data[[#This Row],[Unit Price]]</f>
        <v>125</v>
      </c>
      <c r="I1621" s="3">
        <v>4</v>
      </c>
      <c r="J1621" s="3">
        <f>grocery_chain_data[[#This Row],[Total Amount]]-grocery_chain_data[[#This Row],[Discount Amount]]</f>
        <v>121</v>
      </c>
      <c r="K1621">
        <v>312</v>
      </c>
      <c r="L1621" t="str">
        <f>IF(grocery_chain_data[[#This Row],[Final Amount]]&lt;0,"Return","Sale")</f>
        <v>Sale</v>
      </c>
      <c r="M1621">
        <f>IF(grocery_chain_data[[#This Row],[Final Amount]]&lt;0,0,grocery_chain_data[[#This Row],[Final Amount]])</f>
        <v>121</v>
      </c>
    </row>
    <row r="1622" spans="1:13" x14ac:dyDescent="0.3">
      <c r="A1622">
        <v>7129</v>
      </c>
      <c r="B1622" t="s">
        <v>5</v>
      </c>
      <c r="C1622" s="1">
        <v>45448</v>
      </c>
      <c r="D1622" s="1" t="str">
        <f t="shared" si="25"/>
        <v>Dairy</v>
      </c>
      <c r="E1622" t="s">
        <v>23</v>
      </c>
      <c r="F1622" s="2">
        <v>1</v>
      </c>
      <c r="G1622" s="3">
        <v>7</v>
      </c>
      <c r="H1622" s="3">
        <f>grocery_chain_data[[#This Row],[Quantity]]*grocery_chain_data[[#This Row],[Unit Price]]</f>
        <v>7</v>
      </c>
      <c r="I1622" s="3">
        <v>1</v>
      </c>
      <c r="J1622" s="3">
        <f>grocery_chain_data[[#This Row],[Total Amount]]-grocery_chain_data[[#This Row],[Discount Amount]]</f>
        <v>6</v>
      </c>
      <c r="K1622">
        <v>222</v>
      </c>
      <c r="L1622" t="str">
        <f>IF(grocery_chain_data[[#This Row],[Final Amount]]&lt;0,"Return","Sale")</f>
        <v>Sale</v>
      </c>
      <c r="M1622">
        <f>IF(grocery_chain_data[[#This Row],[Final Amount]]&lt;0,0,grocery_chain_data[[#This Row],[Final Amount]])</f>
        <v>6</v>
      </c>
    </row>
    <row r="1623" spans="1:13" x14ac:dyDescent="0.3">
      <c r="A1623">
        <v>8586</v>
      </c>
      <c r="B1623" t="s">
        <v>8</v>
      </c>
      <c r="C1623" s="1">
        <v>45744</v>
      </c>
      <c r="D1623" s="1" t="str">
        <f t="shared" si="25"/>
        <v>Produce</v>
      </c>
      <c r="E1623" t="s">
        <v>11</v>
      </c>
      <c r="F1623" s="2">
        <v>4</v>
      </c>
      <c r="G1623" s="3">
        <v>5</v>
      </c>
      <c r="H1623" s="3">
        <f>grocery_chain_data[[#This Row],[Quantity]]*grocery_chain_data[[#This Row],[Unit Price]]</f>
        <v>20</v>
      </c>
      <c r="I1623" s="3">
        <v>0</v>
      </c>
      <c r="J1623" s="3">
        <f>grocery_chain_data[[#This Row],[Total Amount]]-grocery_chain_data[[#This Row],[Discount Amount]]</f>
        <v>20</v>
      </c>
      <c r="K1623">
        <v>159</v>
      </c>
      <c r="L1623" t="str">
        <f>IF(grocery_chain_data[[#This Row],[Final Amount]]&lt;0,"Return","Sale")</f>
        <v>Sale</v>
      </c>
      <c r="M1623">
        <f>IF(grocery_chain_data[[#This Row],[Final Amount]]&lt;0,0,grocery_chain_data[[#This Row],[Final Amount]])</f>
        <v>20</v>
      </c>
    </row>
    <row r="1624" spans="1:13" x14ac:dyDescent="0.3">
      <c r="A1624">
        <v>9199</v>
      </c>
      <c r="B1624" t="s">
        <v>10</v>
      </c>
      <c r="C1624" s="1">
        <v>45262</v>
      </c>
      <c r="D1624" s="1" t="str">
        <f t="shared" si="25"/>
        <v>Pantry</v>
      </c>
      <c r="E1624" t="s">
        <v>1</v>
      </c>
      <c r="F1624" s="2">
        <v>4</v>
      </c>
      <c r="G1624" s="3">
        <v>6</v>
      </c>
      <c r="H1624" s="3">
        <f>grocery_chain_data[[#This Row],[Quantity]]*grocery_chain_data[[#This Row],[Unit Price]]</f>
        <v>24</v>
      </c>
      <c r="I1624" s="3">
        <v>2</v>
      </c>
      <c r="J1624" s="3">
        <f>grocery_chain_data[[#This Row],[Total Amount]]-grocery_chain_data[[#This Row],[Discount Amount]]</f>
        <v>22</v>
      </c>
      <c r="K1624">
        <v>203</v>
      </c>
      <c r="L1624" t="str">
        <f>IF(grocery_chain_data[[#This Row],[Final Amount]]&lt;0,"Return","Sale")</f>
        <v>Sale</v>
      </c>
      <c r="M1624">
        <f>IF(grocery_chain_data[[#This Row],[Final Amount]]&lt;0,0,grocery_chain_data[[#This Row],[Final Amount]])</f>
        <v>22</v>
      </c>
    </row>
    <row r="1625" spans="1:13" x14ac:dyDescent="0.3">
      <c r="A1625">
        <v>6651</v>
      </c>
      <c r="B1625" t="s">
        <v>0</v>
      </c>
      <c r="C1625" s="1">
        <v>45164</v>
      </c>
      <c r="D1625" s="1" t="str">
        <f t="shared" si="25"/>
        <v>Meat &amp; Seafood</v>
      </c>
      <c r="E1625" t="s">
        <v>26</v>
      </c>
      <c r="F1625" s="2">
        <v>4</v>
      </c>
      <c r="G1625" s="3">
        <v>24</v>
      </c>
      <c r="H1625" s="3">
        <f>grocery_chain_data[[#This Row],[Quantity]]*grocery_chain_data[[#This Row],[Unit Price]]</f>
        <v>96</v>
      </c>
      <c r="I1625" s="3">
        <v>15</v>
      </c>
      <c r="J1625" s="3">
        <f>grocery_chain_data[[#This Row],[Total Amount]]-grocery_chain_data[[#This Row],[Discount Amount]]</f>
        <v>81</v>
      </c>
      <c r="K1625">
        <v>6</v>
      </c>
      <c r="L1625" t="str">
        <f>IF(grocery_chain_data[[#This Row],[Final Amount]]&lt;0,"Return","Sale")</f>
        <v>Sale</v>
      </c>
      <c r="M1625">
        <f>IF(grocery_chain_data[[#This Row],[Final Amount]]&lt;0,0,grocery_chain_data[[#This Row],[Final Amount]])</f>
        <v>81</v>
      </c>
    </row>
    <row r="1626" spans="1:13" x14ac:dyDescent="0.3">
      <c r="A1626">
        <v>8909</v>
      </c>
      <c r="B1626" t="s">
        <v>5</v>
      </c>
      <c r="C1626" s="1">
        <v>45226</v>
      </c>
      <c r="D1626" s="1" t="str">
        <f t="shared" si="25"/>
        <v>Produce</v>
      </c>
      <c r="E1626" t="s">
        <v>24</v>
      </c>
      <c r="F1626" s="2">
        <v>4</v>
      </c>
      <c r="G1626" s="3">
        <v>21</v>
      </c>
      <c r="H1626" s="3">
        <f>grocery_chain_data[[#This Row],[Quantity]]*grocery_chain_data[[#This Row],[Unit Price]]</f>
        <v>84</v>
      </c>
      <c r="I1626" s="3">
        <v>0</v>
      </c>
      <c r="J1626" s="3">
        <f>grocery_chain_data[[#This Row],[Total Amount]]-grocery_chain_data[[#This Row],[Discount Amount]]</f>
        <v>84</v>
      </c>
      <c r="K1626">
        <v>5</v>
      </c>
      <c r="L1626" t="str">
        <f>IF(grocery_chain_data[[#This Row],[Final Amount]]&lt;0,"Return","Sale")</f>
        <v>Sale</v>
      </c>
      <c r="M1626">
        <f>IF(grocery_chain_data[[#This Row],[Final Amount]]&lt;0,0,grocery_chain_data[[#This Row],[Final Amount]])</f>
        <v>84</v>
      </c>
    </row>
    <row r="1627" spans="1:13" x14ac:dyDescent="0.3">
      <c r="A1627">
        <v>5840</v>
      </c>
      <c r="B1627" t="s">
        <v>8</v>
      </c>
      <c r="C1627" s="1">
        <v>45468</v>
      </c>
      <c r="D1627" s="1" t="str">
        <f t="shared" si="25"/>
        <v>Dairy</v>
      </c>
      <c r="E1627" t="s">
        <v>19</v>
      </c>
      <c r="F1627" s="2">
        <v>3</v>
      </c>
      <c r="G1627" s="3">
        <v>13</v>
      </c>
      <c r="H1627" s="3">
        <f>grocery_chain_data[[#This Row],[Quantity]]*grocery_chain_data[[#This Row],[Unit Price]]</f>
        <v>39</v>
      </c>
      <c r="I1627" s="3">
        <v>4</v>
      </c>
      <c r="J1627" s="3">
        <f>grocery_chain_data[[#This Row],[Total Amount]]-grocery_chain_data[[#This Row],[Discount Amount]]</f>
        <v>35</v>
      </c>
      <c r="K1627">
        <v>379</v>
      </c>
      <c r="L1627" t="str">
        <f>IF(grocery_chain_data[[#This Row],[Final Amount]]&lt;0,"Return","Sale")</f>
        <v>Sale</v>
      </c>
      <c r="M1627">
        <f>IF(grocery_chain_data[[#This Row],[Final Amount]]&lt;0,0,grocery_chain_data[[#This Row],[Final Amount]])</f>
        <v>35</v>
      </c>
    </row>
    <row r="1628" spans="1:13" x14ac:dyDescent="0.3">
      <c r="A1628">
        <v>2406</v>
      </c>
      <c r="B1628" t="s">
        <v>10</v>
      </c>
      <c r="C1628" s="1">
        <v>45235</v>
      </c>
      <c r="D1628" s="1" t="str">
        <f t="shared" si="25"/>
        <v>Beverages</v>
      </c>
      <c r="E1628" t="s">
        <v>7</v>
      </c>
      <c r="F1628" s="2">
        <v>4</v>
      </c>
      <c r="G1628" s="3">
        <v>22</v>
      </c>
      <c r="H1628" s="3">
        <f>grocery_chain_data[[#This Row],[Quantity]]*grocery_chain_data[[#This Row],[Unit Price]]</f>
        <v>88</v>
      </c>
      <c r="I1628" s="3">
        <v>4</v>
      </c>
      <c r="J1628" s="3">
        <f>grocery_chain_data[[#This Row],[Total Amount]]-grocery_chain_data[[#This Row],[Discount Amount]]</f>
        <v>84</v>
      </c>
      <c r="K1628">
        <v>432</v>
      </c>
      <c r="L1628" t="str">
        <f>IF(grocery_chain_data[[#This Row],[Final Amount]]&lt;0,"Return","Sale")</f>
        <v>Sale</v>
      </c>
      <c r="M1628">
        <f>IF(grocery_chain_data[[#This Row],[Final Amount]]&lt;0,0,grocery_chain_data[[#This Row],[Final Amount]])</f>
        <v>84</v>
      </c>
    </row>
    <row r="1629" spans="1:13" x14ac:dyDescent="0.3">
      <c r="A1629">
        <v>3321</v>
      </c>
      <c r="B1629" t="s">
        <v>8</v>
      </c>
      <c r="C1629" s="1">
        <v>45415</v>
      </c>
      <c r="D1629" s="1" t="str">
        <f t="shared" si="25"/>
        <v>Produce</v>
      </c>
      <c r="E1629" t="s">
        <v>14</v>
      </c>
      <c r="F1629" s="2">
        <v>1</v>
      </c>
      <c r="G1629" s="3">
        <v>5</v>
      </c>
      <c r="H1629" s="3">
        <f>grocery_chain_data[[#This Row],[Quantity]]*grocery_chain_data[[#This Row],[Unit Price]]</f>
        <v>5</v>
      </c>
      <c r="I1629" s="3">
        <v>1</v>
      </c>
      <c r="J1629" s="3">
        <f>grocery_chain_data[[#This Row],[Total Amount]]-grocery_chain_data[[#This Row],[Discount Amount]]</f>
        <v>4</v>
      </c>
      <c r="K1629">
        <v>172</v>
      </c>
      <c r="L1629" t="str">
        <f>IF(grocery_chain_data[[#This Row],[Final Amount]]&lt;0,"Return","Sale")</f>
        <v>Sale</v>
      </c>
      <c r="M1629">
        <f>IF(grocery_chain_data[[#This Row],[Final Amount]]&lt;0,0,grocery_chain_data[[#This Row],[Final Amount]])</f>
        <v>4</v>
      </c>
    </row>
    <row r="1630" spans="1:13" x14ac:dyDescent="0.3">
      <c r="A1630">
        <v>6110</v>
      </c>
      <c r="B1630" t="s">
        <v>2</v>
      </c>
      <c r="C1630" s="1">
        <v>45411</v>
      </c>
      <c r="D1630" s="1" t="str">
        <f t="shared" si="25"/>
        <v>Meat &amp; Seafood</v>
      </c>
      <c r="E1630" t="s">
        <v>15</v>
      </c>
      <c r="F1630" s="2">
        <v>4</v>
      </c>
      <c r="G1630" s="3">
        <v>2</v>
      </c>
      <c r="H1630" s="3">
        <f>grocery_chain_data[[#This Row],[Quantity]]*grocery_chain_data[[#This Row],[Unit Price]]</f>
        <v>8</v>
      </c>
      <c r="I1630" s="3">
        <v>4</v>
      </c>
      <c r="J1630" s="3">
        <f>grocery_chain_data[[#This Row],[Total Amount]]-grocery_chain_data[[#This Row],[Discount Amount]]</f>
        <v>4</v>
      </c>
      <c r="K1630">
        <v>144</v>
      </c>
      <c r="L1630" t="str">
        <f>IF(grocery_chain_data[[#This Row],[Final Amount]]&lt;0,"Return","Sale")</f>
        <v>Sale</v>
      </c>
      <c r="M1630">
        <f>IF(grocery_chain_data[[#This Row],[Final Amount]]&lt;0,0,grocery_chain_data[[#This Row],[Final Amount]])</f>
        <v>4</v>
      </c>
    </row>
    <row r="1631" spans="1:13" x14ac:dyDescent="0.3">
      <c r="A1631">
        <v>8460</v>
      </c>
      <c r="B1631" t="s">
        <v>10</v>
      </c>
      <c r="C1631" s="1">
        <v>45754</v>
      </c>
      <c r="D1631" s="1" t="str">
        <f t="shared" si="25"/>
        <v>Dairy</v>
      </c>
      <c r="E1631" t="s">
        <v>19</v>
      </c>
      <c r="F1631" s="2">
        <v>5</v>
      </c>
      <c r="G1631" s="3">
        <v>21</v>
      </c>
      <c r="H1631" s="3">
        <f>grocery_chain_data[[#This Row],[Quantity]]*grocery_chain_data[[#This Row],[Unit Price]]</f>
        <v>105</v>
      </c>
      <c r="I1631" s="3">
        <v>16</v>
      </c>
      <c r="J1631" s="3">
        <f>grocery_chain_data[[#This Row],[Total Amount]]-grocery_chain_data[[#This Row],[Discount Amount]]</f>
        <v>89</v>
      </c>
      <c r="K1631">
        <v>129</v>
      </c>
      <c r="L1631" t="str">
        <f>IF(grocery_chain_data[[#This Row],[Final Amount]]&lt;0,"Return","Sale")</f>
        <v>Sale</v>
      </c>
      <c r="M1631">
        <f>IF(grocery_chain_data[[#This Row],[Final Amount]]&lt;0,0,grocery_chain_data[[#This Row],[Final Amount]])</f>
        <v>89</v>
      </c>
    </row>
    <row r="1632" spans="1:13" x14ac:dyDescent="0.3">
      <c r="A1632">
        <v>4389</v>
      </c>
      <c r="B1632" t="s">
        <v>12</v>
      </c>
      <c r="C1632" s="1">
        <v>45549</v>
      </c>
      <c r="D1632" s="1" t="str">
        <f t="shared" si="25"/>
        <v>Produce</v>
      </c>
      <c r="E1632" t="s">
        <v>4</v>
      </c>
      <c r="F1632" s="2">
        <v>3</v>
      </c>
      <c r="G1632" s="3">
        <v>6</v>
      </c>
      <c r="H1632" s="3">
        <f>grocery_chain_data[[#This Row],[Quantity]]*grocery_chain_data[[#This Row],[Unit Price]]</f>
        <v>18</v>
      </c>
      <c r="I1632" s="3">
        <v>3</v>
      </c>
      <c r="J1632" s="3">
        <f>grocery_chain_data[[#This Row],[Total Amount]]-grocery_chain_data[[#This Row],[Discount Amount]]</f>
        <v>15</v>
      </c>
      <c r="K1632">
        <v>182</v>
      </c>
      <c r="L1632" t="str">
        <f>IF(grocery_chain_data[[#This Row],[Final Amount]]&lt;0,"Return","Sale")</f>
        <v>Sale</v>
      </c>
      <c r="M1632">
        <f>IF(grocery_chain_data[[#This Row],[Final Amount]]&lt;0,0,grocery_chain_data[[#This Row],[Final Amount]])</f>
        <v>15</v>
      </c>
    </row>
    <row r="1633" spans="1:13" x14ac:dyDescent="0.3">
      <c r="A1633">
        <v>8912</v>
      </c>
      <c r="B1633" t="s">
        <v>12</v>
      </c>
      <c r="C1633" s="1">
        <v>45415</v>
      </c>
      <c r="D1633" s="1" t="str">
        <f t="shared" si="25"/>
        <v>Dairy</v>
      </c>
      <c r="E1633" t="s">
        <v>19</v>
      </c>
      <c r="F1633" s="2">
        <v>5</v>
      </c>
      <c r="G1633" s="3">
        <v>4</v>
      </c>
      <c r="H1633" s="3">
        <f>grocery_chain_data[[#This Row],[Quantity]]*grocery_chain_data[[#This Row],[Unit Price]]</f>
        <v>20</v>
      </c>
      <c r="I1633" s="3">
        <v>4</v>
      </c>
      <c r="J1633" s="3">
        <f>grocery_chain_data[[#This Row],[Total Amount]]-grocery_chain_data[[#This Row],[Discount Amount]]</f>
        <v>16</v>
      </c>
      <c r="K1633">
        <v>374</v>
      </c>
      <c r="L1633" t="str">
        <f>IF(grocery_chain_data[[#This Row],[Final Amount]]&lt;0,"Return","Sale")</f>
        <v>Sale</v>
      </c>
      <c r="M1633">
        <f>IF(grocery_chain_data[[#This Row],[Final Amount]]&lt;0,0,grocery_chain_data[[#This Row],[Final Amount]])</f>
        <v>16</v>
      </c>
    </row>
    <row r="1634" spans="1:13" x14ac:dyDescent="0.3">
      <c r="A1634">
        <v>8801</v>
      </c>
      <c r="B1634" t="s">
        <v>21</v>
      </c>
      <c r="C1634" s="1">
        <v>45220</v>
      </c>
      <c r="D1634" s="1" t="str">
        <f t="shared" si="25"/>
        <v>Bakery</v>
      </c>
      <c r="E1634" t="s">
        <v>22</v>
      </c>
      <c r="F1634" s="2">
        <v>5</v>
      </c>
      <c r="G1634" s="3">
        <v>4</v>
      </c>
      <c r="H1634" s="3">
        <f>grocery_chain_data[[#This Row],[Quantity]]*grocery_chain_data[[#This Row],[Unit Price]]</f>
        <v>20</v>
      </c>
      <c r="I1634" s="3">
        <v>0</v>
      </c>
      <c r="J1634" s="3">
        <f>grocery_chain_data[[#This Row],[Total Amount]]-grocery_chain_data[[#This Row],[Discount Amount]]</f>
        <v>20</v>
      </c>
      <c r="K1634">
        <v>372</v>
      </c>
      <c r="L1634" t="str">
        <f>IF(grocery_chain_data[[#This Row],[Final Amount]]&lt;0,"Return","Sale")</f>
        <v>Sale</v>
      </c>
      <c r="M1634">
        <f>IF(grocery_chain_data[[#This Row],[Final Amount]]&lt;0,0,grocery_chain_data[[#This Row],[Final Amount]])</f>
        <v>20</v>
      </c>
    </row>
    <row r="1635" spans="1:13" x14ac:dyDescent="0.3">
      <c r="A1635">
        <v>8178</v>
      </c>
      <c r="B1635" t="s">
        <v>10</v>
      </c>
      <c r="C1635" s="1">
        <v>45705</v>
      </c>
      <c r="D1635" s="1" t="str">
        <f t="shared" si="25"/>
        <v>Pantry</v>
      </c>
      <c r="E1635" t="s">
        <v>1</v>
      </c>
      <c r="F1635" s="2">
        <v>3</v>
      </c>
      <c r="G1635" s="3">
        <v>29</v>
      </c>
      <c r="H1635" s="3">
        <f>grocery_chain_data[[#This Row],[Quantity]]*grocery_chain_data[[#This Row],[Unit Price]]</f>
        <v>87</v>
      </c>
      <c r="I1635" s="3">
        <v>0</v>
      </c>
      <c r="J1635" s="3">
        <f>grocery_chain_data[[#This Row],[Total Amount]]-grocery_chain_data[[#This Row],[Discount Amount]]</f>
        <v>87</v>
      </c>
      <c r="K1635">
        <v>352</v>
      </c>
      <c r="L1635" t="str">
        <f>IF(grocery_chain_data[[#This Row],[Final Amount]]&lt;0,"Return","Sale")</f>
        <v>Sale</v>
      </c>
      <c r="M1635">
        <f>IF(grocery_chain_data[[#This Row],[Final Amount]]&lt;0,0,grocery_chain_data[[#This Row],[Final Amount]])</f>
        <v>87</v>
      </c>
    </row>
    <row r="1636" spans="1:13" x14ac:dyDescent="0.3">
      <c r="A1636">
        <v>8412</v>
      </c>
      <c r="B1636" t="s">
        <v>27</v>
      </c>
      <c r="C1636" s="1">
        <v>45392</v>
      </c>
      <c r="D1636" s="1" t="str">
        <f t="shared" si="25"/>
        <v>Meat &amp; Seafood</v>
      </c>
      <c r="E1636" t="s">
        <v>15</v>
      </c>
      <c r="F1636" s="2">
        <v>1</v>
      </c>
      <c r="G1636" s="3">
        <v>3</v>
      </c>
      <c r="H1636" s="3">
        <f>grocery_chain_data[[#This Row],[Quantity]]*grocery_chain_data[[#This Row],[Unit Price]]</f>
        <v>3</v>
      </c>
      <c r="I1636" s="3">
        <v>1</v>
      </c>
      <c r="J1636" s="3">
        <f>grocery_chain_data[[#This Row],[Total Amount]]-grocery_chain_data[[#This Row],[Discount Amount]]</f>
        <v>2</v>
      </c>
      <c r="K1636">
        <v>190</v>
      </c>
      <c r="L1636" t="str">
        <f>IF(grocery_chain_data[[#This Row],[Final Amount]]&lt;0,"Return","Sale")</f>
        <v>Sale</v>
      </c>
      <c r="M1636">
        <f>IF(grocery_chain_data[[#This Row],[Final Amount]]&lt;0,0,grocery_chain_data[[#This Row],[Final Amount]])</f>
        <v>2</v>
      </c>
    </row>
    <row r="1637" spans="1:13" x14ac:dyDescent="0.3">
      <c r="A1637">
        <v>2100</v>
      </c>
      <c r="B1637" t="s">
        <v>0</v>
      </c>
      <c r="C1637" s="1">
        <v>45378</v>
      </c>
      <c r="D1637" s="1" t="str">
        <f t="shared" si="25"/>
        <v>Produce</v>
      </c>
      <c r="E1637" t="s">
        <v>24</v>
      </c>
      <c r="F1637" s="2">
        <v>1</v>
      </c>
      <c r="G1637" s="3">
        <v>11</v>
      </c>
      <c r="H1637" s="3">
        <f>grocery_chain_data[[#This Row],[Quantity]]*grocery_chain_data[[#This Row],[Unit Price]]</f>
        <v>11</v>
      </c>
      <c r="I1637" s="3">
        <v>1</v>
      </c>
      <c r="J1637" s="3">
        <f>grocery_chain_data[[#This Row],[Total Amount]]-grocery_chain_data[[#This Row],[Discount Amount]]</f>
        <v>10</v>
      </c>
      <c r="K1637">
        <v>326</v>
      </c>
      <c r="L1637" t="str">
        <f>IF(grocery_chain_data[[#This Row],[Final Amount]]&lt;0,"Return","Sale")</f>
        <v>Sale</v>
      </c>
      <c r="M1637">
        <f>IF(grocery_chain_data[[#This Row],[Final Amount]]&lt;0,0,grocery_chain_data[[#This Row],[Final Amount]])</f>
        <v>10</v>
      </c>
    </row>
    <row r="1638" spans="1:13" x14ac:dyDescent="0.3">
      <c r="A1638">
        <v>1732</v>
      </c>
      <c r="B1638" t="s">
        <v>8</v>
      </c>
      <c r="C1638" s="1">
        <v>45774</v>
      </c>
      <c r="D1638" s="1" t="str">
        <f t="shared" si="25"/>
        <v>Produce</v>
      </c>
      <c r="E1638" t="s">
        <v>11</v>
      </c>
      <c r="F1638" s="2">
        <v>3</v>
      </c>
      <c r="G1638" s="3">
        <v>22</v>
      </c>
      <c r="H1638" s="3">
        <f>grocery_chain_data[[#This Row],[Quantity]]*grocery_chain_data[[#This Row],[Unit Price]]</f>
        <v>66</v>
      </c>
      <c r="I1638" s="3">
        <v>7</v>
      </c>
      <c r="J1638" s="3">
        <f>grocery_chain_data[[#This Row],[Total Amount]]-grocery_chain_data[[#This Row],[Discount Amount]]</f>
        <v>59</v>
      </c>
      <c r="K1638">
        <v>380</v>
      </c>
      <c r="L1638" t="str">
        <f>IF(grocery_chain_data[[#This Row],[Final Amount]]&lt;0,"Return","Sale")</f>
        <v>Sale</v>
      </c>
      <c r="M1638">
        <f>IF(grocery_chain_data[[#This Row],[Final Amount]]&lt;0,0,grocery_chain_data[[#This Row],[Final Amount]])</f>
        <v>59</v>
      </c>
    </row>
    <row r="1639" spans="1:13" x14ac:dyDescent="0.3">
      <c r="A1639">
        <v>2885</v>
      </c>
      <c r="B1639" t="s">
        <v>0</v>
      </c>
      <c r="C1639" s="1">
        <v>45162</v>
      </c>
      <c r="D1639" s="1" t="str">
        <f t="shared" si="25"/>
        <v>Pantry</v>
      </c>
      <c r="E1639" t="s">
        <v>1</v>
      </c>
      <c r="F1639" s="2">
        <v>3</v>
      </c>
      <c r="G1639" s="3">
        <v>19</v>
      </c>
      <c r="H1639" s="3">
        <f>grocery_chain_data[[#This Row],[Quantity]]*grocery_chain_data[[#This Row],[Unit Price]]</f>
        <v>57</v>
      </c>
      <c r="I1639" s="3">
        <v>0</v>
      </c>
      <c r="J1639" s="3">
        <f>grocery_chain_data[[#This Row],[Total Amount]]-grocery_chain_data[[#This Row],[Discount Amount]]</f>
        <v>57</v>
      </c>
      <c r="K1639">
        <v>276</v>
      </c>
      <c r="L1639" t="str">
        <f>IF(grocery_chain_data[[#This Row],[Final Amount]]&lt;0,"Return","Sale")</f>
        <v>Sale</v>
      </c>
      <c r="M1639">
        <f>IF(grocery_chain_data[[#This Row],[Final Amount]]&lt;0,0,grocery_chain_data[[#This Row],[Final Amount]])</f>
        <v>57</v>
      </c>
    </row>
    <row r="1640" spans="1:13" x14ac:dyDescent="0.3">
      <c r="A1640">
        <v>6620</v>
      </c>
      <c r="B1640" t="s">
        <v>13</v>
      </c>
      <c r="C1640" s="1">
        <v>45648</v>
      </c>
      <c r="D1640" s="1" t="str">
        <f t="shared" si="25"/>
        <v>Produce</v>
      </c>
      <c r="E1640" t="s">
        <v>25</v>
      </c>
      <c r="F1640" s="2">
        <v>2</v>
      </c>
      <c r="G1640" s="3">
        <v>23</v>
      </c>
      <c r="H1640" s="3">
        <f>grocery_chain_data[[#This Row],[Quantity]]*grocery_chain_data[[#This Row],[Unit Price]]</f>
        <v>46</v>
      </c>
      <c r="I1640" s="3">
        <v>0</v>
      </c>
      <c r="J1640" s="3">
        <f>grocery_chain_data[[#This Row],[Total Amount]]-grocery_chain_data[[#This Row],[Discount Amount]]</f>
        <v>46</v>
      </c>
      <c r="K1640">
        <v>223</v>
      </c>
      <c r="L1640" t="str">
        <f>IF(grocery_chain_data[[#This Row],[Final Amount]]&lt;0,"Return","Sale")</f>
        <v>Sale</v>
      </c>
      <c r="M1640">
        <f>IF(grocery_chain_data[[#This Row],[Final Amount]]&lt;0,0,grocery_chain_data[[#This Row],[Final Amount]])</f>
        <v>46</v>
      </c>
    </row>
    <row r="1641" spans="1:13" x14ac:dyDescent="0.3">
      <c r="A1641">
        <v>2791</v>
      </c>
      <c r="B1641" t="s">
        <v>5</v>
      </c>
      <c r="C1641" s="1">
        <v>45670</v>
      </c>
      <c r="D1641" s="1" t="str">
        <f t="shared" si="25"/>
        <v>Produce</v>
      </c>
      <c r="E1641" t="s">
        <v>24</v>
      </c>
      <c r="F1641" s="2">
        <v>1</v>
      </c>
      <c r="G1641" s="3">
        <v>19</v>
      </c>
      <c r="H1641" s="3">
        <f>grocery_chain_data[[#This Row],[Quantity]]*grocery_chain_data[[#This Row],[Unit Price]]</f>
        <v>19</v>
      </c>
      <c r="I1641" s="3">
        <v>0</v>
      </c>
      <c r="J1641" s="3">
        <f>grocery_chain_data[[#This Row],[Total Amount]]-grocery_chain_data[[#This Row],[Discount Amount]]</f>
        <v>19</v>
      </c>
      <c r="K1641">
        <v>465</v>
      </c>
      <c r="L1641" t="str">
        <f>IF(grocery_chain_data[[#This Row],[Final Amount]]&lt;0,"Return","Sale")</f>
        <v>Sale</v>
      </c>
      <c r="M1641">
        <f>IF(grocery_chain_data[[#This Row],[Final Amount]]&lt;0,0,grocery_chain_data[[#This Row],[Final Amount]])</f>
        <v>19</v>
      </c>
    </row>
    <row r="1642" spans="1:13" x14ac:dyDescent="0.3">
      <c r="A1642">
        <v>3692</v>
      </c>
      <c r="B1642" t="s">
        <v>12</v>
      </c>
      <c r="C1642" s="1">
        <v>45867</v>
      </c>
      <c r="D1642" s="1" t="str">
        <f t="shared" si="25"/>
        <v>Produce</v>
      </c>
      <c r="E1642" t="s">
        <v>18</v>
      </c>
      <c r="F1642" s="2">
        <v>4</v>
      </c>
      <c r="G1642" s="3">
        <v>7</v>
      </c>
      <c r="H1642" s="3">
        <f>grocery_chain_data[[#This Row],[Quantity]]*grocery_chain_data[[#This Row],[Unit Price]]</f>
        <v>28</v>
      </c>
      <c r="I1642" s="3">
        <v>0</v>
      </c>
      <c r="J1642" s="3">
        <f>grocery_chain_data[[#This Row],[Total Amount]]-grocery_chain_data[[#This Row],[Discount Amount]]</f>
        <v>28</v>
      </c>
      <c r="K1642">
        <v>400</v>
      </c>
      <c r="L1642" t="str">
        <f>IF(grocery_chain_data[[#This Row],[Final Amount]]&lt;0,"Return","Sale")</f>
        <v>Sale</v>
      </c>
      <c r="M1642">
        <f>IF(grocery_chain_data[[#This Row],[Final Amount]]&lt;0,0,grocery_chain_data[[#This Row],[Final Amount]])</f>
        <v>28</v>
      </c>
    </row>
    <row r="1643" spans="1:13" x14ac:dyDescent="0.3">
      <c r="A1643">
        <v>4996</v>
      </c>
      <c r="B1643" t="s">
        <v>5</v>
      </c>
      <c r="C1643" s="1">
        <v>45545</v>
      </c>
      <c r="D1643" s="1" t="str">
        <f t="shared" si="25"/>
        <v>Pantry</v>
      </c>
      <c r="E1643" t="s">
        <v>1</v>
      </c>
      <c r="F1643" s="2">
        <v>4</v>
      </c>
      <c r="G1643" s="3">
        <v>18</v>
      </c>
      <c r="H1643" s="3">
        <f>grocery_chain_data[[#This Row],[Quantity]]*grocery_chain_data[[#This Row],[Unit Price]]</f>
        <v>72</v>
      </c>
      <c r="I1643" s="3">
        <v>2</v>
      </c>
      <c r="J1643" s="3">
        <f>grocery_chain_data[[#This Row],[Total Amount]]-grocery_chain_data[[#This Row],[Discount Amount]]</f>
        <v>70</v>
      </c>
      <c r="K1643">
        <v>499</v>
      </c>
      <c r="L1643" t="str">
        <f>IF(grocery_chain_data[[#This Row],[Final Amount]]&lt;0,"Return","Sale")</f>
        <v>Sale</v>
      </c>
      <c r="M1643">
        <f>IF(grocery_chain_data[[#This Row],[Final Amount]]&lt;0,0,grocery_chain_data[[#This Row],[Final Amount]])</f>
        <v>70</v>
      </c>
    </row>
    <row r="1644" spans="1:13" x14ac:dyDescent="0.3">
      <c r="A1644">
        <v>3858</v>
      </c>
      <c r="B1644" t="s">
        <v>27</v>
      </c>
      <c r="C1644" s="1">
        <v>45573</v>
      </c>
      <c r="D1644" s="1" t="str">
        <f t="shared" si="25"/>
        <v>Meat &amp; Seafood</v>
      </c>
      <c r="E1644" t="s">
        <v>9</v>
      </c>
      <c r="F1644" s="2">
        <v>1</v>
      </c>
      <c r="G1644" s="3">
        <v>19</v>
      </c>
      <c r="H1644" s="3">
        <f>grocery_chain_data[[#This Row],[Quantity]]*grocery_chain_data[[#This Row],[Unit Price]]</f>
        <v>19</v>
      </c>
      <c r="I1644" s="3">
        <v>3</v>
      </c>
      <c r="J1644" s="3">
        <f>grocery_chain_data[[#This Row],[Total Amount]]-grocery_chain_data[[#This Row],[Discount Amount]]</f>
        <v>16</v>
      </c>
      <c r="K1644">
        <v>372</v>
      </c>
      <c r="L1644" t="str">
        <f>IF(grocery_chain_data[[#This Row],[Final Amount]]&lt;0,"Return","Sale")</f>
        <v>Sale</v>
      </c>
      <c r="M1644">
        <f>IF(grocery_chain_data[[#This Row],[Final Amount]]&lt;0,0,grocery_chain_data[[#This Row],[Final Amount]])</f>
        <v>16</v>
      </c>
    </row>
    <row r="1645" spans="1:13" x14ac:dyDescent="0.3">
      <c r="A1645">
        <v>3623</v>
      </c>
      <c r="B1645" t="s">
        <v>16</v>
      </c>
      <c r="C1645" s="1">
        <v>45402</v>
      </c>
      <c r="D1645" s="1" t="str">
        <f t="shared" si="25"/>
        <v>Produce</v>
      </c>
      <c r="E1645" t="s">
        <v>14</v>
      </c>
      <c r="F1645" s="2">
        <v>4</v>
      </c>
      <c r="G1645" s="3">
        <v>28</v>
      </c>
      <c r="H1645" s="3">
        <f>grocery_chain_data[[#This Row],[Quantity]]*grocery_chain_data[[#This Row],[Unit Price]]</f>
        <v>112</v>
      </c>
      <c r="I1645" s="3">
        <v>17</v>
      </c>
      <c r="J1645" s="3">
        <f>grocery_chain_data[[#This Row],[Total Amount]]-grocery_chain_data[[#This Row],[Discount Amount]]</f>
        <v>95</v>
      </c>
      <c r="K1645">
        <v>6</v>
      </c>
      <c r="L1645" t="str">
        <f>IF(grocery_chain_data[[#This Row],[Final Amount]]&lt;0,"Return","Sale")</f>
        <v>Sale</v>
      </c>
      <c r="M1645">
        <f>IF(grocery_chain_data[[#This Row],[Final Amount]]&lt;0,0,grocery_chain_data[[#This Row],[Final Amount]])</f>
        <v>95</v>
      </c>
    </row>
    <row r="1646" spans="1:13" x14ac:dyDescent="0.3">
      <c r="A1646">
        <v>7985</v>
      </c>
      <c r="B1646" t="s">
        <v>16</v>
      </c>
      <c r="C1646" s="1">
        <v>45503</v>
      </c>
      <c r="D1646" s="1" t="str">
        <f t="shared" si="25"/>
        <v>Meat &amp; Seafood</v>
      </c>
      <c r="E1646" t="s">
        <v>15</v>
      </c>
      <c r="F1646" s="2">
        <v>2</v>
      </c>
      <c r="G1646" s="3">
        <v>14</v>
      </c>
      <c r="H1646" s="3">
        <f>grocery_chain_data[[#This Row],[Quantity]]*grocery_chain_data[[#This Row],[Unit Price]]</f>
        <v>28</v>
      </c>
      <c r="I1646" s="3">
        <v>6</v>
      </c>
      <c r="J1646" s="3">
        <f>grocery_chain_data[[#This Row],[Total Amount]]-grocery_chain_data[[#This Row],[Discount Amount]]</f>
        <v>22</v>
      </c>
      <c r="K1646">
        <v>380</v>
      </c>
      <c r="L1646" t="str">
        <f>IF(grocery_chain_data[[#This Row],[Final Amount]]&lt;0,"Return","Sale")</f>
        <v>Sale</v>
      </c>
      <c r="M1646">
        <f>IF(grocery_chain_data[[#This Row],[Final Amount]]&lt;0,0,grocery_chain_data[[#This Row],[Final Amount]])</f>
        <v>22</v>
      </c>
    </row>
    <row r="1647" spans="1:13" x14ac:dyDescent="0.3">
      <c r="A1647">
        <v>4798</v>
      </c>
      <c r="B1647" t="s">
        <v>2</v>
      </c>
      <c r="C1647" s="1">
        <v>45764</v>
      </c>
      <c r="D1647" s="1" t="str">
        <f t="shared" si="25"/>
        <v>Produce</v>
      </c>
      <c r="E1647" t="s">
        <v>14</v>
      </c>
      <c r="F1647" s="2">
        <v>3</v>
      </c>
      <c r="G1647" s="3">
        <v>13</v>
      </c>
      <c r="H1647" s="3">
        <f>grocery_chain_data[[#This Row],[Quantity]]*grocery_chain_data[[#This Row],[Unit Price]]</f>
        <v>39</v>
      </c>
      <c r="I1647" s="3">
        <v>0</v>
      </c>
      <c r="J1647" s="3">
        <f>grocery_chain_data[[#This Row],[Total Amount]]-grocery_chain_data[[#This Row],[Discount Amount]]</f>
        <v>39</v>
      </c>
      <c r="K1647">
        <v>338</v>
      </c>
      <c r="L1647" t="str">
        <f>IF(grocery_chain_data[[#This Row],[Final Amount]]&lt;0,"Return","Sale")</f>
        <v>Sale</v>
      </c>
      <c r="M1647">
        <f>IF(grocery_chain_data[[#This Row],[Final Amount]]&lt;0,0,grocery_chain_data[[#This Row],[Final Amount]])</f>
        <v>39</v>
      </c>
    </row>
    <row r="1648" spans="1:13" x14ac:dyDescent="0.3">
      <c r="A1648">
        <v>7636</v>
      </c>
      <c r="B1648" t="s">
        <v>10</v>
      </c>
      <c r="C1648" s="1">
        <v>45634</v>
      </c>
      <c r="D1648" s="1" t="str">
        <f t="shared" si="25"/>
        <v>Beverages</v>
      </c>
      <c r="E1648" t="s">
        <v>7</v>
      </c>
      <c r="F1648" s="2">
        <v>1</v>
      </c>
      <c r="G1648" s="3">
        <v>7</v>
      </c>
      <c r="H1648" s="3">
        <f>grocery_chain_data[[#This Row],[Quantity]]*grocery_chain_data[[#This Row],[Unit Price]]</f>
        <v>7</v>
      </c>
      <c r="I1648" s="3">
        <v>1</v>
      </c>
      <c r="J1648" s="3">
        <f>grocery_chain_data[[#This Row],[Total Amount]]-grocery_chain_data[[#This Row],[Discount Amount]]</f>
        <v>6</v>
      </c>
      <c r="K1648">
        <v>271</v>
      </c>
      <c r="L1648" t="str">
        <f>IF(grocery_chain_data[[#This Row],[Final Amount]]&lt;0,"Return","Sale")</f>
        <v>Sale</v>
      </c>
      <c r="M1648">
        <f>IF(grocery_chain_data[[#This Row],[Final Amount]]&lt;0,0,grocery_chain_data[[#This Row],[Final Amount]])</f>
        <v>6</v>
      </c>
    </row>
    <row r="1649" spans="1:13" x14ac:dyDescent="0.3">
      <c r="A1649">
        <v>4022</v>
      </c>
      <c r="B1649" t="s">
        <v>12</v>
      </c>
      <c r="C1649" s="1">
        <v>45289</v>
      </c>
      <c r="D1649" s="1" t="str">
        <f t="shared" si="25"/>
        <v>Meat &amp; Seafood</v>
      </c>
      <c r="E1649" t="s">
        <v>15</v>
      </c>
      <c r="F1649" s="2">
        <v>4</v>
      </c>
      <c r="G1649" s="3">
        <v>2</v>
      </c>
      <c r="H1649" s="3">
        <f>grocery_chain_data[[#This Row],[Quantity]]*grocery_chain_data[[#This Row],[Unit Price]]</f>
        <v>8</v>
      </c>
      <c r="I1649" s="3">
        <v>2</v>
      </c>
      <c r="J1649" s="3">
        <f>grocery_chain_data[[#This Row],[Total Amount]]-grocery_chain_data[[#This Row],[Discount Amount]]</f>
        <v>6</v>
      </c>
      <c r="K1649">
        <v>319</v>
      </c>
      <c r="L1649" t="str">
        <f>IF(grocery_chain_data[[#This Row],[Final Amount]]&lt;0,"Return","Sale")</f>
        <v>Sale</v>
      </c>
      <c r="M1649">
        <f>IF(grocery_chain_data[[#This Row],[Final Amount]]&lt;0,0,grocery_chain_data[[#This Row],[Final Amount]])</f>
        <v>6</v>
      </c>
    </row>
    <row r="1650" spans="1:13" x14ac:dyDescent="0.3">
      <c r="A1650">
        <v>8080</v>
      </c>
      <c r="B1650" t="s">
        <v>8</v>
      </c>
      <c r="C1650" s="1">
        <v>45452</v>
      </c>
      <c r="D1650" s="1" t="str">
        <f t="shared" si="25"/>
        <v>Produce</v>
      </c>
      <c r="E1650" t="s">
        <v>18</v>
      </c>
      <c r="F1650" s="2">
        <v>3</v>
      </c>
      <c r="G1650" s="3">
        <v>17</v>
      </c>
      <c r="H1650" s="3">
        <f>grocery_chain_data[[#This Row],[Quantity]]*grocery_chain_data[[#This Row],[Unit Price]]</f>
        <v>51</v>
      </c>
      <c r="I1650" s="3">
        <v>5</v>
      </c>
      <c r="J1650" s="3">
        <f>grocery_chain_data[[#This Row],[Total Amount]]-grocery_chain_data[[#This Row],[Discount Amount]]</f>
        <v>46</v>
      </c>
      <c r="K1650">
        <v>251</v>
      </c>
      <c r="L1650" t="str">
        <f>IF(grocery_chain_data[[#This Row],[Final Amount]]&lt;0,"Return","Sale")</f>
        <v>Sale</v>
      </c>
      <c r="M1650">
        <f>IF(grocery_chain_data[[#This Row],[Final Amount]]&lt;0,0,grocery_chain_data[[#This Row],[Final Amount]])</f>
        <v>46</v>
      </c>
    </row>
    <row r="1651" spans="1:13" x14ac:dyDescent="0.3">
      <c r="A1651">
        <v>1478</v>
      </c>
      <c r="B1651" t="s">
        <v>2</v>
      </c>
      <c r="C1651" s="1">
        <v>45717</v>
      </c>
      <c r="D1651" s="1" t="str">
        <f t="shared" si="25"/>
        <v>Produce</v>
      </c>
      <c r="E1651" t="s">
        <v>14</v>
      </c>
      <c r="F1651" s="2">
        <v>5</v>
      </c>
      <c r="G1651" s="3">
        <v>29</v>
      </c>
      <c r="H1651" s="3">
        <f>grocery_chain_data[[#This Row],[Quantity]]*grocery_chain_data[[#This Row],[Unit Price]]</f>
        <v>145</v>
      </c>
      <c r="I1651" s="3">
        <v>14</v>
      </c>
      <c r="J1651" s="3">
        <f>grocery_chain_data[[#This Row],[Total Amount]]-grocery_chain_data[[#This Row],[Discount Amount]]</f>
        <v>131</v>
      </c>
      <c r="K1651">
        <v>63</v>
      </c>
      <c r="L1651" t="str">
        <f>IF(grocery_chain_data[[#This Row],[Final Amount]]&lt;0,"Return","Sale")</f>
        <v>Sale</v>
      </c>
      <c r="M1651">
        <f>IF(grocery_chain_data[[#This Row],[Final Amount]]&lt;0,0,grocery_chain_data[[#This Row],[Final Amount]])</f>
        <v>131</v>
      </c>
    </row>
    <row r="1652" spans="1:13" x14ac:dyDescent="0.3">
      <c r="A1652">
        <v>4232</v>
      </c>
      <c r="B1652" t="s">
        <v>21</v>
      </c>
      <c r="C1652" s="1">
        <v>45494</v>
      </c>
      <c r="D1652" s="1" t="str">
        <f t="shared" si="25"/>
        <v>Meat &amp; Seafood</v>
      </c>
      <c r="E1652" t="s">
        <v>26</v>
      </c>
      <c r="F1652" s="2">
        <v>5</v>
      </c>
      <c r="G1652" s="3">
        <v>9</v>
      </c>
      <c r="H1652" s="3">
        <f>grocery_chain_data[[#This Row],[Quantity]]*grocery_chain_data[[#This Row],[Unit Price]]</f>
        <v>45</v>
      </c>
      <c r="I1652" s="3">
        <v>0</v>
      </c>
      <c r="J1652" s="3">
        <f>grocery_chain_data[[#This Row],[Total Amount]]-grocery_chain_data[[#This Row],[Discount Amount]]</f>
        <v>45</v>
      </c>
      <c r="K1652">
        <v>442</v>
      </c>
      <c r="L1652" t="str">
        <f>IF(grocery_chain_data[[#This Row],[Final Amount]]&lt;0,"Return","Sale")</f>
        <v>Sale</v>
      </c>
      <c r="M1652">
        <f>IF(grocery_chain_data[[#This Row],[Final Amount]]&lt;0,0,grocery_chain_data[[#This Row],[Final Amount]])</f>
        <v>45</v>
      </c>
    </row>
    <row r="1653" spans="1:13" x14ac:dyDescent="0.3">
      <c r="A1653">
        <v>8037</v>
      </c>
      <c r="B1653" t="s">
        <v>8</v>
      </c>
      <c r="C1653" s="1">
        <v>45447</v>
      </c>
      <c r="D1653" s="1" t="str">
        <f t="shared" si="25"/>
        <v>Dairy</v>
      </c>
      <c r="E1653" t="s">
        <v>3</v>
      </c>
      <c r="F1653" s="2">
        <v>3</v>
      </c>
      <c r="G1653" s="3">
        <v>23</v>
      </c>
      <c r="H1653" s="3">
        <f>grocery_chain_data[[#This Row],[Quantity]]*grocery_chain_data[[#This Row],[Unit Price]]</f>
        <v>69</v>
      </c>
      <c r="I1653" s="3">
        <v>10</v>
      </c>
      <c r="J1653" s="3">
        <f>grocery_chain_data[[#This Row],[Total Amount]]-grocery_chain_data[[#This Row],[Discount Amount]]</f>
        <v>59</v>
      </c>
      <c r="K1653">
        <v>214</v>
      </c>
      <c r="L1653" t="str">
        <f>IF(grocery_chain_data[[#This Row],[Final Amount]]&lt;0,"Return","Sale")</f>
        <v>Sale</v>
      </c>
      <c r="M1653">
        <f>IF(grocery_chain_data[[#This Row],[Final Amount]]&lt;0,0,grocery_chain_data[[#This Row],[Final Amount]])</f>
        <v>59</v>
      </c>
    </row>
    <row r="1654" spans="1:13" x14ac:dyDescent="0.3">
      <c r="A1654">
        <v>1072</v>
      </c>
      <c r="B1654" t="s">
        <v>16</v>
      </c>
      <c r="C1654" s="1">
        <v>45692</v>
      </c>
      <c r="D1654" s="1" t="str">
        <f t="shared" si="25"/>
        <v>Meat &amp; Seafood</v>
      </c>
      <c r="E1654" t="s">
        <v>26</v>
      </c>
      <c r="F1654" s="2">
        <v>3</v>
      </c>
      <c r="G1654" s="3">
        <v>16</v>
      </c>
      <c r="H1654" s="3">
        <f>grocery_chain_data[[#This Row],[Quantity]]*grocery_chain_data[[#This Row],[Unit Price]]</f>
        <v>48</v>
      </c>
      <c r="I1654" s="3">
        <v>9</v>
      </c>
      <c r="J1654" s="3">
        <f>grocery_chain_data[[#This Row],[Total Amount]]-grocery_chain_data[[#This Row],[Discount Amount]]</f>
        <v>39</v>
      </c>
      <c r="K1654">
        <v>272</v>
      </c>
      <c r="L1654" t="str">
        <f>IF(grocery_chain_data[[#This Row],[Final Amount]]&lt;0,"Return","Sale")</f>
        <v>Sale</v>
      </c>
      <c r="M1654">
        <f>IF(grocery_chain_data[[#This Row],[Final Amount]]&lt;0,0,grocery_chain_data[[#This Row],[Final Amount]])</f>
        <v>39</v>
      </c>
    </row>
    <row r="1655" spans="1:13" x14ac:dyDescent="0.3">
      <c r="A1655">
        <v>4519</v>
      </c>
      <c r="B1655" t="s">
        <v>8</v>
      </c>
      <c r="C1655" s="1">
        <v>45304</v>
      </c>
      <c r="D1655" s="1" t="str">
        <f t="shared" si="25"/>
        <v>Meat &amp; Seafood</v>
      </c>
      <c r="E1655" t="s">
        <v>15</v>
      </c>
      <c r="F1655" s="2">
        <v>3</v>
      </c>
      <c r="G1655" s="3">
        <v>25</v>
      </c>
      <c r="H1655" s="3">
        <f>grocery_chain_data[[#This Row],[Quantity]]*grocery_chain_data[[#This Row],[Unit Price]]</f>
        <v>75</v>
      </c>
      <c r="I1655" s="3">
        <v>15</v>
      </c>
      <c r="J1655" s="3">
        <f>grocery_chain_data[[#This Row],[Total Amount]]-grocery_chain_data[[#This Row],[Discount Amount]]</f>
        <v>60</v>
      </c>
      <c r="K1655">
        <v>230</v>
      </c>
      <c r="L1655" t="str">
        <f>IF(grocery_chain_data[[#This Row],[Final Amount]]&lt;0,"Return","Sale")</f>
        <v>Sale</v>
      </c>
      <c r="M1655">
        <f>IF(grocery_chain_data[[#This Row],[Final Amount]]&lt;0,0,grocery_chain_data[[#This Row],[Final Amount]])</f>
        <v>60</v>
      </c>
    </row>
    <row r="1656" spans="1:13" x14ac:dyDescent="0.3">
      <c r="A1656">
        <v>5560</v>
      </c>
      <c r="B1656" t="s">
        <v>8</v>
      </c>
      <c r="C1656" s="1">
        <v>45729</v>
      </c>
      <c r="D1656" s="1" t="str">
        <f t="shared" si="25"/>
        <v>Produce</v>
      </c>
      <c r="E1656" t="s">
        <v>18</v>
      </c>
      <c r="F1656" s="2">
        <v>5</v>
      </c>
      <c r="G1656" s="3">
        <v>25</v>
      </c>
      <c r="H1656" s="3">
        <f>grocery_chain_data[[#This Row],[Quantity]]*grocery_chain_data[[#This Row],[Unit Price]]</f>
        <v>125</v>
      </c>
      <c r="I1656" s="3">
        <v>0</v>
      </c>
      <c r="J1656" s="3">
        <f>grocery_chain_data[[#This Row],[Total Amount]]-grocery_chain_data[[#This Row],[Discount Amount]]</f>
        <v>125</v>
      </c>
      <c r="K1656">
        <v>390</v>
      </c>
      <c r="L1656" t="str">
        <f>IF(grocery_chain_data[[#This Row],[Final Amount]]&lt;0,"Return","Sale")</f>
        <v>Sale</v>
      </c>
      <c r="M1656">
        <f>IF(grocery_chain_data[[#This Row],[Final Amount]]&lt;0,0,grocery_chain_data[[#This Row],[Final Amount]])</f>
        <v>125</v>
      </c>
    </row>
    <row r="1657" spans="1:13" x14ac:dyDescent="0.3">
      <c r="A1657">
        <v>2025</v>
      </c>
      <c r="B1657" t="s">
        <v>5</v>
      </c>
      <c r="C1657" s="1">
        <v>45593</v>
      </c>
      <c r="D1657" s="1" t="str">
        <f t="shared" si="25"/>
        <v>Meat &amp; Seafood</v>
      </c>
      <c r="E1657" t="s">
        <v>26</v>
      </c>
      <c r="F1657" s="2">
        <v>4</v>
      </c>
      <c r="G1657" s="3">
        <v>18</v>
      </c>
      <c r="H1657" s="3">
        <f>grocery_chain_data[[#This Row],[Quantity]]*grocery_chain_data[[#This Row],[Unit Price]]</f>
        <v>72</v>
      </c>
      <c r="I1657" s="3">
        <v>7</v>
      </c>
      <c r="J1657" s="3">
        <f>grocery_chain_data[[#This Row],[Total Amount]]-grocery_chain_data[[#This Row],[Discount Amount]]</f>
        <v>65</v>
      </c>
      <c r="K1657">
        <v>214</v>
      </c>
      <c r="L1657" t="str">
        <f>IF(grocery_chain_data[[#This Row],[Final Amount]]&lt;0,"Return","Sale")</f>
        <v>Sale</v>
      </c>
      <c r="M1657">
        <f>IF(grocery_chain_data[[#This Row],[Final Amount]]&lt;0,0,grocery_chain_data[[#This Row],[Final Amount]])</f>
        <v>65</v>
      </c>
    </row>
    <row r="1658" spans="1:13" x14ac:dyDescent="0.3">
      <c r="A1658">
        <v>2667</v>
      </c>
      <c r="B1658" t="s">
        <v>21</v>
      </c>
      <c r="C1658" s="1">
        <v>45765</v>
      </c>
      <c r="D1658" s="1" t="str">
        <f t="shared" si="25"/>
        <v>Produce</v>
      </c>
      <c r="E1658" t="s">
        <v>18</v>
      </c>
      <c r="F1658" s="2">
        <v>5</v>
      </c>
      <c r="G1658" s="3">
        <v>7</v>
      </c>
      <c r="H1658" s="3">
        <f>grocery_chain_data[[#This Row],[Quantity]]*grocery_chain_data[[#This Row],[Unit Price]]</f>
        <v>35</v>
      </c>
      <c r="I1658" s="3">
        <v>3</v>
      </c>
      <c r="J1658" s="3">
        <f>grocery_chain_data[[#This Row],[Total Amount]]-grocery_chain_data[[#This Row],[Discount Amount]]</f>
        <v>32</v>
      </c>
      <c r="K1658">
        <v>312</v>
      </c>
      <c r="L1658" t="str">
        <f>IF(grocery_chain_data[[#This Row],[Final Amount]]&lt;0,"Return","Sale")</f>
        <v>Sale</v>
      </c>
      <c r="M1658">
        <f>IF(grocery_chain_data[[#This Row],[Final Amount]]&lt;0,0,grocery_chain_data[[#This Row],[Final Amount]])</f>
        <v>32</v>
      </c>
    </row>
    <row r="1659" spans="1:13" x14ac:dyDescent="0.3">
      <c r="A1659">
        <v>9796</v>
      </c>
      <c r="B1659" t="s">
        <v>8</v>
      </c>
      <c r="C1659" s="1">
        <v>45290</v>
      </c>
      <c r="D1659" s="1" t="str">
        <f t="shared" si="25"/>
        <v>Pantry</v>
      </c>
      <c r="E1659" t="s">
        <v>6</v>
      </c>
      <c r="F1659" s="2">
        <v>5</v>
      </c>
      <c r="G1659" s="3">
        <v>8</v>
      </c>
      <c r="H1659" s="3">
        <f>grocery_chain_data[[#This Row],[Quantity]]*grocery_chain_data[[#This Row],[Unit Price]]</f>
        <v>40</v>
      </c>
      <c r="I1659" s="3">
        <v>0</v>
      </c>
      <c r="J1659" s="3">
        <f>grocery_chain_data[[#This Row],[Total Amount]]-grocery_chain_data[[#This Row],[Discount Amount]]</f>
        <v>40</v>
      </c>
      <c r="K1659">
        <v>291</v>
      </c>
      <c r="L1659" t="str">
        <f>IF(grocery_chain_data[[#This Row],[Final Amount]]&lt;0,"Return","Sale")</f>
        <v>Sale</v>
      </c>
      <c r="M1659">
        <f>IF(grocery_chain_data[[#This Row],[Final Amount]]&lt;0,0,grocery_chain_data[[#This Row],[Final Amount]])</f>
        <v>40</v>
      </c>
    </row>
    <row r="1660" spans="1:13" x14ac:dyDescent="0.3">
      <c r="A1660">
        <v>6993</v>
      </c>
      <c r="B1660" t="s">
        <v>0</v>
      </c>
      <c r="C1660" s="1">
        <v>45398</v>
      </c>
      <c r="D1660" s="1" t="str">
        <f t="shared" si="25"/>
        <v>Produce</v>
      </c>
      <c r="E1660" t="s">
        <v>18</v>
      </c>
      <c r="F1660" s="2">
        <v>5</v>
      </c>
      <c r="G1660" s="3">
        <v>27</v>
      </c>
      <c r="H1660" s="3">
        <f>grocery_chain_data[[#This Row],[Quantity]]*grocery_chain_data[[#This Row],[Unit Price]]</f>
        <v>135</v>
      </c>
      <c r="I1660" s="3">
        <v>3</v>
      </c>
      <c r="J1660" s="3">
        <f>grocery_chain_data[[#This Row],[Total Amount]]-grocery_chain_data[[#This Row],[Discount Amount]]</f>
        <v>132</v>
      </c>
      <c r="K1660">
        <v>334</v>
      </c>
      <c r="L1660" t="str">
        <f>IF(grocery_chain_data[[#This Row],[Final Amount]]&lt;0,"Return","Sale")</f>
        <v>Sale</v>
      </c>
      <c r="M1660">
        <f>IF(grocery_chain_data[[#This Row],[Final Amount]]&lt;0,0,grocery_chain_data[[#This Row],[Final Amount]])</f>
        <v>132</v>
      </c>
    </row>
    <row r="1661" spans="1:13" x14ac:dyDescent="0.3">
      <c r="A1661">
        <v>4228</v>
      </c>
      <c r="B1661" t="s">
        <v>21</v>
      </c>
      <c r="C1661" s="1">
        <v>45500</v>
      </c>
      <c r="D1661" s="1" t="str">
        <f t="shared" si="25"/>
        <v>Meat &amp; Seafood</v>
      </c>
      <c r="E1661" t="s">
        <v>15</v>
      </c>
      <c r="F1661" s="2">
        <v>3</v>
      </c>
      <c r="G1661" s="3">
        <v>22</v>
      </c>
      <c r="H1661" s="3">
        <f>grocery_chain_data[[#This Row],[Quantity]]*grocery_chain_data[[#This Row],[Unit Price]]</f>
        <v>66</v>
      </c>
      <c r="I1661" s="3">
        <v>7</v>
      </c>
      <c r="J1661" s="3">
        <f>grocery_chain_data[[#This Row],[Total Amount]]-grocery_chain_data[[#This Row],[Discount Amount]]</f>
        <v>59</v>
      </c>
      <c r="K1661">
        <v>122</v>
      </c>
      <c r="L1661" t="str">
        <f>IF(grocery_chain_data[[#This Row],[Final Amount]]&lt;0,"Return","Sale")</f>
        <v>Sale</v>
      </c>
      <c r="M1661">
        <f>IF(grocery_chain_data[[#This Row],[Final Amount]]&lt;0,0,grocery_chain_data[[#This Row],[Final Amount]])</f>
        <v>59</v>
      </c>
    </row>
    <row r="1662" spans="1:13" x14ac:dyDescent="0.3">
      <c r="A1662">
        <v>2867</v>
      </c>
      <c r="B1662" t="s">
        <v>21</v>
      </c>
      <c r="C1662" s="1">
        <v>45348</v>
      </c>
      <c r="D1662" s="1" t="str">
        <f t="shared" si="25"/>
        <v>Dairy</v>
      </c>
      <c r="E1662" t="s">
        <v>20</v>
      </c>
      <c r="F1662" s="2">
        <v>3</v>
      </c>
      <c r="G1662" s="3">
        <v>3</v>
      </c>
      <c r="H1662" s="3">
        <f>grocery_chain_data[[#This Row],[Quantity]]*grocery_chain_data[[#This Row],[Unit Price]]</f>
        <v>9</v>
      </c>
      <c r="I1662" s="3">
        <v>3</v>
      </c>
      <c r="J1662" s="3">
        <f>grocery_chain_data[[#This Row],[Total Amount]]-grocery_chain_data[[#This Row],[Discount Amount]]</f>
        <v>6</v>
      </c>
      <c r="K1662">
        <v>15</v>
      </c>
      <c r="L1662" t="str">
        <f>IF(grocery_chain_data[[#This Row],[Final Amount]]&lt;0,"Return","Sale")</f>
        <v>Sale</v>
      </c>
      <c r="M1662">
        <f>IF(grocery_chain_data[[#This Row],[Final Amount]]&lt;0,0,grocery_chain_data[[#This Row],[Final Amount]])</f>
        <v>6</v>
      </c>
    </row>
    <row r="1663" spans="1:13" x14ac:dyDescent="0.3">
      <c r="A1663">
        <v>9019</v>
      </c>
      <c r="B1663" t="s">
        <v>21</v>
      </c>
      <c r="C1663" s="1">
        <v>45554</v>
      </c>
      <c r="D1663" s="1" t="str">
        <f t="shared" si="25"/>
        <v>Meat &amp; Seafood</v>
      </c>
      <c r="E1663" t="s">
        <v>15</v>
      </c>
      <c r="F1663" s="2">
        <v>2</v>
      </c>
      <c r="G1663" s="3">
        <v>24</v>
      </c>
      <c r="H1663" s="3">
        <f>grocery_chain_data[[#This Row],[Quantity]]*grocery_chain_data[[#This Row],[Unit Price]]</f>
        <v>48</v>
      </c>
      <c r="I1663" s="3">
        <v>4</v>
      </c>
      <c r="J1663" s="3">
        <f>grocery_chain_data[[#This Row],[Total Amount]]-grocery_chain_data[[#This Row],[Discount Amount]]</f>
        <v>44</v>
      </c>
      <c r="K1663">
        <v>498</v>
      </c>
      <c r="L1663" t="str">
        <f>IF(grocery_chain_data[[#This Row],[Final Amount]]&lt;0,"Return","Sale")</f>
        <v>Sale</v>
      </c>
      <c r="M1663">
        <f>IF(grocery_chain_data[[#This Row],[Final Amount]]&lt;0,0,grocery_chain_data[[#This Row],[Final Amount]])</f>
        <v>44</v>
      </c>
    </row>
    <row r="1664" spans="1:13" x14ac:dyDescent="0.3">
      <c r="A1664">
        <v>6134</v>
      </c>
      <c r="B1664" t="s">
        <v>16</v>
      </c>
      <c r="C1664" s="1">
        <v>45608</v>
      </c>
      <c r="D1664" s="1" t="str">
        <f t="shared" si="25"/>
        <v>Meat &amp; Seafood</v>
      </c>
      <c r="E1664" t="s">
        <v>9</v>
      </c>
      <c r="F1664" s="2">
        <v>4</v>
      </c>
      <c r="G1664" s="3">
        <v>22</v>
      </c>
      <c r="H1664" s="3">
        <f>grocery_chain_data[[#This Row],[Quantity]]*grocery_chain_data[[#This Row],[Unit Price]]</f>
        <v>88</v>
      </c>
      <c r="I1664" s="3">
        <v>0</v>
      </c>
      <c r="J1664" s="3">
        <f>grocery_chain_data[[#This Row],[Total Amount]]-grocery_chain_data[[#This Row],[Discount Amount]]</f>
        <v>88</v>
      </c>
      <c r="K1664">
        <v>35</v>
      </c>
      <c r="L1664" t="str">
        <f>IF(grocery_chain_data[[#This Row],[Final Amount]]&lt;0,"Return","Sale")</f>
        <v>Sale</v>
      </c>
      <c r="M1664">
        <f>IF(grocery_chain_data[[#This Row],[Final Amount]]&lt;0,0,grocery_chain_data[[#This Row],[Final Amount]])</f>
        <v>88</v>
      </c>
    </row>
    <row r="1665" spans="1:13" x14ac:dyDescent="0.3">
      <c r="A1665">
        <v>7367</v>
      </c>
      <c r="B1665" t="s">
        <v>13</v>
      </c>
      <c r="C1665" s="1">
        <v>45619</v>
      </c>
      <c r="D1665" s="1" t="str">
        <f t="shared" si="25"/>
        <v>Dairy</v>
      </c>
      <c r="E1665" t="s">
        <v>3</v>
      </c>
      <c r="F1665" s="2">
        <v>5</v>
      </c>
      <c r="G1665" s="3">
        <v>30</v>
      </c>
      <c r="H1665" s="3">
        <f>grocery_chain_data[[#This Row],[Quantity]]*grocery_chain_data[[#This Row],[Unit Price]]</f>
        <v>150</v>
      </c>
      <c r="I1665" s="3">
        <v>4</v>
      </c>
      <c r="J1665" s="3">
        <f>grocery_chain_data[[#This Row],[Total Amount]]-grocery_chain_data[[#This Row],[Discount Amount]]</f>
        <v>146</v>
      </c>
      <c r="K1665">
        <v>441</v>
      </c>
      <c r="L1665" t="str">
        <f>IF(grocery_chain_data[[#This Row],[Final Amount]]&lt;0,"Return","Sale")</f>
        <v>Sale</v>
      </c>
      <c r="M1665">
        <f>IF(grocery_chain_data[[#This Row],[Final Amount]]&lt;0,0,grocery_chain_data[[#This Row],[Final Amount]])</f>
        <v>146</v>
      </c>
    </row>
    <row r="1666" spans="1:13" x14ac:dyDescent="0.3">
      <c r="A1666">
        <v>7431</v>
      </c>
      <c r="B1666" t="s">
        <v>12</v>
      </c>
      <c r="C1666" s="1">
        <v>45600</v>
      </c>
      <c r="D1666" s="1" t="str">
        <f t="shared" ref="D1666:D1729" si="26">IF(E1666="Pasta","Pantry",
IF(E1666="Cheese","Dairy",
IF(E1666="Onions","Produce",
IF(E1666="Cereal","Pantry",
IF(E1666="Orange Juice","Beverages",
IF(E1666="Ground Beef","Meat &amp; Seafood",
IF(E1666="Apples","Produce",
IF(E1666="Milk","Dairy",
IF(E1666="Bananas","Produce",
IF(E1666="Bread","Bakery",
IF(E1666="Carrots","Produce",
IF(E1666="Chicken Breast","Meat &amp; Seafood",
IF(E1666="Eggs","Dairy",
IF(E1666="Potatoes","Produce",
IF(E1666="Rice","Produce",
IF(E1666="Salmon","Meat &amp; Seafood",
IF(E1666="Tomatoes","Produce",
IF(E1666="Yogurt","Dairy",
"Others"))))))))))))))))))</f>
        <v>Meat &amp; Seafood</v>
      </c>
      <c r="E1666" t="s">
        <v>26</v>
      </c>
      <c r="F1666" s="2">
        <v>5</v>
      </c>
      <c r="G1666" s="3">
        <v>20</v>
      </c>
      <c r="H1666" s="3">
        <f>grocery_chain_data[[#This Row],[Quantity]]*grocery_chain_data[[#This Row],[Unit Price]]</f>
        <v>100</v>
      </c>
      <c r="I1666" s="3">
        <v>10</v>
      </c>
      <c r="J1666" s="3">
        <f>grocery_chain_data[[#This Row],[Total Amount]]-grocery_chain_data[[#This Row],[Discount Amount]]</f>
        <v>90</v>
      </c>
      <c r="K1666">
        <v>273</v>
      </c>
      <c r="L1666" t="str">
        <f>IF(grocery_chain_data[[#This Row],[Final Amount]]&lt;0,"Return","Sale")</f>
        <v>Sale</v>
      </c>
      <c r="M1666">
        <f>IF(grocery_chain_data[[#This Row],[Final Amount]]&lt;0,0,grocery_chain_data[[#This Row],[Final Amount]])</f>
        <v>90</v>
      </c>
    </row>
    <row r="1667" spans="1:13" x14ac:dyDescent="0.3">
      <c r="A1667">
        <v>2871</v>
      </c>
      <c r="B1667" t="s">
        <v>10</v>
      </c>
      <c r="C1667" s="1">
        <v>45415</v>
      </c>
      <c r="D1667" s="1" t="str">
        <f t="shared" si="26"/>
        <v>Produce</v>
      </c>
      <c r="E1667" t="s">
        <v>17</v>
      </c>
      <c r="F1667" s="2">
        <v>4</v>
      </c>
      <c r="G1667" s="3">
        <v>25</v>
      </c>
      <c r="H1667" s="3">
        <f>grocery_chain_data[[#This Row],[Quantity]]*grocery_chain_data[[#This Row],[Unit Price]]</f>
        <v>100</v>
      </c>
      <c r="I1667" s="3">
        <v>15</v>
      </c>
      <c r="J1667" s="3">
        <f>grocery_chain_data[[#This Row],[Total Amount]]-grocery_chain_data[[#This Row],[Discount Amount]]</f>
        <v>85</v>
      </c>
      <c r="K1667">
        <v>371</v>
      </c>
      <c r="L1667" t="str">
        <f>IF(grocery_chain_data[[#This Row],[Final Amount]]&lt;0,"Return","Sale")</f>
        <v>Sale</v>
      </c>
      <c r="M1667">
        <f>IF(grocery_chain_data[[#This Row],[Final Amount]]&lt;0,0,grocery_chain_data[[#This Row],[Final Amount]])</f>
        <v>85</v>
      </c>
    </row>
    <row r="1668" spans="1:13" x14ac:dyDescent="0.3">
      <c r="A1668">
        <v>6766</v>
      </c>
      <c r="B1668" t="s">
        <v>8</v>
      </c>
      <c r="C1668" s="1">
        <v>45801</v>
      </c>
      <c r="D1668" s="1" t="str">
        <f t="shared" si="26"/>
        <v>Meat &amp; Seafood</v>
      </c>
      <c r="E1668" t="s">
        <v>15</v>
      </c>
      <c r="F1668" s="2">
        <v>4</v>
      </c>
      <c r="G1668" s="3">
        <v>24</v>
      </c>
      <c r="H1668" s="3">
        <f>grocery_chain_data[[#This Row],[Quantity]]*grocery_chain_data[[#This Row],[Unit Price]]</f>
        <v>96</v>
      </c>
      <c r="I1668" s="3">
        <v>14</v>
      </c>
      <c r="J1668" s="3">
        <f>grocery_chain_data[[#This Row],[Total Amount]]-grocery_chain_data[[#This Row],[Discount Amount]]</f>
        <v>82</v>
      </c>
      <c r="K1668">
        <v>53</v>
      </c>
      <c r="L1668" t="str">
        <f>IF(grocery_chain_data[[#This Row],[Final Amount]]&lt;0,"Return","Sale")</f>
        <v>Sale</v>
      </c>
      <c r="M1668">
        <f>IF(grocery_chain_data[[#This Row],[Final Amount]]&lt;0,0,grocery_chain_data[[#This Row],[Final Amount]])</f>
        <v>82</v>
      </c>
    </row>
    <row r="1669" spans="1:13" x14ac:dyDescent="0.3">
      <c r="A1669">
        <v>8501</v>
      </c>
      <c r="B1669" t="s">
        <v>0</v>
      </c>
      <c r="C1669" s="1">
        <v>45624</v>
      </c>
      <c r="D1669" s="1" t="str">
        <f t="shared" si="26"/>
        <v>Beverages</v>
      </c>
      <c r="E1669" t="s">
        <v>7</v>
      </c>
      <c r="F1669" s="2">
        <v>4</v>
      </c>
      <c r="G1669" s="3">
        <v>20</v>
      </c>
      <c r="H1669" s="3">
        <f>grocery_chain_data[[#This Row],[Quantity]]*grocery_chain_data[[#This Row],[Unit Price]]</f>
        <v>80</v>
      </c>
      <c r="I1669" s="3">
        <v>8</v>
      </c>
      <c r="J1669" s="3">
        <f>grocery_chain_data[[#This Row],[Total Amount]]-grocery_chain_data[[#This Row],[Discount Amount]]</f>
        <v>72</v>
      </c>
      <c r="K1669">
        <v>72</v>
      </c>
      <c r="L1669" t="str">
        <f>IF(grocery_chain_data[[#This Row],[Final Amount]]&lt;0,"Return","Sale")</f>
        <v>Sale</v>
      </c>
      <c r="M1669">
        <f>IF(grocery_chain_data[[#This Row],[Final Amount]]&lt;0,0,grocery_chain_data[[#This Row],[Final Amount]])</f>
        <v>72</v>
      </c>
    </row>
    <row r="1670" spans="1:13" x14ac:dyDescent="0.3">
      <c r="A1670">
        <v>3826</v>
      </c>
      <c r="B1670" t="s">
        <v>21</v>
      </c>
      <c r="C1670" s="1">
        <v>45777</v>
      </c>
      <c r="D1670" s="1" t="str">
        <f t="shared" si="26"/>
        <v>Meat &amp; Seafood</v>
      </c>
      <c r="E1670" t="s">
        <v>26</v>
      </c>
      <c r="F1670" s="2">
        <v>3</v>
      </c>
      <c r="G1670" s="3">
        <v>20</v>
      </c>
      <c r="H1670" s="3">
        <f>grocery_chain_data[[#This Row],[Quantity]]*grocery_chain_data[[#This Row],[Unit Price]]</f>
        <v>60</v>
      </c>
      <c r="I1670" s="3">
        <v>0</v>
      </c>
      <c r="J1670" s="3">
        <f>grocery_chain_data[[#This Row],[Total Amount]]-grocery_chain_data[[#This Row],[Discount Amount]]</f>
        <v>60</v>
      </c>
      <c r="K1670">
        <v>37</v>
      </c>
      <c r="L1670" t="str">
        <f>IF(grocery_chain_data[[#This Row],[Final Amount]]&lt;0,"Return","Sale")</f>
        <v>Sale</v>
      </c>
      <c r="M1670">
        <f>IF(grocery_chain_data[[#This Row],[Final Amount]]&lt;0,0,grocery_chain_data[[#This Row],[Final Amount]])</f>
        <v>60</v>
      </c>
    </row>
    <row r="1671" spans="1:13" x14ac:dyDescent="0.3">
      <c r="A1671">
        <v>5873</v>
      </c>
      <c r="B1671" t="s">
        <v>10</v>
      </c>
      <c r="C1671" s="1">
        <v>45858</v>
      </c>
      <c r="D1671" s="1" t="str">
        <f t="shared" si="26"/>
        <v>Pantry</v>
      </c>
      <c r="E1671" t="s">
        <v>1</v>
      </c>
      <c r="F1671" s="2">
        <v>3</v>
      </c>
      <c r="G1671" s="3">
        <v>10</v>
      </c>
      <c r="H1671" s="3">
        <f>grocery_chain_data[[#This Row],[Quantity]]*grocery_chain_data[[#This Row],[Unit Price]]</f>
        <v>30</v>
      </c>
      <c r="I1671" s="3">
        <v>3</v>
      </c>
      <c r="J1671" s="3">
        <f>grocery_chain_data[[#This Row],[Total Amount]]-grocery_chain_data[[#This Row],[Discount Amount]]</f>
        <v>27</v>
      </c>
      <c r="K1671">
        <v>227</v>
      </c>
      <c r="L1671" t="str">
        <f>IF(grocery_chain_data[[#This Row],[Final Amount]]&lt;0,"Return","Sale")</f>
        <v>Sale</v>
      </c>
      <c r="M1671">
        <f>IF(grocery_chain_data[[#This Row],[Final Amount]]&lt;0,0,grocery_chain_data[[#This Row],[Final Amount]])</f>
        <v>27</v>
      </c>
    </row>
    <row r="1672" spans="1:13" x14ac:dyDescent="0.3">
      <c r="A1672">
        <v>2388</v>
      </c>
      <c r="B1672" t="s">
        <v>12</v>
      </c>
      <c r="C1672" s="1">
        <v>45667</v>
      </c>
      <c r="D1672" s="1" t="str">
        <f t="shared" si="26"/>
        <v>Pantry</v>
      </c>
      <c r="E1672" t="s">
        <v>1</v>
      </c>
      <c r="F1672" s="2">
        <v>5</v>
      </c>
      <c r="G1672" s="3">
        <v>2</v>
      </c>
      <c r="H1672" s="3">
        <f>grocery_chain_data[[#This Row],[Quantity]]*grocery_chain_data[[#This Row],[Unit Price]]</f>
        <v>10</v>
      </c>
      <c r="I1672" s="3">
        <v>2</v>
      </c>
      <c r="J1672" s="3">
        <f>grocery_chain_data[[#This Row],[Total Amount]]-grocery_chain_data[[#This Row],[Discount Amount]]</f>
        <v>8</v>
      </c>
      <c r="K1672">
        <v>71</v>
      </c>
      <c r="L1672" t="str">
        <f>IF(grocery_chain_data[[#This Row],[Final Amount]]&lt;0,"Return","Sale")</f>
        <v>Sale</v>
      </c>
      <c r="M1672">
        <f>IF(grocery_chain_data[[#This Row],[Final Amount]]&lt;0,0,grocery_chain_data[[#This Row],[Final Amount]])</f>
        <v>8</v>
      </c>
    </row>
    <row r="1673" spans="1:13" x14ac:dyDescent="0.3">
      <c r="A1673">
        <v>3194</v>
      </c>
      <c r="B1673" t="s">
        <v>21</v>
      </c>
      <c r="C1673" s="1">
        <v>45388</v>
      </c>
      <c r="D1673" s="1" t="str">
        <f t="shared" si="26"/>
        <v>Beverages</v>
      </c>
      <c r="E1673" t="s">
        <v>7</v>
      </c>
      <c r="F1673" s="2">
        <v>3</v>
      </c>
      <c r="G1673" s="3">
        <v>10</v>
      </c>
      <c r="H1673" s="3">
        <f>grocery_chain_data[[#This Row],[Quantity]]*grocery_chain_data[[#This Row],[Unit Price]]</f>
        <v>30</v>
      </c>
      <c r="I1673" s="3">
        <v>4</v>
      </c>
      <c r="J1673" s="3">
        <f>grocery_chain_data[[#This Row],[Total Amount]]-grocery_chain_data[[#This Row],[Discount Amount]]</f>
        <v>26</v>
      </c>
      <c r="K1673">
        <v>366</v>
      </c>
      <c r="L1673" t="str">
        <f>IF(grocery_chain_data[[#This Row],[Final Amount]]&lt;0,"Return","Sale")</f>
        <v>Sale</v>
      </c>
      <c r="M1673">
        <f>IF(grocery_chain_data[[#This Row],[Final Amount]]&lt;0,0,grocery_chain_data[[#This Row],[Final Amount]])</f>
        <v>26</v>
      </c>
    </row>
    <row r="1674" spans="1:13" x14ac:dyDescent="0.3">
      <c r="A1674">
        <v>2931</v>
      </c>
      <c r="B1674" t="s">
        <v>10</v>
      </c>
      <c r="C1674" s="1">
        <v>45330</v>
      </c>
      <c r="D1674" s="1" t="str">
        <f t="shared" si="26"/>
        <v>Produce</v>
      </c>
      <c r="E1674" t="s">
        <v>17</v>
      </c>
      <c r="F1674" s="2">
        <v>2</v>
      </c>
      <c r="G1674" s="3">
        <v>23</v>
      </c>
      <c r="H1674" s="3">
        <f>grocery_chain_data[[#This Row],[Quantity]]*grocery_chain_data[[#This Row],[Unit Price]]</f>
        <v>46</v>
      </c>
      <c r="I1674" s="3">
        <v>9</v>
      </c>
      <c r="J1674" s="3">
        <f>grocery_chain_data[[#This Row],[Total Amount]]-grocery_chain_data[[#This Row],[Discount Amount]]</f>
        <v>37</v>
      </c>
      <c r="K1674">
        <v>355</v>
      </c>
      <c r="L1674" t="str">
        <f>IF(grocery_chain_data[[#This Row],[Final Amount]]&lt;0,"Return","Sale")</f>
        <v>Sale</v>
      </c>
      <c r="M1674">
        <f>IF(grocery_chain_data[[#This Row],[Final Amount]]&lt;0,0,grocery_chain_data[[#This Row],[Final Amount]])</f>
        <v>37</v>
      </c>
    </row>
    <row r="1675" spans="1:13" x14ac:dyDescent="0.3">
      <c r="A1675">
        <v>6003</v>
      </c>
      <c r="B1675" t="s">
        <v>12</v>
      </c>
      <c r="C1675" s="1">
        <v>45235</v>
      </c>
      <c r="D1675" s="1" t="str">
        <f t="shared" si="26"/>
        <v>Pantry</v>
      </c>
      <c r="E1675" t="s">
        <v>1</v>
      </c>
      <c r="F1675" s="2">
        <v>2</v>
      </c>
      <c r="G1675" s="3">
        <v>2</v>
      </c>
      <c r="H1675" s="3">
        <f>grocery_chain_data[[#This Row],[Quantity]]*grocery_chain_data[[#This Row],[Unit Price]]</f>
        <v>4</v>
      </c>
      <c r="I1675" s="3">
        <v>1</v>
      </c>
      <c r="J1675" s="3">
        <f>grocery_chain_data[[#This Row],[Total Amount]]-grocery_chain_data[[#This Row],[Discount Amount]]</f>
        <v>3</v>
      </c>
      <c r="K1675">
        <v>108</v>
      </c>
      <c r="L1675" t="str">
        <f>IF(grocery_chain_data[[#This Row],[Final Amount]]&lt;0,"Return","Sale")</f>
        <v>Sale</v>
      </c>
      <c r="M1675">
        <f>IF(grocery_chain_data[[#This Row],[Final Amount]]&lt;0,0,grocery_chain_data[[#This Row],[Final Amount]])</f>
        <v>3</v>
      </c>
    </row>
    <row r="1676" spans="1:13" x14ac:dyDescent="0.3">
      <c r="A1676">
        <v>3999</v>
      </c>
      <c r="B1676" t="s">
        <v>13</v>
      </c>
      <c r="C1676" s="1">
        <v>45434</v>
      </c>
      <c r="D1676" s="1" t="str">
        <f t="shared" si="26"/>
        <v>Beverages</v>
      </c>
      <c r="E1676" t="s">
        <v>7</v>
      </c>
      <c r="F1676" s="2">
        <v>5</v>
      </c>
      <c r="G1676" s="3">
        <v>23</v>
      </c>
      <c r="H1676" s="3">
        <f>grocery_chain_data[[#This Row],[Quantity]]*grocery_chain_data[[#This Row],[Unit Price]]</f>
        <v>115</v>
      </c>
      <c r="I1676" s="3">
        <v>11</v>
      </c>
      <c r="J1676" s="3">
        <f>grocery_chain_data[[#This Row],[Total Amount]]-grocery_chain_data[[#This Row],[Discount Amount]]</f>
        <v>104</v>
      </c>
      <c r="K1676">
        <v>264</v>
      </c>
      <c r="L1676" t="str">
        <f>IF(grocery_chain_data[[#This Row],[Final Amount]]&lt;0,"Return","Sale")</f>
        <v>Sale</v>
      </c>
      <c r="M1676">
        <f>IF(grocery_chain_data[[#This Row],[Final Amount]]&lt;0,0,grocery_chain_data[[#This Row],[Final Amount]])</f>
        <v>104</v>
      </c>
    </row>
    <row r="1677" spans="1:13" x14ac:dyDescent="0.3">
      <c r="A1677">
        <v>3316</v>
      </c>
      <c r="B1677" t="s">
        <v>5</v>
      </c>
      <c r="C1677" s="1">
        <v>45541</v>
      </c>
      <c r="D1677" s="1" t="str">
        <f t="shared" si="26"/>
        <v>Dairy</v>
      </c>
      <c r="E1677" t="s">
        <v>20</v>
      </c>
      <c r="F1677" s="2">
        <v>5</v>
      </c>
      <c r="G1677" s="3">
        <v>26</v>
      </c>
      <c r="H1677" s="3">
        <f>grocery_chain_data[[#This Row],[Quantity]]*grocery_chain_data[[#This Row],[Unit Price]]</f>
        <v>130</v>
      </c>
      <c r="I1677" s="3">
        <v>13</v>
      </c>
      <c r="J1677" s="3">
        <f>grocery_chain_data[[#This Row],[Total Amount]]-grocery_chain_data[[#This Row],[Discount Amount]]</f>
        <v>117</v>
      </c>
      <c r="K1677">
        <v>160</v>
      </c>
      <c r="L1677" t="str">
        <f>IF(grocery_chain_data[[#This Row],[Final Amount]]&lt;0,"Return","Sale")</f>
        <v>Sale</v>
      </c>
      <c r="M1677">
        <f>IF(grocery_chain_data[[#This Row],[Final Amount]]&lt;0,0,grocery_chain_data[[#This Row],[Final Amount]])</f>
        <v>117</v>
      </c>
    </row>
    <row r="1678" spans="1:13" x14ac:dyDescent="0.3">
      <c r="A1678">
        <v>7364</v>
      </c>
      <c r="B1678" t="s">
        <v>10</v>
      </c>
      <c r="C1678" s="1">
        <v>45469</v>
      </c>
      <c r="D1678" s="1" t="str">
        <f t="shared" si="26"/>
        <v>Produce</v>
      </c>
      <c r="E1678" t="s">
        <v>11</v>
      </c>
      <c r="F1678" s="2">
        <v>5</v>
      </c>
      <c r="G1678" s="3">
        <v>15</v>
      </c>
      <c r="H1678" s="3">
        <f>grocery_chain_data[[#This Row],[Quantity]]*grocery_chain_data[[#This Row],[Unit Price]]</f>
        <v>75</v>
      </c>
      <c r="I1678" s="3">
        <v>4</v>
      </c>
      <c r="J1678" s="3">
        <f>grocery_chain_data[[#This Row],[Total Amount]]-grocery_chain_data[[#This Row],[Discount Amount]]</f>
        <v>71</v>
      </c>
      <c r="K1678">
        <v>247</v>
      </c>
      <c r="L1678" t="str">
        <f>IF(grocery_chain_data[[#This Row],[Final Amount]]&lt;0,"Return","Sale")</f>
        <v>Sale</v>
      </c>
      <c r="M1678">
        <f>IF(grocery_chain_data[[#This Row],[Final Amount]]&lt;0,0,grocery_chain_data[[#This Row],[Final Amount]])</f>
        <v>71</v>
      </c>
    </row>
    <row r="1679" spans="1:13" x14ac:dyDescent="0.3">
      <c r="A1679">
        <v>3258</v>
      </c>
      <c r="B1679" t="s">
        <v>0</v>
      </c>
      <c r="C1679" s="1">
        <v>45591</v>
      </c>
      <c r="D1679" s="1" t="str">
        <f t="shared" si="26"/>
        <v>Meat &amp; Seafood</v>
      </c>
      <c r="E1679" t="s">
        <v>9</v>
      </c>
      <c r="F1679" s="2">
        <v>3</v>
      </c>
      <c r="G1679" s="3">
        <v>7</v>
      </c>
      <c r="H1679" s="3">
        <f>grocery_chain_data[[#This Row],[Quantity]]*grocery_chain_data[[#This Row],[Unit Price]]</f>
        <v>21</v>
      </c>
      <c r="I1679" s="3">
        <v>4</v>
      </c>
      <c r="J1679" s="3">
        <f>grocery_chain_data[[#This Row],[Total Amount]]-grocery_chain_data[[#This Row],[Discount Amount]]</f>
        <v>17</v>
      </c>
      <c r="K1679">
        <v>76</v>
      </c>
      <c r="L1679" t="str">
        <f>IF(grocery_chain_data[[#This Row],[Final Amount]]&lt;0,"Return","Sale")</f>
        <v>Sale</v>
      </c>
      <c r="M1679">
        <f>IF(grocery_chain_data[[#This Row],[Final Amount]]&lt;0,0,grocery_chain_data[[#This Row],[Final Amount]])</f>
        <v>17</v>
      </c>
    </row>
    <row r="1680" spans="1:13" x14ac:dyDescent="0.3">
      <c r="A1680">
        <v>7286</v>
      </c>
      <c r="B1680" t="s">
        <v>0</v>
      </c>
      <c r="C1680" s="1">
        <v>45473</v>
      </c>
      <c r="D1680" s="1" t="str">
        <f t="shared" si="26"/>
        <v>Dairy</v>
      </c>
      <c r="E1680" t="s">
        <v>23</v>
      </c>
      <c r="F1680" s="2">
        <v>3</v>
      </c>
      <c r="G1680" s="3">
        <v>15</v>
      </c>
      <c r="H1680" s="3">
        <f>grocery_chain_data[[#This Row],[Quantity]]*grocery_chain_data[[#This Row],[Unit Price]]</f>
        <v>45</v>
      </c>
      <c r="I1680" s="3">
        <v>0</v>
      </c>
      <c r="J1680" s="3">
        <f>grocery_chain_data[[#This Row],[Total Amount]]-grocery_chain_data[[#This Row],[Discount Amount]]</f>
        <v>45</v>
      </c>
      <c r="K1680">
        <v>291</v>
      </c>
      <c r="L1680" t="str">
        <f>IF(grocery_chain_data[[#This Row],[Final Amount]]&lt;0,"Return","Sale")</f>
        <v>Sale</v>
      </c>
      <c r="M1680">
        <f>IF(grocery_chain_data[[#This Row],[Final Amount]]&lt;0,0,grocery_chain_data[[#This Row],[Final Amount]])</f>
        <v>45</v>
      </c>
    </row>
    <row r="1681" spans="1:13" x14ac:dyDescent="0.3">
      <c r="A1681">
        <v>4043</v>
      </c>
      <c r="B1681" t="s">
        <v>2</v>
      </c>
      <c r="C1681" s="1">
        <v>45523</v>
      </c>
      <c r="D1681" s="1" t="str">
        <f t="shared" si="26"/>
        <v>Dairy</v>
      </c>
      <c r="E1681" t="s">
        <v>23</v>
      </c>
      <c r="F1681" s="2">
        <v>3</v>
      </c>
      <c r="G1681" s="3">
        <v>20</v>
      </c>
      <c r="H1681" s="3">
        <f>grocery_chain_data[[#This Row],[Quantity]]*grocery_chain_data[[#This Row],[Unit Price]]</f>
        <v>60</v>
      </c>
      <c r="I1681" s="3">
        <v>9</v>
      </c>
      <c r="J1681" s="3">
        <f>grocery_chain_data[[#This Row],[Total Amount]]-grocery_chain_data[[#This Row],[Discount Amount]]</f>
        <v>51</v>
      </c>
      <c r="K1681">
        <v>204</v>
      </c>
      <c r="L1681" t="str">
        <f>IF(grocery_chain_data[[#This Row],[Final Amount]]&lt;0,"Return","Sale")</f>
        <v>Sale</v>
      </c>
      <c r="M1681">
        <f>IF(grocery_chain_data[[#This Row],[Final Amount]]&lt;0,0,grocery_chain_data[[#This Row],[Final Amount]])</f>
        <v>51</v>
      </c>
    </row>
    <row r="1682" spans="1:13" x14ac:dyDescent="0.3">
      <c r="A1682">
        <v>9804</v>
      </c>
      <c r="B1682" t="s">
        <v>2</v>
      </c>
      <c r="C1682" s="1">
        <v>45683</v>
      </c>
      <c r="D1682" s="1" t="str">
        <f t="shared" si="26"/>
        <v>Pantry</v>
      </c>
      <c r="E1682" t="s">
        <v>1</v>
      </c>
      <c r="F1682" s="2">
        <v>5</v>
      </c>
      <c r="G1682" s="3">
        <v>29</v>
      </c>
      <c r="H1682" s="3">
        <f>grocery_chain_data[[#This Row],[Quantity]]*grocery_chain_data[[#This Row],[Unit Price]]</f>
        <v>145</v>
      </c>
      <c r="I1682" s="3">
        <v>3</v>
      </c>
      <c r="J1682" s="3">
        <f>grocery_chain_data[[#This Row],[Total Amount]]-grocery_chain_data[[#This Row],[Discount Amount]]</f>
        <v>142</v>
      </c>
      <c r="K1682">
        <v>433</v>
      </c>
      <c r="L1682" t="str">
        <f>IF(grocery_chain_data[[#This Row],[Final Amount]]&lt;0,"Return","Sale")</f>
        <v>Sale</v>
      </c>
      <c r="M1682">
        <f>IF(grocery_chain_data[[#This Row],[Final Amount]]&lt;0,0,grocery_chain_data[[#This Row],[Final Amount]])</f>
        <v>142</v>
      </c>
    </row>
    <row r="1683" spans="1:13" x14ac:dyDescent="0.3">
      <c r="A1683">
        <v>3838</v>
      </c>
      <c r="B1683" t="s">
        <v>2</v>
      </c>
      <c r="C1683" s="1">
        <v>45576</v>
      </c>
      <c r="D1683" s="1" t="str">
        <f t="shared" si="26"/>
        <v>Meat &amp; Seafood</v>
      </c>
      <c r="E1683" t="s">
        <v>9</v>
      </c>
      <c r="F1683" s="2">
        <v>3</v>
      </c>
      <c r="G1683" s="3">
        <v>24</v>
      </c>
      <c r="H1683" s="3">
        <f>grocery_chain_data[[#This Row],[Quantity]]*grocery_chain_data[[#This Row],[Unit Price]]</f>
        <v>72</v>
      </c>
      <c r="I1683" s="3">
        <v>14</v>
      </c>
      <c r="J1683" s="3">
        <f>grocery_chain_data[[#This Row],[Total Amount]]-grocery_chain_data[[#This Row],[Discount Amount]]</f>
        <v>58</v>
      </c>
      <c r="K1683">
        <v>93</v>
      </c>
      <c r="L1683" t="str">
        <f>IF(grocery_chain_data[[#This Row],[Final Amount]]&lt;0,"Return","Sale")</f>
        <v>Sale</v>
      </c>
      <c r="M1683">
        <f>IF(grocery_chain_data[[#This Row],[Final Amount]]&lt;0,0,grocery_chain_data[[#This Row],[Final Amount]])</f>
        <v>58</v>
      </c>
    </row>
    <row r="1684" spans="1:13" x14ac:dyDescent="0.3">
      <c r="A1684">
        <v>3733</v>
      </c>
      <c r="B1684" t="s">
        <v>10</v>
      </c>
      <c r="C1684" s="1">
        <v>45525</v>
      </c>
      <c r="D1684" s="1" t="str">
        <f t="shared" si="26"/>
        <v>Dairy</v>
      </c>
      <c r="E1684" t="s">
        <v>19</v>
      </c>
      <c r="F1684" s="2">
        <v>5</v>
      </c>
      <c r="G1684" s="3">
        <v>9</v>
      </c>
      <c r="H1684" s="3">
        <f>grocery_chain_data[[#This Row],[Quantity]]*grocery_chain_data[[#This Row],[Unit Price]]</f>
        <v>45</v>
      </c>
      <c r="I1684" s="3">
        <v>0</v>
      </c>
      <c r="J1684" s="3">
        <f>grocery_chain_data[[#This Row],[Total Amount]]-grocery_chain_data[[#This Row],[Discount Amount]]</f>
        <v>45</v>
      </c>
      <c r="K1684">
        <v>142</v>
      </c>
      <c r="L1684" t="str">
        <f>IF(grocery_chain_data[[#This Row],[Final Amount]]&lt;0,"Return","Sale")</f>
        <v>Sale</v>
      </c>
      <c r="M1684">
        <f>IF(grocery_chain_data[[#This Row],[Final Amount]]&lt;0,0,grocery_chain_data[[#This Row],[Final Amount]])</f>
        <v>45</v>
      </c>
    </row>
    <row r="1685" spans="1:13" x14ac:dyDescent="0.3">
      <c r="A1685">
        <v>5732</v>
      </c>
      <c r="B1685" t="s">
        <v>21</v>
      </c>
      <c r="C1685" s="1">
        <v>45253</v>
      </c>
      <c r="D1685" s="1" t="str">
        <f t="shared" si="26"/>
        <v>Dairy</v>
      </c>
      <c r="E1685" t="s">
        <v>20</v>
      </c>
      <c r="F1685" s="2">
        <v>5</v>
      </c>
      <c r="G1685" s="3">
        <v>10</v>
      </c>
      <c r="H1685" s="3">
        <f>grocery_chain_data[[#This Row],[Quantity]]*grocery_chain_data[[#This Row],[Unit Price]]</f>
        <v>50</v>
      </c>
      <c r="I1685" s="3">
        <v>10</v>
      </c>
      <c r="J1685" s="3">
        <f>grocery_chain_data[[#This Row],[Total Amount]]-grocery_chain_data[[#This Row],[Discount Amount]]</f>
        <v>40</v>
      </c>
      <c r="K1685">
        <v>106</v>
      </c>
      <c r="L1685" t="str">
        <f>IF(grocery_chain_data[[#This Row],[Final Amount]]&lt;0,"Return","Sale")</f>
        <v>Sale</v>
      </c>
      <c r="M1685">
        <f>IF(grocery_chain_data[[#This Row],[Final Amount]]&lt;0,0,grocery_chain_data[[#This Row],[Final Amount]])</f>
        <v>40</v>
      </c>
    </row>
    <row r="1686" spans="1:13" x14ac:dyDescent="0.3">
      <c r="A1686">
        <v>4065</v>
      </c>
      <c r="B1686" t="s">
        <v>10</v>
      </c>
      <c r="C1686" s="1">
        <v>45389</v>
      </c>
      <c r="D1686" s="1" t="str">
        <f t="shared" si="26"/>
        <v>Meat &amp; Seafood</v>
      </c>
      <c r="E1686" t="s">
        <v>26</v>
      </c>
      <c r="F1686" s="2">
        <v>5</v>
      </c>
      <c r="G1686" s="3">
        <v>27</v>
      </c>
      <c r="H1686" s="3">
        <f>grocery_chain_data[[#This Row],[Quantity]]*grocery_chain_data[[#This Row],[Unit Price]]</f>
        <v>135</v>
      </c>
      <c r="I1686" s="3">
        <v>0</v>
      </c>
      <c r="J1686" s="3">
        <f>grocery_chain_data[[#This Row],[Total Amount]]-grocery_chain_data[[#This Row],[Discount Amount]]</f>
        <v>135</v>
      </c>
      <c r="K1686">
        <v>26</v>
      </c>
      <c r="L1686" t="str">
        <f>IF(grocery_chain_data[[#This Row],[Final Amount]]&lt;0,"Return","Sale")</f>
        <v>Sale</v>
      </c>
      <c r="M1686">
        <f>IF(grocery_chain_data[[#This Row],[Final Amount]]&lt;0,0,grocery_chain_data[[#This Row],[Final Amount]])</f>
        <v>135</v>
      </c>
    </row>
    <row r="1687" spans="1:13" x14ac:dyDescent="0.3">
      <c r="A1687">
        <v>8389</v>
      </c>
      <c r="B1687" t="s">
        <v>0</v>
      </c>
      <c r="C1687" s="1">
        <v>45626</v>
      </c>
      <c r="D1687" s="1" t="str">
        <f t="shared" si="26"/>
        <v>Produce</v>
      </c>
      <c r="E1687" t="s">
        <v>25</v>
      </c>
      <c r="F1687" s="2">
        <v>1</v>
      </c>
      <c r="G1687" s="3">
        <v>14</v>
      </c>
      <c r="H1687" s="3">
        <f>grocery_chain_data[[#This Row],[Quantity]]*grocery_chain_data[[#This Row],[Unit Price]]</f>
        <v>14</v>
      </c>
      <c r="I1687" s="3">
        <v>3</v>
      </c>
      <c r="J1687" s="3">
        <f>grocery_chain_data[[#This Row],[Total Amount]]-grocery_chain_data[[#This Row],[Discount Amount]]</f>
        <v>11</v>
      </c>
      <c r="K1687">
        <v>243</v>
      </c>
      <c r="L1687" t="str">
        <f>IF(grocery_chain_data[[#This Row],[Final Amount]]&lt;0,"Return","Sale")</f>
        <v>Sale</v>
      </c>
      <c r="M1687">
        <f>IF(grocery_chain_data[[#This Row],[Final Amount]]&lt;0,0,grocery_chain_data[[#This Row],[Final Amount]])</f>
        <v>11</v>
      </c>
    </row>
    <row r="1688" spans="1:13" x14ac:dyDescent="0.3">
      <c r="A1688">
        <v>1878</v>
      </c>
      <c r="B1688" t="s">
        <v>21</v>
      </c>
      <c r="C1688" s="1">
        <v>45817</v>
      </c>
      <c r="D1688" s="1" t="str">
        <f t="shared" si="26"/>
        <v>Produce</v>
      </c>
      <c r="E1688" t="s">
        <v>25</v>
      </c>
      <c r="F1688" s="2">
        <v>3</v>
      </c>
      <c r="G1688" s="3">
        <v>18</v>
      </c>
      <c r="H1688" s="3">
        <f>grocery_chain_data[[#This Row],[Quantity]]*grocery_chain_data[[#This Row],[Unit Price]]</f>
        <v>54</v>
      </c>
      <c r="I1688" s="3">
        <v>4</v>
      </c>
      <c r="J1688" s="3">
        <f>grocery_chain_data[[#This Row],[Total Amount]]-grocery_chain_data[[#This Row],[Discount Amount]]</f>
        <v>50</v>
      </c>
      <c r="K1688">
        <v>297</v>
      </c>
      <c r="L1688" t="str">
        <f>IF(grocery_chain_data[[#This Row],[Final Amount]]&lt;0,"Return","Sale")</f>
        <v>Sale</v>
      </c>
      <c r="M1688">
        <f>IF(grocery_chain_data[[#This Row],[Final Amount]]&lt;0,0,grocery_chain_data[[#This Row],[Final Amount]])</f>
        <v>50</v>
      </c>
    </row>
    <row r="1689" spans="1:13" x14ac:dyDescent="0.3">
      <c r="A1689">
        <v>6882</v>
      </c>
      <c r="B1689" t="s">
        <v>10</v>
      </c>
      <c r="C1689" s="1">
        <v>45152</v>
      </c>
      <c r="D1689" s="1" t="str">
        <f t="shared" si="26"/>
        <v>Dairy</v>
      </c>
      <c r="E1689" t="s">
        <v>23</v>
      </c>
      <c r="F1689" s="2">
        <v>5</v>
      </c>
      <c r="G1689" s="3">
        <v>24</v>
      </c>
      <c r="H1689" s="3">
        <f>grocery_chain_data[[#This Row],[Quantity]]*grocery_chain_data[[#This Row],[Unit Price]]</f>
        <v>120</v>
      </c>
      <c r="I1689" s="3">
        <v>2</v>
      </c>
      <c r="J1689" s="3">
        <f>grocery_chain_data[[#This Row],[Total Amount]]-grocery_chain_data[[#This Row],[Discount Amount]]</f>
        <v>118</v>
      </c>
      <c r="K1689">
        <v>314</v>
      </c>
      <c r="L1689" t="str">
        <f>IF(grocery_chain_data[[#This Row],[Final Amount]]&lt;0,"Return","Sale")</f>
        <v>Sale</v>
      </c>
      <c r="M1689">
        <f>IF(grocery_chain_data[[#This Row],[Final Amount]]&lt;0,0,grocery_chain_data[[#This Row],[Final Amount]])</f>
        <v>118</v>
      </c>
    </row>
    <row r="1690" spans="1:13" x14ac:dyDescent="0.3">
      <c r="A1690">
        <v>8939</v>
      </c>
      <c r="B1690" t="s">
        <v>8</v>
      </c>
      <c r="C1690" s="1">
        <v>45251</v>
      </c>
      <c r="D1690" s="1" t="str">
        <f t="shared" si="26"/>
        <v>Pantry</v>
      </c>
      <c r="E1690" t="s">
        <v>1</v>
      </c>
      <c r="F1690" s="2">
        <v>4</v>
      </c>
      <c r="G1690" s="3">
        <v>19</v>
      </c>
      <c r="H1690" s="3">
        <f>grocery_chain_data[[#This Row],[Quantity]]*grocery_chain_data[[#This Row],[Unit Price]]</f>
        <v>76</v>
      </c>
      <c r="I1690" s="3">
        <v>2</v>
      </c>
      <c r="J1690" s="3">
        <f>grocery_chain_data[[#This Row],[Total Amount]]-grocery_chain_data[[#This Row],[Discount Amount]]</f>
        <v>74</v>
      </c>
      <c r="K1690">
        <v>168</v>
      </c>
      <c r="L1690" t="str">
        <f>IF(grocery_chain_data[[#This Row],[Final Amount]]&lt;0,"Return","Sale")</f>
        <v>Sale</v>
      </c>
      <c r="M1690">
        <f>IF(grocery_chain_data[[#This Row],[Final Amount]]&lt;0,0,grocery_chain_data[[#This Row],[Final Amount]])</f>
        <v>74</v>
      </c>
    </row>
    <row r="1691" spans="1:13" x14ac:dyDescent="0.3">
      <c r="A1691">
        <v>4196</v>
      </c>
      <c r="B1691" t="s">
        <v>12</v>
      </c>
      <c r="C1691" s="1">
        <v>45778</v>
      </c>
      <c r="D1691" s="1" t="str">
        <f t="shared" si="26"/>
        <v>Produce</v>
      </c>
      <c r="E1691" t="s">
        <v>4</v>
      </c>
      <c r="F1691" s="2">
        <v>2</v>
      </c>
      <c r="G1691" s="3">
        <v>11</v>
      </c>
      <c r="H1691" s="3">
        <f>grocery_chain_data[[#This Row],[Quantity]]*grocery_chain_data[[#This Row],[Unit Price]]</f>
        <v>22</v>
      </c>
      <c r="I1691" s="3">
        <v>0</v>
      </c>
      <c r="J1691" s="3">
        <f>grocery_chain_data[[#This Row],[Total Amount]]-grocery_chain_data[[#This Row],[Discount Amount]]</f>
        <v>22</v>
      </c>
      <c r="K1691">
        <v>347</v>
      </c>
      <c r="L1691" t="str">
        <f>IF(grocery_chain_data[[#This Row],[Final Amount]]&lt;0,"Return","Sale")</f>
        <v>Sale</v>
      </c>
      <c r="M1691">
        <f>IF(grocery_chain_data[[#This Row],[Final Amount]]&lt;0,0,grocery_chain_data[[#This Row],[Final Amount]])</f>
        <v>22</v>
      </c>
    </row>
    <row r="1692" spans="1:13" x14ac:dyDescent="0.3">
      <c r="A1692">
        <v>7290</v>
      </c>
      <c r="B1692" t="s">
        <v>10</v>
      </c>
      <c r="C1692" s="1">
        <v>45581</v>
      </c>
      <c r="D1692" s="1" t="str">
        <f t="shared" si="26"/>
        <v>Produce</v>
      </c>
      <c r="E1692" t="s">
        <v>11</v>
      </c>
      <c r="F1692" s="2">
        <v>4</v>
      </c>
      <c r="G1692" s="3">
        <v>1</v>
      </c>
      <c r="H1692" s="3">
        <f>grocery_chain_data[[#This Row],[Quantity]]*grocery_chain_data[[#This Row],[Unit Price]]</f>
        <v>4</v>
      </c>
      <c r="I1692" s="3">
        <v>0</v>
      </c>
      <c r="J1692" s="3">
        <f>grocery_chain_data[[#This Row],[Total Amount]]-grocery_chain_data[[#This Row],[Discount Amount]]</f>
        <v>4</v>
      </c>
      <c r="K1692">
        <v>457</v>
      </c>
      <c r="L1692" t="str">
        <f>IF(grocery_chain_data[[#This Row],[Final Amount]]&lt;0,"Return","Sale")</f>
        <v>Sale</v>
      </c>
      <c r="M1692">
        <f>IF(grocery_chain_data[[#This Row],[Final Amount]]&lt;0,0,grocery_chain_data[[#This Row],[Final Amount]])</f>
        <v>4</v>
      </c>
    </row>
    <row r="1693" spans="1:13" x14ac:dyDescent="0.3">
      <c r="A1693">
        <v>9281</v>
      </c>
      <c r="B1693" t="s">
        <v>5</v>
      </c>
      <c r="C1693" s="1">
        <v>45652</v>
      </c>
      <c r="D1693" s="1" t="str">
        <f t="shared" si="26"/>
        <v>Bakery</v>
      </c>
      <c r="E1693" t="s">
        <v>22</v>
      </c>
      <c r="F1693" s="2">
        <v>4</v>
      </c>
      <c r="G1693" s="3">
        <v>21</v>
      </c>
      <c r="H1693" s="3">
        <f>grocery_chain_data[[#This Row],[Quantity]]*grocery_chain_data[[#This Row],[Unit Price]]</f>
        <v>84</v>
      </c>
      <c r="I1693" s="3">
        <v>12</v>
      </c>
      <c r="J1693" s="3">
        <f>grocery_chain_data[[#This Row],[Total Amount]]-grocery_chain_data[[#This Row],[Discount Amount]]</f>
        <v>72</v>
      </c>
      <c r="K1693">
        <v>48</v>
      </c>
      <c r="L1693" t="str">
        <f>IF(grocery_chain_data[[#This Row],[Final Amount]]&lt;0,"Return","Sale")</f>
        <v>Sale</v>
      </c>
      <c r="M1693">
        <f>IF(grocery_chain_data[[#This Row],[Final Amount]]&lt;0,0,grocery_chain_data[[#This Row],[Final Amount]])</f>
        <v>72</v>
      </c>
    </row>
    <row r="1694" spans="1:13" x14ac:dyDescent="0.3">
      <c r="A1694">
        <v>9109</v>
      </c>
      <c r="B1694" t="s">
        <v>2</v>
      </c>
      <c r="C1694" s="1">
        <v>45462</v>
      </c>
      <c r="D1694" s="1" t="str">
        <f t="shared" si="26"/>
        <v>Dairy</v>
      </c>
      <c r="E1694" t="s">
        <v>23</v>
      </c>
      <c r="F1694" s="2">
        <v>1</v>
      </c>
      <c r="G1694" s="3">
        <v>23</v>
      </c>
      <c r="H1694" s="3">
        <f>grocery_chain_data[[#This Row],[Quantity]]*grocery_chain_data[[#This Row],[Unit Price]]</f>
        <v>23</v>
      </c>
      <c r="I1694" s="3">
        <v>2</v>
      </c>
      <c r="J1694" s="3">
        <f>grocery_chain_data[[#This Row],[Total Amount]]-grocery_chain_data[[#This Row],[Discount Amount]]</f>
        <v>21</v>
      </c>
      <c r="K1694">
        <v>109</v>
      </c>
      <c r="L1694" t="str">
        <f>IF(grocery_chain_data[[#This Row],[Final Amount]]&lt;0,"Return","Sale")</f>
        <v>Sale</v>
      </c>
      <c r="M1694">
        <f>IF(grocery_chain_data[[#This Row],[Final Amount]]&lt;0,0,grocery_chain_data[[#This Row],[Final Amount]])</f>
        <v>21</v>
      </c>
    </row>
    <row r="1695" spans="1:13" x14ac:dyDescent="0.3">
      <c r="A1695">
        <v>9056</v>
      </c>
      <c r="B1695" t="s">
        <v>2</v>
      </c>
      <c r="C1695" s="1">
        <v>45467</v>
      </c>
      <c r="D1695" s="1" t="str">
        <f t="shared" si="26"/>
        <v>Meat &amp; Seafood</v>
      </c>
      <c r="E1695" t="s">
        <v>26</v>
      </c>
      <c r="F1695" s="2">
        <v>3</v>
      </c>
      <c r="G1695" s="3">
        <v>28</v>
      </c>
      <c r="H1695" s="3">
        <f>grocery_chain_data[[#This Row],[Quantity]]*grocery_chain_data[[#This Row],[Unit Price]]</f>
        <v>84</v>
      </c>
      <c r="I1695" s="3">
        <v>13</v>
      </c>
      <c r="J1695" s="3">
        <f>grocery_chain_data[[#This Row],[Total Amount]]-grocery_chain_data[[#This Row],[Discount Amount]]</f>
        <v>71</v>
      </c>
      <c r="K1695">
        <v>107</v>
      </c>
      <c r="L1695" t="str">
        <f>IF(grocery_chain_data[[#This Row],[Final Amount]]&lt;0,"Return","Sale")</f>
        <v>Sale</v>
      </c>
      <c r="M1695">
        <f>IF(grocery_chain_data[[#This Row],[Final Amount]]&lt;0,0,grocery_chain_data[[#This Row],[Final Amount]])</f>
        <v>71</v>
      </c>
    </row>
    <row r="1696" spans="1:13" x14ac:dyDescent="0.3">
      <c r="A1696">
        <v>8272</v>
      </c>
      <c r="B1696" t="s">
        <v>5</v>
      </c>
      <c r="C1696" s="1">
        <v>45524</v>
      </c>
      <c r="D1696" s="1" t="str">
        <f t="shared" si="26"/>
        <v>Produce</v>
      </c>
      <c r="E1696" t="s">
        <v>14</v>
      </c>
      <c r="F1696" s="2">
        <v>2</v>
      </c>
      <c r="G1696" s="3">
        <v>26</v>
      </c>
      <c r="H1696" s="3">
        <f>grocery_chain_data[[#This Row],[Quantity]]*grocery_chain_data[[#This Row],[Unit Price]]</f>
        <v>52</v>
      </c>
      <c r="I1696" s="3">
        <v>8</v>
      </c>
      <c r="J1696" s="3">
        <f>grocery_chain_data[[#This Row],[Total Amount]]-grocery_chain_data[[#This Row],[Discount Amount]]</f>
        <v>44</v>
      </c>
      <c r="K1696">
        <v>312</v>
      </c>
      <c r="L1696" t="str">
        <f>IF(grocery_chain_data[[#This Row],[Final Amount]]&lt;0,"Return","Sale")</f>
        <v>Sale</v>
      </c>
      <c r="M1696">
        <f>IF(grocery_chain_data[[#This Row],[Final Amount]]&lt;0,0,grocery_chain_data[[#This Row],[Final Amount]])</f>
        <v>44</v>
      </c>
    </row>
    <row r="1697" spans="1:13" x14ac:dyDescent="0.3">
      <c r="A1697">
        <v>3740</v>
      </c>
      <c r="B1697" t="s">
        <v>2</v>
      </c>
      <c r="C1697" s="1">
        <v>45209</v>
      </c>
      <c r="D1697" s="1" t="str">
        <f t="shared" si="26"/>
        <v>Dairy</v>
      </c>
      <c r="E1697" t="s">
        <v>3</v>
      </c>
      <c r="F1697" s="2">
        <v>3</v>
      </c>
      <c r="G1697" s="3">
        <v>8</v>
      </c>
      <c r="H1697" s="3">
        <f>grocery_chain_data[[#This Row],[Quantity]]*grocery_chain_data[[#This Row],[Unit Price]]</f>
        <v>24</v>
      </c>
      <c r="I1697" s="3">
        <v>3</v>
      </c>
      <c r="J1697" s="3">
        <f>grocery_chain_data[[#This Row],[Total Amount]]-grocery_chain_data[[#This Row],[Discount Amount]]</f>
        <v>21</v>
      </c>
      <c r="K1697">
        <v>134</v>
      </c>
      <c r="L1697" t="str">
        <f>IF(grocery_chain_data[[#This Row],[Final Amount]]&lt;0,"Return","Sale")</f>
        <v>Sale</v>
      </c>
      <c r="M1697">
        <f>IF(grocery_chain_data[[#This Row],[Final Amount]]&lt;0,0,grocery_chain_data[[#This Row],[Final Amount]])</f>
        <v>21</v>
      </c>
    </row>
    <row r="1698" spans="1:13" x14ac:dyDescent="0.3">
      <c r="A1698">
        <v>1505</v>
      </c>
      <c r="B1698" t="s">
        <v>16</v>
      </c>
      <c r="C1698" s="1">
        <v>45763</v>
      </c>
      <c r="D1698" s="1" t="str">
        <f t="shared" si="26"/>
        <v>Produce</v>
      </c>
      <c r="E1698" t="s">
        <v>17</v>
      </c>
      <c r="F1698" s="2">
        <v>3</v>
      </c>
      <c r="G1698" s="3">
        <v>22</v>
      </c>
      <c r="H1698" s="3">
        <f>grocery_chain_data[[#This Row],[Quantity]]*grocery_chain_data[[#This Row],[Unit Price]]</f>
        <v>66</v>
      </c>
      <c r="I1698" s="3">
        <v>7</v>
      </c>
      <c r="J1698" s="3">
        <f>grocery_chain_data[[#This Row],[Total Amount]]-grocery_chain_data[[#This Row],[Discount Amount]]</f>
        <v>59</v>
      </c>
      <c r="K1698">
        <v>424</v>
      </c>
      <c r="L1698" t="str">
        <f>IF(grocery_chain_data[[#This Row],[Final Amount]]&lt;0,"Return","Sale")</f>
        <v>Sale</v>
      </c>
      <c r="M1698">
        <f>IF(grocery_chain_data[[#This Row],[Final Amount]]&lt;0,0,grocery_chain_data[[#This Row],[Final Amount]])</f>
        <v>59</v>
      </c>
    </row>
    <row r="1699" spans="1:13" x14ac:dyDescent="0.3">
      <c r="A1699">
        <v>4613</v>
      </c>
      <c r="B1699" t="s">
        <v>12</v>
      </c>
      <c r="C1699" s="1">
        <v>45371</v>
      </c>
      <c r="D1699" s="1" t="str">
        <f t="shared" si="26"/>
        <v>Produce</v>
      </c>
      <c r="E1699" t="s">
        <v>14</v>
      </c>
      <c r="F1699" s="2">
        <v>4</v>
      </c>
      <c r="G1699" s="3">
        <v>1</v>
      </c>
      <c r="H1699" s="3">
        <f>grocery_chain_data[[#This Row],[Quantity]]*grocery_chain_data[[#This Row],[Unit Price]]</f>
        <v>4</v>
      </c>
      <c r="I1699" s="3">
        <v>5</v>
      </c>
      <c r="J1699" s="3">
        <f>grocery_chain_data[[#This Row],[Total Amount]]-grocery_chain_data[[#This Row],[Discount Amount]]</f>
        <v>-1</v>
      </c>
      <c r="K1699">
        <v>481</v>
      </c>
      <c r="L1699" t="str">
        <f>IF(grocery_chain_data[[#This Row],[Final Amount]]&lt;0,"Return","Sale")</f>
        <v>Return</v>
      </c>
      <c r="M1699">
        <f>IF(grocery_chain_data[[#This Row],[Final Amount]]&lt;0,0,grocery_chain_data[[#This Row],[Final Amount]])</f>
        <v>0</v>
      </c>
    </row>
    <row r="1700" spans="1:13" x14ac:dyDescent="0.3">
      <c r="A1700">
        <v>1535</v>
      </c>
      <c r="B1700" t="s">
        <v>16</v>
      </c>
      <c r="C1700" s="1">
        <v>45358</v>
      </c>
      <c r="D1700" s="1" t="str">
        <f t="shared" si="26"/>
        <v>Dairy</v>
      </c>
      <c r="E1700" t="s">
        <v>20</v>
      </c>
      <c r="F1700" s="2">
        <v>4</v>
      </c>
      <c r="G1700" s="3">
        <v>23</v>
      </c>
      <c r="H1700" s="3">
        <f>grocery_chain_data[[#This Row],[Quantity]]*grocery_chain_data[[#This Row],[Unit Price]]</f>
        <v>92</v>
      </c>
      <c r="I1700" s="3">
        <v>19</v>
      </c>
      <c r="J1700" s="3">
        <f>grocery_chain_data[[#This Row],[Total Amount]]-grocery_chain_data[[#This Row],[Discount Amount]]</f>
        <v>73</v>
      </c>
      <c r="K1700">
        <v>9</v>
      </c>
      <c r="L1700" t="str">
        <f>IF(grocery_chain_data[[#This Row],[Final Amount]]&lt;0,"Return","Sale")</f>
        <v>Sale</v>
      </c>
      <c r="M1700">
        <f>IF(grocery_chain_data[[#This Row],[Final Amount]]&lt;0,0,grocery_chain_data[[#This Row],[Final Amount]])</f>
        <v>73</v>
      </c>
    </row>
    <row r="1701" spans="1:13" x14ac:dyDescent="0.3">
      <c r="A1701">
        <v>4683</v>
      </c>
      <c r="B1701" t="s">
        <v>12</v>
      </c>
      <c r="C1701" s="1">
        <v>45562</v>
      </c>
      <c r="D1701" s="1" t="str">
        <f t="shared" si="26"/>
        <v>Beverages</v>
      </c>
      <c r="E1701" t="s">
        <v>7</v>
      </c>
      <c r="F1701" s="2">
        <v>1</v>
      </c>
      <c r="G1701" s="3">
        <v>10</v>
      </c>
      <c r="H1701" s="3">
        <f>grocery_chain_data[[#This Row],[Quantity]]*grocery_chain_data[[#This Row],[Unit Price]]</f>
        <v>10</v>
      </c>
      <c r="I1701" s="3">
        <v>2</v>
      </c>
      <c r="J1701" s="3">
        <f>grocery_chain_data[[#This Row],[Total Amount]]-grocery_chain_data[[#This Row],[Discount Amount]]</f>
        <v>8</v>
      </c>
      <c r="K1701">
        <v>404</v>
      </c>
      <c r="L1701" t="str">
        <f>IF(grocery_chain_data[[#This Row],[Final Amount]]&lt;0,"Return","Sale")</f>
        <v>Sale</v>
      </c>
      <c r="M1701">
        <f>IF(grocery_chain_data[[#This Row],[Final Amount]]&lt;0,0,grocery_chain_data[[#This Row],[Final Amount]])</f>
        <v>8</v>
      </c>
    </row>
    <row r="1702" spans="1:13" x14ac:dyDescent="0.3">
      <c r="A1702">
        <v>5729</v>
      </c>
      <c r="B1702" t="s">
        <v>2</v>
      </c>
      <c r="C1702" s="1">
        <v>45275</v>
      </c>
      <c r="D1702" s="1" t="str">
        <f t="shared" si="26"/>
        <v>Dairy</v>
      </c>
      <c r="E1702" t="s">
        <v>23</v>
      </c>
      <c r="F1702" s="2">
        <v>2</v>
      </c>
      <c r="G1702" s="3">
        <v>19</v>
      </c>
      <c r="H1702" s="3">
        <f>grocery_chain_data[[#This Row],[Quantity]]*grocery_chain_data[[#This Row],[Unit Price]]</f>
        <v>38</v>
      </c>
      <c r="I1702" s="3">
        <v>1</v>
      </c>
      <c r="J1702" s="3">
        <f>grocery_chain_data[[#This Row],[Total Amount]]-grocery_chain_data[[#This Row],[Discount Amount]]</f>
        <v>37</v>
      </c>
      <c r="K1702">
        <v>225</v>
      </c>
      <c r="L1702" t="str">
        <f>IF(grocery_chain_data[[#This Row],[Final Amount]]&lt;0,"Return","Sale")</f>
        <v>Sale</v>
      </c>
      <c r="M1702">
        <f>IF(grocery_chain_data[[#This Row],[Final Amount]]&lt;0,0,grocery_chain_data[[#This Row],[Final Amount]])</f>
        <v>37</v>
      </c>
    </row>
    <row r="1703" spans="1:13" x14ac:dyDescent="0.3">
      <c r="A1703">
        <v>8492</v>
      </c>
      <c r="B1703" t="s">
        <v>5</v>
      </c>
      <c r="C1703" s="1">
        <v>45584</v>
      </c>
      <c r="D1703" s="1" t="str">
        <f t="shared" si="26"/>
        <v>Produce</v>
      </c>
      <c r="E1703" t="s">
        <v>25</v>
      </c>
      <c r="F1703" s="2">
        <v>5</v>
      </c>
      <c r="G1703" s="3">
        <v>15</v>
      </c>
      <c r="H1703" s="3">
        <f>grocery_chain_data[[#This Row],[Quantity]]*grocery_chain_data[[#This Row],[Unit Price]]</f>
        <v>75</v>
      </c>
      <c r="I1703" s="3">
        <v>0</v>
      </c>
      <c r="J1703" s="3">
        <f>grocery_chain_data[[#This Row],[Total Amount]]-grocery_chain_data[[#This Row],[Discount Amount]]</f>
        <v>75</v>
      </c>
      <c r="K1703">
        <v>497</v>
      </c>
      <c r="L1703" t="str">
        <f>IF(grocery_chain_data[[#This Row],[Final Amount]]&lt;0,"Return","Sale")</f>
        <v>Sale</v>
      </c>
      <c r="M1703">
        <f>IF(grocery_chain_data[[#This Row],[Final Amount]]&lt;0,0,grocery_chain_data[[#This Row],[Final Amount]])</f>
        <v>75</v>
      </c>
    </row>
    <row r="1704" spans="1:13" x14ac:dyDescent="0.3">
      <c r="A1704">
        <v>9115</v>
      </c>
      <c r="B1704" t="s">
        <v>8</v>
      </c>
      <c r="C1704" s="1">
        <v>45571</v>
      </c>
      <c r="D1704" s="1" t="str">
        <f t="shared" si="26"/>
        <v>Meat &amp; Seafood</v>
      </c>
      <c r="E1704" t="s">
        <v>9</v>
      </c>
      <c r="F1704" s="2">
        <v>3</v>
      </c>
      <c r="G1704" s="3">
        <v>30</v>
      </c>
      <c r="H1704" s="3">
        <f>grocery_chain_data[[#This Row],[Quantity]]*grocery_chain_data[[#This Row],[Unit Price]]</f>
        <v>90</v>
      </c>
      <c r="I1704" s="3">
        <v>1</v>
      </c>
      <c r="J1704" s="3">
        <f>grocery_chain_data[[#This Row],[Total Amount]]-grocery_chain_data[[#This Row],[Discount Amount]]</f>
        <v>89</v>
      </c>
      <c r="K1704">
        <v>300</v>
      </c>
      <c r="L1704" t="str">
        <f>IF(grocery_chain_data[[#This Row],[Final Amount]]&lt;0,"Return","Sale")</f>
        <v>Sale</v>
      </c>
      <c r="M1704">
        <f>IF(grocery_chain_data[[#This Row],[Final Amount]]&lt;0,0,grocery_chain_data[[#This Row],[Final Amount]])</f>
        <v>89</v>
      </c>
    </row>
    <row r="1705" spans="1:13" x14ac:dyDescent="0.3">
      <c r="A1705">
        <v>9369</v>
      </c>
      <c r="B1705" t="s">
        <v>16</v>
      </c>
      <c r="C1705" s="1">
        <v>45232</v>
      </c>
      <c r="D1705" s="1" t="str">
        <f t="shared" si="26"/>
        <v>Produce</v>
      </c>
      <c r="E1705" t="s">
        <v>4</v>
      </c>
      <c r="F1705" s="2">
        <v>3</v>
      </c>
      <c r="G1705" s="3">
        <v>14</v>
      </c>
      <c r="H1705" s="3">
        <f>grocery_chain_data[[#This Row],[Quantity]]*grocery_chain_data[[#This Row],[Unit Price]]</f>
        <v>42</v>
      </c>
      <c r="I1705" s="3">
        <v>4</v>
      </c>
      <c r="J1705" s="3">
        <f>grocery_chain_data[[#This Row],[Total Amount]]-grocery_chain_data[[#This Row],[Discount Amount]]</f>
        <v>38</v>
      </c>
      <c r="K1705">
        <v>145</v>
      </c>
      <c r="L1705" t="str">
        <f>IF(grocery_chain_data[[#This Row],[Final Amount]]&lt;0,"Return","Sale")</f>
        <v>Sale</v>
      </c>
      <c r="M1705">
        <f>IF(grocery_chain_data[[#This Row],[Final Amount]]&lt;0,0,grocery_chain_data[[#This Row],[Final Amount]])</f>
        <v>38</v>
      </c>
    </row>
    <row r="1706" spans="1:13" x14ac:dyDescent="0.3">
      <c r="A1706">
        <v>2871</v>
      </c>
      <c r="B1706" t="s">
        <v>5</v>
      </c>
      <c r="C1706" s="1">
        <v>45353</v>
      </c>
      <c r="D1706" s="1" t="str">
        <f t="shared" si="26"/>
        <v>Pantry</v>
      </c>
      <c r="E1706" t="s">
        <v>6</v>
      </c>
      <c r="F1706" s="2">
        <v>4</v>
      </c>
      <c r="G1706" s="3">
        <v>25</v>
      </c>
      <c r="H1706" s="3">
        <f>grocery_chain_data[[#This Row],[Quantity]]*grocery_chain_data[[#This Row],[Unit Price]]</f>
        <v>100</v>
      </c>
      <c r="I1706" s="3">
        <v>2</v>
      </c>
      <c r="J1706" s="3">
        <f>grocery_chain_data[[#This Row],[Total Amount]]-grocery_chain_data[[#This Row],[Discount Amount]]</f>
        <v>98</v>
      </c>
      <c r="K1706">
        <v>447</v>
      </c>
      <c r="L1706" t="str">
        <f>IF(grocery_chain_data[[#This Row],[Final Amount]]&lt;0,"Return","Sale")</f>
        <v>Sale</v>
      </c>
      <c r="M1706">
        <f>IF(grocery_chain_data[[#This Row],[Final Amount]]&lt;0,0,grocery_chain_data[[#This Row],[Final Amount]])</f>
        <v>98</v>
      </c>
    </row>
    <row r="1707" spans="1:13" x14ac:dyDescent="0.3">
      <c r="A1707">
        <v>9898</v>
      </c>
      <c r="B1707" t="s">
        <v>21</v>
      </c>
      <c r="C1707" s="1">
        <v>45784</v>
      </c>
      <c r="D1707" s="1" t="str">
        <f t="shared" si="26"/>
        <v>Bakery</v>
      </c>
      <c r="E1707" t="s">
        <v>22</v>
      </c>
      <c r="F1707" s="2">
        <v>4</v>
      </c>
      <c r="G1707" s="3">
        <v>8</v>
      </c>
      <c r="H1707" s="3">
        <f>grocery_chain_data[[#This Row],[Quantity]]*grocery_chain_data[[#This Row],[Unit Price]]</f>
        <v>32</v>
      </c>
      <c r="I1707" s="3">
        <v>3</v>
      </c>
      <c r="J1707" s="3">
        <f>grocery_chain_data[[#This Row],[Total Amount]]-grocery_chain_data[[#This Row],[Discount Amount]]</f>
        <v>29</v>
      </c>
      <c r="K1707">
        <v>293</v>
      </c>
      <c r="L1707" t="str">
        <f>IF(grocery_chain_data[[#This Row],[Final Amount]]&lt;0,"Return","Sale")</f>
        <v>Sale</v>
      </c>
      <c r="M1707">
        <f>IF(grocery_chain_data[[#This Row],[Final Amount]]&lt;0,0,grocery_chain_data[[#This Row],[Final Amount]])</f>
        <v>29</v>
      </c>
    </row>
    <row r="1708" spans="1:13" x14ac:dyDescent="0.3">
      <c r="A1708">
        <v>7010</v>
      </c>
      <c r="B1708" t="s">
        <v>12</v>
      </c>
      <c r="C1708" s="1">
        <v>45566</v>
      </c>
      <c r="D1708" s="1" t="str">
        <f t="shared" si="26"/>
        <v>Dairy</v>
      </c>
      <c r="E1708" t="s">
        <v>20</v>
      </c>
      <c r="F1708" s="2">
        <v>1</v>
      </c>
      <c r="G1708" s="3">
        <v>26</v>
      </c>
      <c r="H1708" s="3">
        <f>grocery_chain_data[[#This Row],[Quantity]]*grocery_chain_data[[#This Row],[Unit Price]]</f>
        <v>26</v>
      </c>
      <c r="I1708" s="3">
        <v>4</v>
      </c>
      <c r="J1708" s="3">
        <f>grocery_chain_data[[#This Row],[Total Amount]]-grocery_chain_data[[#This Row],[Discount Amount]]</f>
        <v>22</v>
      </c>
      <c r="K1708">
        <v>358</v>
      </c>
      <c r="L1708" t="str">
        <f>IF(grocery_chain_data[[#This Row],[Final Amount]]&lt;0,"Return","Sale")</f>
        <v>Sale</v>
      </c>
      <c r="M1708">
        <f>IF(grocery_chain_data[[#This Row],[Final Amount]]&lt;0,0,grocery_chain_data[[#This Row],[Final Amount]])</f>
        <v>22</v>
      </c>
    </row>
    <row r="1709" spans="1:13" x14ac:dyDescent="0.3">
      <c r="A1709">
        <v>1681</v>
      </c>
      <c r="B1709" t="s">
        <v>10</v>
      </c>
      <c r="C1709" s="1">
        <v>45735</v>
      </c>
      <c r="D1709" s="1" t="str">
        <f t="shared" si="26"/>
        <v>Produce</v>
      </c>
      <c r="E1709" t="s">
        <v>11</v>
      </c>
      <c r="F1709" s="2">
        <v>3</v>
      </c>
      <c r="G1709" s="3">
        <v>15</v>
      </c>
      <c r="H1709" s="3">
        <f>grocery_chain_data[[#This Row],[Quantity]]*grocery_chain_data[[#This Row],[Unit Price]]</f>
        <v>45</v>
      </c>
      <c r="I1709" s="3">
        <v>7</v>
      </c>
      <c r="J1709" s="3">
        <f>grocery_chain_data[[#This Row],[Total Amount]]-grocery_chain_data[[#This Row],[Discount Amount]]</f>
        <v>38</v>
      </c>
      <c r="K1709">
        <v>235</v>
      </c>
      <c r="L1709" t="str">
        <f>IF(grocery_chain_data[[#This Row],[Final Amount]]&lt;0,"Return","Sale")</f>
        <v>Sale</v>
      </c>
      <c r="M1709">
        <f>IF(grocery_chain_data[[#This Row],[Final Amount]]&lt;0,0,grocery_chain_data[[#This Row],[Final Amount]])</f>
        <v>38</v>
      </c>
    </row>
    <row r="1710" spans="1:13" x14ac:dyDescent="0.3">
      <c r="A1710">
        <v>8231</v>
      </c>
      <c r="B1710" t="s">
        <v>21</v>
      </c>
      <c r="C1710" s="1">
        <v>45569</v>
      </c>
      <c r="D1710" s="1" t="str">
        <f t="shared" si="26"/>
        <v>Pantry</v>
      </c>
      <c r="E1710" t="s">
        <v>1</v>
      </c>
      <c r="F1710" s="2">
        <v>3</v>
      </c>
      <c r="G1710" s="3">
        <v>18</v>
      </c>
      <c r="H1710" s="3">
        <f>grocery_chain_data[[#This Row],[Quantity]]*grocery_chain_data[[#This Row],[Unit Price]]</f>
        <v>54</v>
      </c>
      <c r="I1710" s="3">
        <v>11</v>
      </c>
      <c r="J1710" s="3">
        <f>grocery_chain_data[[#This Row],[Total Amount]]-grocery_chain_data[[#This Row],[Discount Amount]]</f>
        <v>43</v>
      </c>
      <c r="K1710">
        <v>477</v>
      </c>
      <c r="L1710" t="str">
        <f>IF(grocery_chain_data[[#This Row],[Final Amount]]&lt;0,"Return","Sale")</f>
        <v>Sale</v>
      </c>
      <c r="M1710">
        <f>IF(grocery_chain_data[[#This Row],[Final Amount]]&lt;0,0,grocery_chain_data[[#This Row],[Final Amount]])</f>
        <v>43</v>
      </c>
    </row>
    <row r="1711" spans="1:13" x14ac:dyDescent="0.3">
      <c r="A1711">
        <v>4580</v>
      </c>
      <c r="B1711" t="s">
        <v>0</v>
      </c>
      <c r="C1711" s="1">
        <v>45475</v>
      </c>
      <c r="D1711" s="1" t="str">
        <f t="shared" si="26"/>
        <v>Dairy</v>
      </c>
      <c r="E1711" t="s">
        <v>3</v>
      </c>
      <c r="F1711" s="2">
        <v>4</v>
      </c>
      <c r="G1711" s="3">
        <v>12</v>
      </c>
      <c r="H1711" s="3">
        <f>grocery_chain_data[[#This Row],[Quantity]]*grocery_chain_data[[#This Row],[Unit Price]]</f>
        <v>48</v>
      </c>
      <c r="I1711" s="3">
        <v>1</v>
      </c>
      <c r="J1711" s="3">
        <f>grocery_chain_data[[#This Row],[Total Amount]]-grocery_chain_data[[#This Row],[Discount Amount]]</f>
        <v>47</v>
      </c>
      <c r="K1711">
        <v>249</v>
      </c>
      <c r="L1711" t="str">
        <f>IF(grocery_chain_data[[#This Row],[Final Amount]]&lt;0,"Return","Sale")</f>
        <v>Sale</v>
      </c>
      <c r="M1711">
        <f>IF(grocery_chain_data[[#This Row],[Final Amount]]&lt;0,0,grocery_chain_data[[#This Row],[Final Amount]])</f>
        <v>47</v>
      </c>
    </row>
    <row r="1712" spans="1:13" x14ac:dyDescent="0.3">
      <c r="A1712">
        <v>2677</v>
      </c>
      <c r="B1712" t="s">
        <v>2</v>
      </c>
      <c r="C1712" s="1">
        <v>45716</v>
      </c>
      <c r="D1712" s="1" t="str">
        <f t="shared" si="26"/>
        <v>Produce</v>
      </c>
      <c r="E1712" t="s">
        <v>18</v>
      </c>
      <c r="F1712" s="2">
        <v>5</v>
      </c>
      <c r="G1712" s="3">
        <v>14</v>
      </c>
      <c r="H1712" s="3">
        <f>grocery_chain_data[[#This Row],[Quantity]]*grocery_chain_data[[#This Row],[Unit Price]]</f>
        <v>70</v>
      </c>
      <c r="I1712" s="3">
        <v>3</v>
      </c>
      <c r="J1712" s="3">
        <f>grocery_chain_data[[#This Row],[Total Amount]]-grocery_chain_data[[#This Row],[Discount Amount]]</f>
        <v>67</v>
      </c>
      <c r="K1712">
        <v>16</v>
      </c>
      <c r="L1712" t="str">
        <f>IF(grocery_chain_data[[#This Row],[Final Amount]]&lt;0,"Return","Sale")</f>
        <v>Sale</v>
      </c>
      <c r="M1712">
        <f>IF(grocery_chain_data[[#This Row],[Final Amount]]&lt;0,0,grocery_chain_data[[#This Row],[Final Amount]])</f>
        <v>67</v>
      </c>
    </row>
    <row r="1713" spans="1:13" x14ac:dyDescent="0.3">
      <c r="A1713">
        <v>5055</v>
      </c>
      <c r="B1713" t="s">
        <v>16</v>
      </c>
      <c r="C1713" s="1">
        <v>45376</v>
      </c>
      <c r="D1713" s="1" t="str">
        <f t="shared" si="26"/>
        <v>Bakery</v>
      </c>
      <c r="E1713" t="s">
        <v>22</v>
      </c>
      <c r="F1713" s="2">
        <v>1</v>
      </c>
      <c r="G1713" s="3">
        <v>17</v>
      </c>
      <c r="H1713" s="3">
        <f>grocery_chain_data[[#This Row],[Quantity]]*grocery_chain_data[[#This Row],[Unit Price]]</f>
        <v>17</v>
      </c>
      <c r="I1713" s="3">
        <v>2</v>
      </c>
      <c r="J1713" s="3">
        <f>grocery_chain_data[[#This Row],[Total Amount]]-grocery_chain_data[[#This Row],[Discount Amount]]</f>
        <v>15</v>
      </c>
      <c r="K1713">
        <v>498</v>
      </c>
      <c r="L1713" t="str">
        <f>IF(grocery_chain_data[[#This Row],[Final Amount]]&lt;0,"Return","Sale")</f>
        <v>Sale</v>
      </c>
      <c r="M1713">
        <f>IF(grocery_chain_data[[#This Row],[Final Amount]]&lt;0,0,grocery_chain_data[[#This Row],[Final Amount]])</f>
        <v>15</v>
      </c>
    </row>
    <row r="1714" spans="1:13" x14ac:dyDescent="0.3">
      <c r="A1714">
        <v>1528</v>
      </c>
      <c r="B1714" t="s">
        <v>2</v>
      </c>
      <c r="C1714" s="1">
        <v>45494</v>
      </c>
      <c r="D1714" s="1" t="str">
        <f t="shared" si="26"/>
        <v>Meat &amp; Seafood</v>
      </c>
      <c r="E1714" t="s">
        <v>15</v>
      </c>
      <c r="F1714" s="2">
        <v>5</v>
      </c>
      <c r="G1714" s="3">
        <v>20</v>
      </c>
      <c r="H1714" s="3">
        <f>grocery_chain_data[[#This Row],[Quantity]]*grocery_chain_data[[#This Row],[Unit Price]]</f>
        <v>100</v>
      </c>
      <c r="I1714" s="3">
        <v>0</v>
      </c>
      <c r="J1714" s="3">
        <f>grocery_chain_data[[#This Row],[Total Amount]]-grocery_chain_data[[#This Row],[Discount Amount]]</f>
        <v>100</v>
      </c>
      <c r="K1714">
        <v>97</v>
      </c>
      <c r="L1714" t="str">
        <f>IF(grocery_chain_data[[#This Row],[Final Amount]]&lt;0,"Return","Sale")</f>
        <v>Sale</v>
      </c>
      <c r="M1714">
        <f>IF(grocery_chain_data[[#This Row],[Final Amount]]&lt;0,0,grocery_chain_data[[#This Row],[Final Amount]])</f>
        <v>100</v>
      </c>
    </row>
    <row r="1715" spans="1:13" x14ac:dyDescent="0.3">
      <c r="A1715">
        <v>5305</v>
      </c>
      <c r="B1715" t="s">
        <v>8</v>
      </c>
      <c r="C1715" s="1">
        <v>45415</v>
      </c>
      <c r="D1715" s="1" t="str">
        <f t="shared" si="26"/>
        <v>Meat &amp; Seafood</v>
      </c>
      <c r="E1715" t="s">
        <v>15</v>
      </c>
      <c r="F1715" s="2">
        <v>4</v>
      </c>
      <c r="G1715" s="3">
        <v>27</v>
      </c>
      <c r="H1715" s="3">
        <f>grocery_chain_data[[#This Row],[Quantity]]*grocery_chain_data[[#This Row],[Unit Price]]</f>
        <v>108</v>
      </c>
      <c r="I1715" s="3">
        <v>0</v>
      </c>
      <c r="J1715" s="3">
        <f>grocery_chain_data[[#This Row],[Total Amount]]-grocery_chain_data[[#This Row],[Discount Amount]]</f>
        <v>108</v>
      </c>
      <c r="K1715">
        <v>378</v>
      </c>
      <c r="L1715" t="str">
        <f>IF(grocery_chain_data[[#This Row],[Final Amount]]&lt;0,"Return","Sale")</f>
        <v>Sale</v>
      </c>
      <c r="M1715">
        <f>IF(grocery_chain_data[[#This Row],[Final Amount]]&lt;0,0,grocery_chain_data[[#This Row],[Final Amount]])</f>
        <v>108</v>
      </c>
    </row>
    <row r="1716" spans="1:13" x14ac:dyDescent="0.3">
      <c r="A1716">
        <v>2425</v>
      </c>
      <c r="B1716" t="s">
        <v>16</v>
      </c>
      <c r="C1716" s="1">
        <v>45486</v>
      </c>
      <c r="D1716" s="1" t="str">
        <f t="shared" si="26"/>
        <v>Produce</v>
      </c>
      <c r="E1716" t="s">
        <v>11</v>
      </c>
      <c r="F1716" s="2">
        <v>5</v>
      </c>
      <c r="G1716" s="3">
        <v>11</v>
      </c>
      <c r="H1716" s="3">
        <f>grocery_chain_data[[#This Row],[Quantity]]*grocery_chain_data[[#This Row],[Unit Price]]</f>
        <v>55</v>
      </c>
      <c r="I1716" s="3">
        <v>3</v>
      </c>
      <c r="J1716" s="3">
        <f>grocery_chain_data[[#This Row],[Total Amount]]-grocery_chain_data[[#This Row],[Discount Amount]]</f>
        <v>52</v>
      </c>
      <c r="K1716">
        <v>270</v>
      </c>
      <c r="L1716" t="str">
        <f>IF(grocery_chain_data[[#This Row],[Final Amount]]&lt;0,"Return","Sale")</f>
        <v>Sale</v>
      </c>
      <c r="M1716">
        <f>IF(grocery_chain_data[[#This Row],[Final Amount]]&lt;0,0,grocery_chain_data[[#This Row],[Final Amount]])</f>
        <v>52</v>
      </c>
    </row>
    <row r="1717" spans="1:13" x14ac:dyDescent="0.3">
      <c r="A1717">
        <v>2923</v>
      </c>
      <c r="B1717" t="s">
        <v>12</v>
      </c>
      <c r="C1717" s="1">
        <v>45747</v>
      </c>
      <c r="D1717" s="1" t="str">
        <f t="shared" si="26"/>
        <v>Produce</v>
      </c>
      <c r="E1717" t="s">
        <v>14</v>
      </c>
      <c r="F1717" s="2">
        <v>1</v>
      </c>
      <c r="G1717" s="3">
        <v>1</v>
      </c>
      <c r="H1717" s="3">
        <f>grocery_chain_data[[#This Row],[Quantity]]*grocery_chain_data[[#This Row],[Unit Price]]</f>
        <v>1</v>
      </c>
      <c r="I1717" s="3">
        <v>0</v>
      </c>
      <c r="J1717" s="3">
        <f>grocery_chain_data[[#This Row],[Total Amount]]-grocery_chain_data[[#This Row],[Discount Amount]]</f>
        <v>1</v>
      </c>
      <c r="K1717">
        <v>165</v>
      </c>
      <c r="L1717" t="str">
        <f>IF(grocery_chain_data[[#This Row],[Final Amount]]&lt;0,"Return","Sale")</f>
        <v>Sale</v>
      </c>
      <c r="M1717">
        <f>IF(grocery_chain_data[[#This Row],[Final Amount]]&lt;0,0,grocery_chain_data[[#This Row],[Final Amount]])</f>
        <v>1</v>
      </c>
    </row>
    <row r="1718" spans="1:13" x14ac:dyDescent="0.3">
      <c r="A1718">
        <v>4882</v>
      </c>
      <c r="B1718" t="s">
        <v>12</v>
      </c>
      <c r="C1718" s="1">
        <v>45308</v>
      </c>
      <c r="D1718" s="1" t="str">
        <f t="shared" si="26"/>
        <v>Pantry</v>
      </c>
      <c r="E1718" t="s">
        <v>6</v>
      </c>
      <c r="F1718" s="2">
        <v>5</v>
      </c>
      <c r="G1718" s="3">
        <v>14</v>
      </c>
      <c r="H1718" s="3">
        <f>grocery_chain_data[[#This Row],[Quantity]]*grocery_chain_data[[#This Row],[Unit Price]]</f>
        <v>70</v>
      </c>
      <c r="I1718" s="3">
        <v>5</v>
      </c>
      <c r="J1718" s="3">
        <f>grocery_chain_data[[#This Row],[Total Amount]]-grocery_chain_data[[#This Row],[Discount Amount]]</f>
        <v>65</v>
      </c>
      <c r="K1718">
        <v>340</v>
      </c>
      <c r="L1718" t="str">
        <f>IF(grocery_chain_data[[#This Row],[Final Amount]]&lt;0,"Return","Sale")</f>
        <v>Sale</v>
      </c>
      <c r="M1718">
        <f>IF(grocery_chain_data[[#This Row],[Final Amount]]&lt;0,0,grocery_chain_data[[#This Row],[Final Amount]])</f>
        <v>65</v>
      </c>
    </row>
    <row r="1719" spans="1:13" x14ac:dyDescent="0.3">
      <c r="A1719">
        <v>6744</v>
      </c>
      <c r="B1719" t="s">
        <v>5</v>
      </c>
      <c r="C1719" s="1">
        <v>45813</v>
      </c>
      <c r="D1719" s="1" t="str">
        <f t="shared" si="26"/>
        <v>Dairy</v>
      </c>
      <c r="E1719" t="s">
        <v>20</v>
      </c>
      <c r="F1719" s="2">
        <v>2</v>
      </c>
      <c r="G1719" s="3">
        <v>10</v>
      </c>
      <c r="H1719" s="3">
        <f>grocery_chain_data[[#This Row],[Quantity]]*grocery_chain_data[[#This Row],[Unit Price]]</f>
        <v>20</v>
      </c>
      <c r="I1719" s="3">
        <v>3</v>
      </c>
      <c r="J1719" s="3">
        <f>grocery_chain_data[[#This Row],[Total Amount]]-grocery_chain_data[[#This Row],[Discount Amount]]</f>
        <v>17</v>
      </c>
      <c r="K1719">
        <v>51</v>
      </c>
      <c r="L1719" t="str">
        <f>IF(grocery_chain_data[[#This Row],[Final Amount]]&lt;0,"Return","Sale")</f>
        <v>Sale</v>
      </c>
      <c r="M1719">
        <f>IF(grocery_chain_data[[#This Row],[Final Amount]]&lt;0,0,grocery_chain_data[[#This Row],[Final Amount]])</f>
        <v>17</v>
      </c>
    </row>
    <row r="1720" spans="1:13" x14ac:dyDescent="0.3">
      <c r="A1720">
        <v>8015</v>
      </c>
      <c r="B1720" t="s">
        <v>13</v>
      </c>
      <c r="C1720" s="1">
        <v>45273</v>
      </c>
      <c r="D1720" s="1" t="str">
        <f t="shared" si="26"/>
        <v>Produce</v>
      </c>
      <c r="E1720" t="s">
        <v>4</v>
      </c>
      <c r="F1720" s="2">
        <v>3</v>
      </c>
      <c r="G1720" s="3">
        <v>29</v>
      </c>
      <c r="H1720" s="3">
        <f>grocery_chain_data[[#This Row],[Quantity]]*grocery_chain_data[[#This Row],[Unit Price]]</f>
        <v>87</v>
      </c>
      <c r="I1720" s="3">
        <v>17</v>
      </c>
      <c r="J1720" s="3">
        <f>grocery_chain_data[[#This Row],[Total Amount]]-grocery_chain_data[[#This Row],[Discount Amount]]</f>
        <v>70</v>
      </c>
      <c r="K1720">
        <v>167</v>
      </c>
      <c r="L1720" t="str">
        <f>IF(grocery_chain_data[[#This Row],[Final Amount]]&lt;0,"Return","Sale")</f>
        <v>Sale</v>
      </c>
      <c r="M1720">
        <f>IF(grocery_chain_data[[#This Row],[Final Amount]]&lt;0,0,grocery_chain_data[[#This Row],[Final Amount]])</f>
        <v>70</v>
      </c>
    </row>
    <row r="1721" spans="1:13" x14ac:dyDescent="0.3">
      <c r="A1721">
        <v>3281</v>
      </c>
      <c r="B1721" t="s">
        <v>21</v>
      </c>
      <c r="C1721" s="1">
        <v>45754</v>
      </c>
      <c r="D1721" s="1" t="str">
        <f t="shared" si="26"/>
        <v>Produce</v>
      </c>
      <c r="E1721" t="s">
        <v>17</v>
      </c>
      <c r="F1721" s="2">
        <v>2</v>
      </c>
      <c r="G1721" s="3">
        <v>13</v>
      </c>
      <c r="H1721" s="3">
        <f>grocery_chain_data[[#This Row],[Quantity]]*grocery_chain_data[[#This Row],[Unit Price]]</f>
        <v>26</v>
      </c>
      <c r="I1721" s="3">
        <v>5</v>
      </c>
      <c r="J1721" s="3">
        <f>grocery_chain_data[[#This Row],[Total Amount]]-grocery_chain_data[[#This Row],[Discount Amount]]</f>
        <v>21</v>
      </c>
      <c r="K1721">
        <v>138</v>
      </c>
      <c r="L1721" t="str">
        <f>IF(grocery_chain_data[[#This Row],[Final Amount]]&lt;0,"Return","Sale")</f>
        <v>Sale</v>
      </c>
      <c r="M1721">
        <f>IF(grocery_chain_data[[#This Row],[Final Amount]]&lt;0,0,grocery_chain_data[[#This Row],[Final Amount]])</f>
        <v>21</v>
      </c>
    </row>
    <row r="1722" spans="1:13" x14ac:dyDescent="0.3">
      <c r="A1722">
        <v>4385</v>
      </c>
      <c r="B1722" t="s">
        <v>16</v>
      </c>
      <c r="C1722" s="1">
        <v>45776</v>
      </c>
      <c r="D1722" s="1" t="str">
        <f t="shared" si="26"/>
        <v>Dairy</v>
      </c>
      <c r="E1722" t="s">
        <v>20</v>
      </c>
      <c r="F1722" s="2">
        <v>4</v>
      </c>
      <c r="G1722" s="3">
        <v>5</v>
      </c>
      <c r="H1722" s="3">
        <f>grocery_chain_data[[#This Row],[Quantity]]*grocery_chain_data[[#This Row],[Unit Price]]</f>
        <v>20</v>
      </c>
      <c r="I1722" s="3">
        <v>3</v>
      </c>
      <c r="J1722" s="3">
        <f>grocery_chain_data[[#This Row],[Total Amount]]-grocery_chain_data[[#This Row],[Discount Amount]]</f>
        <v>17</v>
      </c>
      <c r="K1722">
        <v>485</v>
      </c>
      <c r="L1722" t="str">
        <f>IF(grocery_chain_data[[#This Row],[Final Amount]]&lt;0,"Return","Sale")</f>
        <v>Sale</v>
      </c>
      <c r="M1722">
        <f>IF(grocery_chain_data[[#This Row],[Final Amount]]&lt;0,0,grocery_chain_data[[#This Row],[Final Amount]])</f>
        <v>17</v>
      </c>
    </row>
    <row r="1723" spans="1:13" x14ac:dyDescent="0.3">
      <c r="A1723">
        <v>4390</v>
      </c>
      <c r="B1723" t="s">
        <v>21</v>
      </c>
      <c r="C1723" s="1">
        <v>45770</v>
      </c>
      <c r="D1723" s="1" t="str">
        <f t="shared" si="26"/>
        <v>Dairy</v>
      </c>
      <c r="E1723" t="s">
        <v>19</v>
      </c>
      <c r="F1723" s="2">
        <v>4</v>
      </c>
      <c r="G1723" s="3">
        <v>14</v>
      </c>
      <c r="H1723" s="3">
        <f>grocery_chain_data[[#This Row],[Quantity]]*grocery_chain_data[[#This Row],[Unit Price]]</f>
        <v>56</v>
      </c>
      <c r="I1723" s="3">
        <v>5</v>
      </c>
      <c r="J1723" s="3">
        <f>grocery_chain_data[[#This Row],[Total Amount]]-grocery_chain_data[[#This Row],[Discount Amount]]</f>
        <v>51</v>
      </c>
      <c r="K1723">
        <v>101</v>
      </c>
      <c r="L1723" t="str">
        <f>IF(grocery_chain_data[[#This Row],[Final Amount]]&lt;0,"Return","Sale")</f>
        <v>Sale</v>
      </c>
      <c r="M1723">
        <f>IF(grocery_chain_data[[#This Row],[Final Amount]]&lt;0,0,grocery_chain_data[[#This Row],[Final Amount]])</f>
        <v>51</v>
      </c>
    </row>
    <row r="1724" spans="1:13" x14ac:dyDescent="0.3">
      <c r="A1724">
        <v>1972</v>
      </c>
      <c r="B1724" t="s">
        <v>0</v>
      </c>
      <c r="C1724" s="1">
        <v>45587</v>
      </c>
      <c r="D1724" s="1" t="str">
        <f t="shared" si="26"/>
        <v>Produce</v>
      </c>
      <c r="E1724" t="s">
        <v>11</v>
      </c>
      <c r="F1724" s="2">
        <v>5</v>
      </c>
      <c r="G1724" s="3">
        <v>27</v>
      </c>
      <c r="H1724" s="3">
        <f>grocery_chain_data[[#This Row],[Quantity]]*grocery_chain_data[[#This Row],[Unit Price]]</f>
        <v>135</v>
      </c>
      <c r="I1724" s="3">
        <v>27</v>
      </c>
      <c r="J1724" s="3">
        <f>grocery_chain_data[[#This Row],[Total Amount]]-grocery_chain_data[[#This Row],[Discount Amount]]</f>
        <v>108</v>
      </c>
      <c r="K1724">
        <v>370</v>
      </c>
      <c r="L1724" t="str">
        <f>IF(grocery_chain_data[[#This Row],[Final Amount]]&lt;0,"Return","Sale")</f>
        <v>Sale</v>
      </c>
      <c r="M1724">
        <f>IF(grocery_chain_data[[#This Row],[Final Amount]]&lt;0,0,grocery_chain_data[[#This Row],[Final Amount]])</f>
        <v>108</v>
      </c>
    </row>
    <row r="1725" spans="1:13" x14ac:dyDescent="0.3">
      <c r="A1725">
        <v>6747</v>
      </c>
      <c r="B1725" t="s">
        <v>21</v>
      </c>
      <c r="C1725" s="1">
        <v>45558</v>
      </c>
      <c r="D1725" s="1" t="str">
        <f t="shared" si="26"/>
        <v>Produce</v>
      </c>
      <c r="E1725" t="s">
        <v>25</v>
      </c>
      <c r="F1725" s="2">
        <v>5</v>
      </c>
      <c r="G1725" s="3">
        <v>11</v>
      </c>
      <c r="H1725" s="3">
        <f>grocery_chain_data[[#This Row],[Quantity]]*grocery_chain_data[[#This Row],[Unit Price]]</f>
        <v>55</v>
      </c>
      <c r="I1725" s="3">
        <v>11</v>
      </c>
      <c r="J1725" s="3">
        <f>grocery_chain_data[[#This Row],[Total Amount]]-grocery_chain_data[[#This Row],[Discount Amount]]</f>
        <v>44</v>
      </c>
      <c r="K1725">
        <v>162</v>
      </c>
      <c r="L1725" t="str">
        <f>IF(grocery_chain_data[[#This Row],[Final Amount]]&lt;0,"Return","Sale")</f>
        <v>Sale</v>
      </c>
      <c r="M1725">
        <f>IF(grocery_chain_data[[#This Row],[Final Amount]]&lt;0,0,grocery_chain_data[[#This Row],[Final Amount]])</f>
        <v>44</v>
      </c>
    </row>
    <row r="1726" spans="1:13" x14ac:dyDescent="0.3">
      <c r="A1726">
        <v>5605</v>
      </c>
      <c r="B1726" t="s">
        <v>21</v>
      </c>
      <c r="C1726" s="1">
        <v>45608</v>
      </c>
      <c r="D1726" s="1" t="str">
        <f t="shared" si="26"/>
        <v>Produce</v>
      </c>
      <c r="E1726" t="s">
        <v>24</v>
      </c>
      <c r="F1726" s="2">
        <v>3</v>
      </c>
      <c r="G1726" s="3">
        <v>15</v>
      </c>
      <c r="H1726" s="3">
        <f>grocery_chain_data[[#This Row],[Quantity]]*grocery_chain_data[[#This Row],[Unit Price]]</f>
        <v>45</v>
      </c>
      <c r="I1726" s="3">
        <v>4</v>
      </c>
      <c r="J1726" s="3">
        <f>grocery_chain_data[[#This Row],[Total Amount]]-grocery_chain_data[[#This Row],[Discount Amount]]</f>
        <v>41</v>
      </c>
      <c r="K1726">
        <v>260</v>
      </c>
      <c r="L1726" t="str">
        <f>IF(grocery_chain_data[[#This Row],[Final Amount]]&lt;0,"Return","Sale")</f>
        <v>Sale</v>
      </c>
      <c r="M1726">
        <f>IF(grocery_chain_data[[#This Row],[Final Amount]]&lt;0,0,grocery_chain_data[[#This Row],[Final Amount]])</f>
        <v>41</v>
      </c>
    </row>
    <row r="1727" spans="1:13" x14ac:dyDescent="0.3">
      <c r="A1727">
        <v>9827</v>
      </c>
      <c r="B1727" t="s">
        <v>13</v>
      </c>
      <c r="C1727" s="1">
        <v>45275</v>
      </c>
      <c r="D1727" s="1" t="str">
        <f t="shared" si="26"/>
        <v>Produce</v>
      </c>
      <c r="E1727" t="s">
        <v>14</v>
      </c>
      <c r="F1727" s="2">
        <v>4</v>
      </c>
      <c r="G1727" s="3">
        <v>13</v>
      </c>
      <c r="H1727" s="3">
        <f>grocery_chain_data[[#This Row],[Quantity]]*grocery_chain_data[[#This Row],[Unit Price]]</f>
        <v>52</v>
      </c>
      <c r="I1727" s="3">
        <v>8</v>
      </c>
      <c r="J1727" s="3">
        <f>grocery_chain_data[[#This Row],[Total Amount]]-grocery_chain_data[[#This Row],[Discount Amount]]</f>
        <v>44</v>
      </c>
      <c r="K1727">
        <v>439</v>
      </c>
      <c r="L1727" t="str">
        <f>IF(grocery_chain_data[[#This Row],[Final Amount]]&lt;0,"Return","Sale")</f>
        <v>Sale</v>
      </c>
      <c r="M1727">
        <f>IF(grocery_chain_data[[#This Row],[Final Amount]]&lt;0,0,grocery_chain_data[[#This Row],[Final Amount]])</f>
        <v>44</v>
      </c>
    </row>
    <row r="1728" spans="1:13" x14ac:dyDescent="0.3">
      <c r="A1728">
        <v>6302</v>
      </c>
      <c r="B1728" t="s">
        <v>16</v>
      </c>
      <c r="C1728" s="1">
        <v>45691</v>
      </c>
      <c r="D1728" s="1" t="str">
        <f t="shared" si="26"/>
        <v>Bakery</v>
      </c>
      <c r="E1728" t="s">
        <v>22</v>
      </c>
      <c r="F1728" s="2">
        <v>4</v>
      </c>
      <c r="G1728" s="3">
        <v>28</v>
      </c>
      <c r="H1728" s="3">
        <f>grocery_chain_data[[#This Row],[Quantity]]*grocery_chain_data[[#This Row],[Unit Price]]</f>
        <v>112</v>
      </c>
      <c r="I1728" s="3">
        <v>23</v>
      </c>
      <c r="J1728" s="3">
        <f>grocery_chain_data[[#This Row],[Total Amount]]-grocery_chain_data[[#This Row],[Discount Amount]]</f>
        <v>89</v>
      </c>
      <c r="K1728">
        <v>333</v>
      </c>
      <c r="L1728" t="str">
        <f>IF(grocery_chain_data[[#This Row],[Final Amount]]&lt;0,"Return","Sale")</f>
        <v>Sale</v>
      </c>
      <c r="M1728">
        <f>IF(grocery_chain_data[[#This Row],[Final Amount]]&lt;0,0,grocery_chain_data[[#This Row],[Final Amount]])</f>
        <v>89</v>
      </c>
    </row>
    <row r="1729" spans="1:13" x14ac:dyDescent="0.3">
      <c r="A1729">
        <v>5794</v>
      </c>
      <c r="B1729" t="s">
        <v>0</v>
      </c>
      <c r="C1729" s="1">
        <v>45369</v>
      </c>
      <c r="D1729" s="1" t="str">
        <f t="shared" si="26"/>
        <v>Produce</v>
      </c>
      <c r="E1729" t="s">
        <v>14</v>
      </c>
      <c r="F1729" s="2">
        <v>4</v>
      </c>
      <c r="G1729" s="3">
        <v>1</v>
      </c>
      <c r="H1729" s="3">
        <f>grocery_chain_data[[#This Row],[Quantity]]*grocery_chain_data[[#This Row],[Unit Price]]</f>
        <v>4</v>
      </c>
      <c r="I1729" s="3">
        <v>0</v>
      </c>
      <c r="J1729" s="3">
        <f>grocery_chain_data[[#This Row],[Total Amount]]-grocery_chain_data[[#This Row],[Discount Amount]]</f>
        <v>4</v>
      </c>
      <c r="K1729">
        <v>493</v>
      </c>
      <c r="L1729" t="str">
        <f>IF(grocery_chain_data[[#This Row],[Final Amount]]&lt;0,"Return","Sale")</f>
        <v>Sale</v>
      </c>
      <c r="M1729">
        <f>IF(grocery_chain_data[[#This Row],[Final Amount]]&lt;0,0,grocery_chain_data[[#This Row],[Final Amount]])</f>
        <v>4</v>
      </c>
    </row>
    <row r="1730" spans="1:13" x14ac:dyDescent="0.3">
      <c r="A1730">
        <v>5380</v>
      </c>
      <c r="B1730" t="s">
        <v>16</v>
      </c>
      <c r="C1730" s="1">
        <v>45811</v>
      </c>
      <c r="D1730" s="1" t="str">
        <f t="shared" ref="D1730:D1793" si="27">IF(E1730="Pasta","Pantry",
IF(E1730="Cheese","Dairy",
IF(E1730="Onions","Produce",
IF(E1730="Cereal","Pantry",
IF(E1730="Orange Juice","Beverages",
IF(E1730="Ground Beef","Meat &amp; Seafood",
IF(E1730="Apples","Produce",
IF(E1730="Milk","Dairy",
IF(E1730="Bananas","Produce",
IF(E1730="Bread","Bakery",
IF(E1730="Carrots","Produce",
IF(E1730="Chicken Breast","Meat &amp; Seafood",
IF(E1730="Eggs","Dairy",
IF(E1730="Potatoes","Produce",
IF(E1730="Rice","Produce",
IF(E1730="Salmon","Meat &amp; Seafood",
IF(E1730="Tomatoes","Produce",
IF(E1730="Yogurt","Dairy",
"Others"))))))))))))))))))</f>
        <v>Dairy</v>
      </c>
      <c r="E1730" t="s">
        <v>20</v>
      </c>
      <c r="F1730" s="2">
        <v>2</v>
      </c>
      <c r="G1730" s="3">
        <v>6</v>
      </c>
      <c r="H1730" s="3">
        <f>grocery_chain_data[[#This Row],[Quantity]]*grocery_chain_data[[#This Row],[Unit Price]]</f>
        <v>12</v>
      </c>
      <c r="I1730" s="3">
        <v>2</v>
      </c>
      <c r="J1730" s="3">
        <f>grocery_chain_data[[#This Row],[Total Amount]]-grocery_chain_data[[#This Row],[Discount Amount]]</f>
        <v>10</v>
      </c>
      <c r="K1730">
        <v>4</v>
      </c>
      <c r="L1730" t="str">
        <f>IF(grocery_chain_data[[#This Row],[Final Amount]]&lt;0,"Return","Sale")</f>
        <v>Sale</v>
      </c>
      <c r="M1730">
        <f>IF(grocery_chain_data[[#This Row],[Final Amount]]&lt;0,0,grocery_chain_data[[#This Row],[Final Amount]])</f>
        <v>10</v>
      </c>
    </row>
    <row r="1731" spans="1:13" x14ac:dyDescent="0.3">
      <c r="A1731">
        <v>9428</v>
      </c>
      <c r="B1731" t="s">
        <v>10</v>
      </c>
      <c r="C1731" s="1">
        <v>45844</v>
      </c>
      <c r="D1731" s="1" t="str">
        <f t="shared" si="27"/>
        <v>Dairy</v>
      </c>
      <c r="E1731" t="s">
        <v>19</v>
      </c>
      <c r="F1731" s="2">
        <v>5</v>
      </c>
      <c r="G1731" s="3">
        <v>24</v>
      </c>
      <c r="H1731" s="3">
        <f>grocery_chain_data[[#This Row],[Quantity]]*grocery_chain_data[[#This Row],[Unit Price]]</f>
        <v>120</v>
      </c>
      <c r="I1731" s="3">
        <v>18</v>
      </c>
      <c r="J1731" s="3">
        <f>grocery_chain_data[[#This Row],[Total Amount]]-grocery_chain_data[[#This Row],[Discount Amount]]</f>
        <v>102</v>
      </c>
      <c r="K1731">
        <v>443</v>
      </c>
      <c r="L1731" t="str">
        <f>IF(grocery_chain_data[[#This Row],[Final Amount]]&lt;0,"Return","Sale")</f>
        <v>Sale</v>
      </c>
      <c r="M1731">
        <f>IF(grocery_chain_data[[#This Row],[Final Amount]]&lt;0,0,grocery_chain_data[[#This Row],[Final Amount]])</f>
        <v>102</v>
      </c>
    </row>
    <row r="1732" spans="1:13" x14ac:dyDescent="0.3">
      <c r="A1732">
        <v>2560</v>
      </c>
      <c r="B1732" t="s">
        <v>8</v>
      </c>
      <c r="C1732" s="1">
        <v>45250</v>
      </c>
      <c r="D1732" s="1" t="str">
        <f t="shared" si="27"/>
        <v>Dairy</v>
      </c>
      <c r="E1732" t="s">
        <v>3</v>
      </c>
      <c r="F1732" s="2">
        <v>2</v>
      </c>
      <c r="G1732" s="3">
        <v>6</v>
      </c>
      <c r="H1732" s="3">
        <f>grocery_chain_data[[#This Row],[Quantity]]*grocery_chain_data[[#This Row],[Unit Price]]</f>
        <v>12</v>
      </c>
      <c r="I1732" s="3">
        <v>0</v>
      </c>
      <c r="J1732" s="3">
        <f>grocery_chain_data[[#This Row],[Total Amount]]-grocery_chain_data[[#This Row],[Discount Amount]]</f>
        <v>12</v>
      </c>
      <c r="K1732">
        <v>265</v>
      </c>
      <c r="L1732" t="str">
        <f>IF(grocery_chain_data[[#This Row],[Final Amount]]&lt;0,"Return","Sale")</f>
        <v>Sale</v>
      </c>
      <c r="M1732">
        <f>IF(grocery_chain_data[[#This Row],[Final Amount]]&lt;0,0,grocery_chain_data[[#This Row],[Final Amount]])</f>
        <v>12</v>
      </c>
    </row>
    <row r="1733" spans="1:13" x14ac:dyDescent="0.3">
      <c r="A1733">
        <v>7743</v>
      </c>
      <c r="B1733" t="s">
        <v>5</v>
      </c>
      <c r="C1733" s="1">
        <v>45858</v>
      </c>
      <c r="D1733" s="1" t="str">
        <f t="shared" si="27"/>
        <v>Meat &amp; Seafood</v>
      </c>
      <c r="E1733" t="s">
        <v>26</v>
      </c>
      <c r="F1733" s="2">
        <v>2</v>
      </c>
      <c r="G1733" s="3">
        <v>2</v>
      </c>
      <c r="H1733" s="3">
        <f>grocery_chain_data[[#This Row],[Quantity]]*grocery_chain_data[[#This Row],[Unit Price]]</f>
        <v>4</v>
      </c>
      <c r="I1733" s="3">
        <v>0</v>
      </c>
      <c r="J1733" s="3">
        <f>grocery_chain_data[[#This Row],[Total Amount]]-grocery_chain_data[[#This Row],[Discount Amount]]</f>
        <v>4</v>
      </c>
      <c r="K1733">
        <v>104</v>
      </c>
      <c r="L1733" t="str">
        <f>IF(grocery_chain_data[[#This Row],[Final Amount]]&lt;0,"Return","Sale")</f>
        <v>Sale</v>
      </c>
      <c r="M1733">
        <f>IF(grocery_chain_data[[#This Row],[Final Amount]]&lt;0,0,grocery_chain_data[[#This Row],[Final Amount]])</f>
        <v>4</v>
      </c>
    </row>
    <row r="1734" spans="1:13" x14ac:dyDescent="0.3">
      <c r="A1734">
        <v>1971</v>
      </c>
      <c r="B1734" t="s">
        <v>16</v>
      </c>
      <c r="C1734" s="1">
        <v>45360</v>
      </c>
      <c r="D1734" s="1" t="str">
        <f t="shared" si="27"/>
        <v>Pantry</v>
      </c>
      <c r="E1734" t="s">
        <v>6</v>
      </c>
      <c r="F1734" s="2">
        <v>1</v>
      </c>
      <c r="G1734" s="3">
        <v>24</v>
      </c>
      <c r="H1734" s="3">
        <f>grocery_chain_data[[#This Row],[Quantity]]*grocery_chain_data[[#This Row],[Unit Price]]</f>
        <v>24</v>
      </c>
      <c r="I1734" s="3">
        <v>2</v>
      </c>
      <c r="J1734" s="3">
        <f>grocery_chain_data[[#This Row],[Total Amount]]-grocery_chain_data[[#This Row],[Discount Amount]]</f>
        <v>22</v>
      </c>
      <c r="K1734">
        <v>169</v>
      </c>
      <c r="L1734" t="str">
        <f>IF(grocery_chain_data[[#This Row],[Final Amount]]&lt;0,"Return","Sale")</f>
        <v>Sale</v>
      </c>
      <c r="M1734">
        <f>IF(grocery_chain_data[[#This Row],[Final Amount]]&lt;0,0,grocery_chain_data[[#This Row],[Final Amount]])</f>
        <v>22</v>
      </c>
    </row>
    <row r="1735" spans="1:13" x14ac:dyDescent="0.3">
      <c r="A1735">
        <v>3078</v>
      </c>
      <c r="B1735" t="s">
        <v>13</v>
      </c>
      <c r="C1735" s="1">
        <v>45689</v>
      </c>
      <c r="D1735" s="1" t="str">
        <f t="shared" si="27"/>
        <v>Dairy</v>
      </c>
      <c r="E1735" t="s">
        <v>3</v>
      </c>
      <c r="F1735" s="2">
        <v>1</v>
      </c>
      <c r="G1735" s="3">
        <v>17</v>
      </c>
      <c r="H1735" s="3">
        <f>grocery_chain_data[[#This Row],[Quantity]]*grocery_chain_data[[#This Row],[Unit Price]]</f>
        <v>17</v>
      </c>
      <c r="I1735" s="3">
        <v>3</v>
      </c>
      <c r="J1735" s="3">
        <f>grocery_chain_data[[#This Row],[Total Amount]]-grocery_chain_data[[#This Row],[Discount Amount]]</f>
        <v>14</v>
      </c>
      <c r="K1735">
        <v>390</v>
      </c>
      <c r="L1735" t="str">
        <f>IF(grocery_chain_data[[#This Row],[Final Amount]]&lt;0,"Return","Sale")</f>
        <v>Sale</v>
      </c>
      <c r="M1735">
        <f>IF(grocery_chain_data[[#This Row],[Final Amount]]&lt;0,0,grocery_chain_data[[#This Row],[Final Amount]])</f>
        <v>14</v>
      </c>
    </row>
    <row r="1736" spans="1:13" x14ac:dyDescent="0.3">
      <c r="A1736">
        <v>3174</v>
      </c>
      <c r="B1736" t="s">
        <v>0</v>
      </c>
      <c r="C1736" s="1">
        <v>45338</v>
      </c>
      <c r="D1736" s="1" t="str">
        <f t="shared" si="27"/>
        <v>Beverages</v>
      </c>
      <c r="E1736" t="s">
        <v>7</v>
      </c>
      <c r="F1736" s="2">
        <v>2</v>
      </c>
      <c r="G1736" s="3">
        <v>4</v>
      </c>
      <c r="H1736" s="3">
        <f>grocery_chain_data[[#This Row],[Quantity]]*grocery_chain_data[[#This Row],[Unit Price]]</f>
        <v>8</v>
      </c>
      <c r="I1736" s="3">
        <v>1</v>
      </c>
      <c r="J1736" s="3">
        <f>grocery_chain_data[[#This Row],[Total Amount]]-grocery_chain_data[[#This Row],[Discount Amount]]</f>
        <v>7</v>
      </c>
      <c r="K1736">
        <v>33</v>
      </c>
      <c r="L1736" t="str">
        <f>IF(grocery_chain_data[[#This Row],[Final Amount]]&lt;0,"Return","Sale")</f>
        <v>Sale</v>
      </c>
      <c r="M1736">
        <f>IF(grocery_chain_data[[#This Row],[Final Amount]]&lt;0,0,grocery_chain_data[[#This Row],[Final Amount]])</f>
        <v>7</v>
      </c>
    </row>
    <row r="1737" spans="1:13" x14ac:dyDescent="0.3">
      <c r="A1737">
        <v>3396</v>
      </c>
      <c r="B1737" t="s">
        <v>10</v>
      </c>
      <c r="C1737" s="1">
        <v>45697</v>
      </c>
      <c r="D1737" s="1" t="str">
        <f t="shared" si="27"/>
        <v>Produce</v>
      </c>
      <c r="E1737" t="s">
        <v>4</v>
      </c>
      <c r="F1737" s="2">
        <v>4</v>
      </c>
      <c r="G1737" s="3">
        <v>5</v>
      </c>
      <c r="H1737" s="3">
        <f>grocery_chain_data[[#This Row],[Quantity]]*grocery_chain_data[[#This Row],[Unit Price]]</f>
        <v>20</v>
      </c>
      <c r="I1737" s="3">
        <v>3</v>
      </c>
      <c r="J1737" s="3">
        <f>grocery_chain_data[[#This Row],[Total Amount]]-grocery_chain_data[[#This Row],[Discount Amount]]</f>
        <v>17</v>
      </c>
      <c r="K1737">
        <v>308</v>
      </c>
      <c r="L1737" t="str">
        <f>IF(grocery_chain_data[[#This Row],[Final Amount]]&lt;0,"Return","Sale")</f>
        <v>Sale</v>
      </c>
      <c r="M1737">
        <f>IF(grocery_chain_data[[#This Row],[Final Amount]]&lt;0,0,grocery_chain_data[[#This Row],[Final Amount]])</f>
        <v>17</v>
      </c>
    </row>
    <row r="1738" spans="1:13" x14ac:dyDescent="0.3">
      <c r="A1738">
        <v>6277</v>
      </c>
      <c r="B1738" t="s">
        <v>10</v>
      </c>
      <c r="C1738" s="1">
        <v>45788</v>
      </c>
      <c r="D1738" s="1" t="str">
        <f t="shared" si="27"/>
        <v>Pantry</v>
      </c>
      <c r="E1738" t="s">
        <v>1</v>
      </c>
      <c r="F1738" s="2">
        <v>2</v>
      </c>
      <c r="G1738" s="3">
        <v>10</v>
      </c>
      <c r="H1738" s="3">
        <f>grocery_chain_data[[#This Row],[Quantity]]*grocery_chain_data[[#This Row],[Unit Price]]</f>
        <v>20</v>
      </c>
      <c r="I1738" s="3">
        <v>4</v>
      </c>
      <c r="J1738" s="3">
        <f>grocery_chain_data[[#This Row],[Total Amount]]-grocery_chain_data[[#This Row],[Discount Amount]]</f>
        <v>16</v>
      </c>
      <c r="K1738">
        <v>276</v>
      </c>
      <c r="L1738" t="str">
        <f>IF(grocery_chain_data[[#This Row],[Final Amount]]&lt;0,"Return","Sale")</f>
        <v>Sale</v>
      </c>
      <c r="M1738">
        <f>IF(grocery_chain_data[[#This Row],[Final Amount]]&lt;0,0,grocery_chain_data[[#This Row],[Final Amount]])</f>
        <v>16</v>
      </c>
    </row>
    <row r="1739" spans="1:13" x14ac:dyDescent="0.3">
      <c r="A1739">
        <v>5055</v>
      </c>
      <c r="B1739" t="s">
        <v>0</v>
      </c>
      <c r="C1739" s="1">
        <v>45736</v>
      </c>
      <c r="D1739" s="1" t="str">
        <f t="shared" si="27"/>
        <v>Produce</v>
      </c>
      <c r="E1739" t="s">
        <v>25</v>
      </c>
      <c r="F1739" s="2">
        <v>5</v>
      </c>
      <c r="G1739" s="3">
        <v>7</v>
      </c>
      <c r="H1739" s="3">
        <f>grocery_chain_data[[#This Row],[Quantity]]*grocery_chain_data[[#This Row],[Unit Price]]</f>
        <v>35</v>
      </c>
      <c r="I1739" s="3">
        <v>7</v>
      </c>
      <c r="J1739" s="3">
        <f>grocery_chain_data[[#This Row],[Total Amount]]-grocery_chain_data[[#This Row],[Discount Amount]]</f>
        <v>28</v>
      </c>
      <c r="K1739">
        <v>112</v>
      </c>
      <c r="L1739" t="str">
        <f>IF(grocery_chain_data[[#This Row],[Final Amount]]&lt;0,"Return","Sale")</f>
        <v>Sale</v>
      </c>
      <c r="M1739">
        <f>IF(grocery_chain_data[[#This Row],[Final Amount]]&lt;0,0,grocery_chain_data[[#This Row],[Final Amount]])</f>
        <v>28</v>
      </c>
    </row>
    <row r="1740" spans="1:13" x14ac:dyDescent="0.3">
      <c r="A1740">
        <v>7434</v>
      </c>
      <c r="B1740" t="s">
        <v>21</v>
      </c>
      <c r="C1740" s="1">
        <v>45525</v>
      </c>
      <c r="D1740" s="1" t="str">
        <f t="shared" si="27"/>
        <v>Bakery</v>
      </c>
      <c r="E1740" t="s">
        <v>22</v>
      </c>
      <c r="F1740" s="2">
        <v>1</v>
      </c>
      <c r="G1740" s="3">
        <v>22</v>
      </c>
      <c r="H1740" s="3">
        <f>grocery_chain_data[[#This Row],[Quantity]]*grocery_chain_data[[#This Row],[Unit Price]]</f>
        <v>22</v>
      </c>
      <c r="I1740" s="3">
        <v>4</v>
      </c>
      <c r="J1740" s="3">
        <f>grocery_chain_data[[#This Row],[Total Amount]]-grocery_chain_data[[#This Row],[Discount Amount]]</f>
        <v>18</v>
      </c>
      <c r="K1740">
        <v>144</v>
      </c>
      <c r="L1740" t="str">
        <f>IF(grocery_chain_data[[#This Row],[Final Amount]]&lt;0,"Return","Sale")</f>
        <v>Sale</v>
      </c>
      <c r="M1740">
        <f>IF(grocery_chain_data[[#This Row],[Final Amount]]&lt;0,0,grocery_chain_data[[#This Row],[Final Amount]])</f>
        <v>18</v>
      </c>
    </row>
    <row r="1741" spans="1:13" x14ac:dyDescent="0.3">
      <c r="A1741">
        <v>3329</v>
      </c>
      <c r="B1741" t="s">
        <v>21</v>
      </c>
      <c r="C1741" s="1">
        <v>45593</v>
      </c>
      <c r="D1741" s="1" t="str">
        <f t="shared" si="27"/>
        <v>Produce</v>
      </c>
      <c r="E1741" t="s">
        <v>11</v>
      </c>
      <c r="F1741" s="2">
        <v>3</v>
      </c>
      <c r="G1741" s="3">
        <v>11</v>
      </c>
      <c r="H1741" s="3">
        <f>grocery_chain_data[[#This Row],[Quantity]]*grocery_chain_data[[#This Row],[Unit Price]]</f>
        <v>33</v>
      </c>
      <c r="I1741" s="3">
        <v>0</v>
      </c>
      <c r="J1741" s="3">
        <f>grocery_chain_data[[#This Row],[Total Amount]]-grocery_chain_data[[#This Row],[Discount Amount]]</f>
        <v>33</v>
      </c>
      <c r="K1741">
        <v>498</v>
      </c>
      <c r="L1741" t="str">
        <f>IF(grocery_chain_data[[#This Row],[Final Amount]]&lt;0,"Return","Sale")</f>
        <v>Sale</v>
      </c>
      <c r="M1741">
        <f>IF(grocery_chain_data[[#This Row],[Final Amount]]&lt;0,0,grocery_chain_data[[#This Row],[Final Amount]])</f>
        <v>33</v>
      </c>
    </row>
    <row r="1742" spans="1:13" x14ac:dyDescent="0.3">
      <c r="A1742">
        <v>5402</v>
      </c>
      <c r="B1742" t="s">
        <v>2</v>
      </c>
      <c r="C1742" s="1">
        <v>45632</v>
      </c>
      <c r="D1742" s="1" t="str">
        <f t="shared" si="27"/>
        <v>Pantry</v>
      </c>
      <c r="E1742" t="s">
        <v>1</v>
      </c>
      <c r="F1742" s="2">
        <v>2</v>
      </c>
      <c r="G1742" s="3">
        <v>10</v>
      </c>
      <c r="H1742" s="3">
        <f>grocery_chain_data[[#This Row],[Quantity]]*grocery_chain_data[[#This Row],[Unit Price]]</f>
        <v>20</v>
      </c>
      <c r="I1742" s="3">
        <v>4</v>
      </c>
      <c r="J1742" s="3">
        <f>grocery_chain_data[[#This Row],[Total Amount]]-grocery_chain_data[[#This Row],[Discount Amount]]</f>
        <v>16</v>
      </c>
      <c r="K1742">
        <v>191</v>
      </c>
      <c r="L1742" t="str">
        <f>IF(grocery_chain_data[[#This Row],[Final Amount]]&lt;0,"Return","Sale")</f>
        <v>Sale</v>
      </c>
      <c r="M1742">
        <f>IF(grocery_chain_data[[#This Row],[Final Amount]]&lt;0,0,grocery_chain_data[[#This Row],[Final Amount]])</f>
        <v>16</v>
      </c>
    </row>
    <row r="1743" spans="1:13" x14ac:dyDescent="0.3">
      <c r="A1743">
        <v>7786</v>
      </c>
      <c r="B1743" t="s">
        <v>13</v>
      </c>
      <c r="C1743" s="1">
        <v>45436</v>
      </c>
      <c r="D1743" s="1" t="str">
        <f t="shared" si="27"/>
        <v>Dairy</v>
      </c>
      <c r="E1743" t="s">
        <v>19</v>
      </c>
      <c r="F1743" s="2">
        <v>2</v>
      </c>
      <c r="G1743" s="3">
        <v>29</v>
      </c>
      <c r="H1743" s="3">
        <f>grocery_chain_data[[#This Row],[Quantity]]*grocery_chain_data[[#This Row],[Unit Price]]</f>
        <v>58</v>
      </c>
      <c r="I1743" s="3">
        <v>0</v>
      </c>
      <c r="J1743" s="3">
        <f>grocery_chain_data[[#This Row],[Total Amount]]-grocery_chain_data[[#This Row],[Discount Amount]]</f>
        <v>58</v>
      </c>
      <c r="K1743">
        <v>7</v>
      </c>
      <c r="L1743" t="str">
        <f>IF(grocery_chain_data[[#This Row],[Final Amount]]&lt;0,"Return","Sale")</f>
        <v>Sale</v>
      </c>
      <c r="M1743">
        <f>IF(grocery_chain_data[[#This Row],[Final Amount]]&lt;0,0,grocery_chain_data[[#This Row],[Final Amount]])</f>
        <v>58</v>
      </c>
    </row>
    <row r="1744" spans="1:13" x14ac:dyDescent="0.3">
      <c r="A1744">
        <v>8405</v>
      </c>
      <c r="B1744" t="s">
        <v>13</v>
      </c>
      <c r="C1744" s="1">
        <v>45203</v>
      </c>
      <c r="D1744" s="1" t="str">
        <f t="shared" si="27"/>
        <v>Produce</v>
      </c>
      <c r="E1744" t="s">
        <v>11</v>
      </c>
      <c r="F1744" s="2">
        <v>4</v>
      </c>
      <c r="G1744" s="3">
        <v>10</v>
      </c>
      <c r="H1744" s="3">
        <f>grocery_chain_data[[#This Row],[Quantity]]*grocery_chain_data[[#This Row],[Unit Price]]</f>
        <v>40</v>
      </c>
      <c r="I1744" s="3">
        <v>4</v>
      </c>
      <c r="J1744" s="3">
        <f>grocery_chain_data[[#This Row],[Total Amount]]-grocery_chain_data[[#This Row],[Discount Amount]]</f>
        <v>36</v>
      </c>
      <c r="K1744">
        <v>292</v>
      </c>
      <c r="L1744" t="str">
        <f>IF(grocery_chain_data[[#This Row],[Final Amount]]&lt;0,"Return","Sale")</f>
        <v>Sale</v>
      </c>
      <c r="M1744">
        <f>IF(grocery_chain_data[[#This Row],[Final Amount]]&lt;0,0,grocery_chain_data[[#This Row],[Final Amount]])</f>
        <v>36</v>
      </c>
    </row>
    <row r="1745" spans="1:13" x14ac:dyDescent="0.3">
      <c r="A1745">
        <v>2525</v>
      </c>
      <c r="B1745" t="s">
        <v>16</v>
      </c>
      <c r="C1745" s="1">
        <v>45457</v>
      </c>
      <c r="D1745" s="1" t="str">
        <f t="shared" si="27"/>
        <v>Produce</v>
      </c>
      <c r="E1745" t="s">
        <v>14</v>
      </c>
      <c r="F1745" s="2">
        <v>4</v>
      </c>
      <c r="G1745" s="3">
        <v>30</v>
      </c>
      <c r="H1745" s="3">
        <f>grocery_chain_data[[#This Row],[Quantity]]*grocery_chain_data[[#This Row],[Unit Price]]</f>
        <v>120</v>
      </c>
      <c r="I1745" s="3">
        <v>3</v>
      </c>
      <c r="J1745" s="3">
        <f>grocery_chain_data[[#This Row],[Total Amount]]-grocery_chain_data[[#This Row],[Discount Amount]]</f>
        <v>117</v>
      </c>
      <c r="K1745">
        <v>232</v>
      </c>
      <c r="L1745" t="str">
        <f>IF(grocery_chain_data[[#This Row],[Final Amount]]&lt;0,"Return","Sale")</f>
        <v>Sale</v>
      </c>
      <c r="M1745">
        <f>IF(grocery_chain_data[[#This Row],[Final Amount]]&lt;0,0,grocery_chain_data[[#This Row],[Final Amount]])</f>
        <v>117</v>
      </c>
    </row>
    <row r="1746" spans="1:13" x14ac:dyDescent="0.3">
      <c r="A1746">
        <v>9447</v>
      </c>
      <c r="B1746" t="s">
        <v>12</v>
      </c>
      <c r="C1746" s="1">
        <v>45727</v>
      </c>
      <c r="D1746" s="1" t="str">
        <f t="shared" si="27"/>
        <v>Produce</v>
      </c>
      <c r="E1746" t="s">
        <v>24</v>
      </c>
      <c r="F1746" s="2">
        <v>3</v>
      </c>
      <c r="G1746" s="3">
        <v>11</v>
      </c>
      <c r="H1746" s="3">
        <f>grocery_chain_data[[#This Row],[Quantity]]*grocery_chain_data[[#This Row],[Unit Price]]</f>
        <v>33</v>
      </c>
      <c r="I1746" s="3">
        <v>5</v>
      </c>
      <c r="J1746" s="3">
        <f>grocery_chain_data[[#This Row],[Total Amount]]-grocery_chain_data[[#This Row],[Discount Amount]]</f>
        <v>28</v>
      </c>
      <c r="K1746">
        <v>456</v>
      </c>
      <c r="L1746" t="str">
        <f>IF(grocery_chain_data[[#This Row],[Final Amount]]&lt;0,"Return","Sale")</f>
        <v>Sale</v>
      </c>
      <c r="M1746">
        <f>IF(grocery_chain_data[[#This Row],[Final Amount]]&lt;0,0,grocery_chain_data[[#This Row],[Final Amount]])</f>
        <v>28</v>
      </c>
    </row>
    <row r="1747" spans="1:13" x14ac:dyDescent="0.3">
      <c r="A1747">
        <v>5558</v>
      </c>
      <c r="B1747" t="s">
        <v>16</v>
      </c>
      <c r="C1747" s="1">
        <v>45684</v>
      </c>
      <c r="D1747" s="1" t="str">
        <f t="shared" si="27"/>
        <v>Produce</v>
      </c>
      <c r="E1747" t="s">
        <v>4</v>
      </c>
      <c r="F1747" s="2">
        <v>4</v>
      </c>
      <c r="G1747" s="3">
        <v>20</v>
      </c>
      <c r="H1747" s="3">
        <f>grocery_chain_data[[#This Row],[Quantity]]*grocery_chain_data[[#This Row],[Unit Price]]</f>
        <v>80</v>
      </c>
      <c r="I1747" s="3">
        <v>2</v>
      </c>
      <c r="J1747" s="3">
        <f>grocery_chain_data[[#This Row],[Total Amount]]-grocery_chain_data[[#This Row],[Discount Amount]]</f>
        <v>78</v>
      </c>
      <c r="K1747">
        <v>342</v>
      </c>
      <c r="L1747" t="str">
        <f>IF(grocery_chain_data[[#This Row],[Final Amount]]&lt;0,"Return","Sale")</f>
        <v>Sale</v>
      </c>
      <c r="M1747">
        <f>IF(grocery_chain_data[[#This Row],[Final Amount]]&lt;0,0,grocery_chain_data[[#This Row],[Final Amount]])</f>
        <v>78</v>
      </c>
    </row>
    <row r="1748" spans="1:13" x14ac:dyDescent="0.3">
      <c r="A1748">
        <v>7046</v>
      </c>
      <c r="B1748" t="s">
        <v>16</v>
      </c>
      <c r="C1748" s="1">
        <v>45498</v>
      </c>
      <c r="D1748" s="1" t="str">
        <f t="shared" si="27"/>
        <v>Produce</v>
      </c>
      <c r="E1748" t="s">
        <v>18</v>
      </c>
      <c r="F1748" s="2">
        <v>5</v>
      </c>
      <c r="G1748" s="3">
        <v>5</v>
      </c>
      <c r="H1748" s="3">
        <f>grocery_chain_data[[#This Row],[Quantity]]*grocery_chain_data[[#This Row],[Unit Price]]</f>
        <v>25</v>
      </c>
      <c r="I1748" s="3">
        <v>1</v>
      </c>
      <c r="J1748" s="3">
        <f>grocery_chain_data[[#This Row],[Total Amount]]-grocery_chain_data[[#This Row],[Discount Amount]]</f>
        <v>24</v>
      </c>
      <c r="K1748">
        <v>116</v>
      </c>
      <c r="L1748" t="str">
        <f>IF(grocery_chain_data[[#This Row],[Final Amount]]&lt;0,"Return","Sale")</f>
        <v>Sale</v>
      </c>
      <c r="M1748">
        <f>IF(grocery_chain_data[[#This Row],[Final Amount]]&lt;0,0,grocery_chain_data[[#This Row],[Final Amount]])</f>
        <v>24</v>
      </c>
    </row>
    <row r="1749" spans="1:13" x14ac:dyDescent="0.3">
      <c r="A1749">
        <v>8996</v>
      </c>
      <c r="B1749" t="s">
        <v>12</v>
      </c>
      <c r="C1749" s="1">
        <v>45399</v>
      </c>
      <c r="D1749" s="1" t="str">
        <f t="shared" si="27"/>
        <v>Beverages</v>
      </c>
      <c r="E1749" t="s">
        <v>7</v>
      </c>
      <c r="F1749" s="2">
        <v>3</v>
      </c>
      <c r="G1749" s="3">
        <v>14</v>
      </c>
      <c r="H1749" s="3">
        <f>grocery_chain_data[[#This Row],[Quantity]]*grocery_chain_data[[#This Row],[Unit Price]]</f>
        <v>42</v>
      </c>
      <c r="I1749" s="3">
        <v>2</v>
      </c>
      <c r="J1749" s="3">
        <f>grocery_chain_data[[#This Row],[Total Amount]]-grocery_chain_data[[#This Row],[Discount Amount]]</f>
        <v>40</v>
      </c>
      <c r="K1749">
        <v>283</v>
      </c>
      <c r="L1749" t="str">
        <f>IF(grocery_chain_data[[#This Row],[Final Amount]]&lt;0,"Return","Sale")</f>
        <v>Sale</v>
      </c>
      <c r="M1749">
        <f>IF(grocery_chain_data[[#This Row],[Final Amount]]&lt;0,0,grocery_chain_data[[#This Row],[Final Amount]])</f>
        <v>40</v>
      </c>
    </row>
    <row r="1750" spans="1:13" x14ac:dyDescent="0.3">
      <c r="A1750">
        <v>1040</v>
      </c>
      <c r="B1750" t="s">
        <v>2</v>
      </c>
      <c r="C1750" s="1">
        <v>45819</v>
      </c>
      <c r="D1750" s="1" t="str">
        <f t="shared" si="27"/>
        <v>Dairy</v>
      </c>
      <c r="E1750" t="s">
        <v>20</v>
      </c>
      <c r="F1750" s="2">
        <v>2</v>
      </c>
      <c r="G1750" s="3">
        <v>23</v>
      </c>
      <c r="H1750" s="3">
        <f>grocery_chain_data[[#This Row],[Quantity]]*grocery_chain_data[[#This Row],[Unit Price]]</f>
        <v>46</v>
      </c>
      <c r="I1750" s="3">
        <v>3</v>
      </c>
      <c r="J1750" s="3">
        <f>grocery_chain_data[[#This Row],[Total Amount]]-grocery_chain_data[[#This Row],[Discount Amount]]</f>
        <v>43</v>
      </c>
      <c r="K1750">
        <v>101</v>
      </c>
      <c r="L1750" t="str">
        <f>IF(grocery_chain_data[[#This Row],[Final Amount]]&lt;0,"Return","Sale")</f>
        <v>Sale</v>
      </c>
      <c r="M1750">
        <f>IF(grocery_chain_data[[#This Row],[Final Amount]]&lt;0,0,grocery_chain_data[[#This Row],[Final Amount]])</f>
        <v>43</v>
      </c>
    </row>
    <row r="1751" spans="1:13" x14ac:dyDescent="0.3">
      <c r="A1751">
        <v>2526</v>
      </c>
      <c r="B1751" t="s">
        <v>5</v>
      </c>
      <c r="C1751" s="1">
        <v>45712</v>
      </c>
      <c r="D1751" s="1" t="str">
        <f t="shared" si="27"/>
        <v>Produce</v>
      </c>
      <c r="E1751" t="s">
        <v>24</v>
      </c>
      <c r="F1751" s="2">
        <v>5</v>
      </c>
      <c r="G1751" s="3">
        <v>2</v>
      </c>
      <c r="H1751" s="3">
        <f>grocery_chain_data[[#This Row],[Quantity]]*grocery_chain_data[[#This Row],[Unit Price]]</f>
        <v>10</v>
      </c>
      <c r="I1751" s="3">
        <v>2</v>
      </c>
      <c r="J1751" s="3">
        <f>grocery_chain_data[[#This Row],[Total Amount]]-grocery_chain_data[[#This Row],[Discount Amount]]</f>
        <v>8</v>
      </c>
      <c r="K1751">
        <v>272</v>
      </c>
      <c r="L1751" t="str">
        <f>IF(grocery_chain_data[[#This Row],[Final Amount]]&lt;0,"Return","Sale")</f>
        <v>Sale</v>
      </c>
      <c r="M1751">
        <f>IF(grocery_chain_data[[#This Row],[Final Amount]]&lt;0,0,grocery_chain_data[[#This Row],[Final Amount]])</f>
        <v>8</v>
      </c>
    </row>
    <row r="1752" spans="1:13" x14ac:dyDescent="0.3">
      <c r="A1752">
        <v>8511</v>
      </c>
      <c r="B1752" t="s">
        <v>2</v>
      </c>
      <c r="C1752" s="1">
        <v>45638</v>
      </c>
      <c r="D1752" s="1" t="str">
        <f t="shared" si="27"/>
        <v>Beverages</v>
      </c>
      <c r="E1752" t="s">
        <v>7</v>
      </c>
      <c r="F1752" s="2">
        <v>2</v>
      </c>
      <c r="G1752" s="3">
        <v>4</v>
      </c>
      <c r="H1752" s="3">
        <f>grocery_chain_data[[#This Row],[Quantity]]*grocery_chain_data[[#This Row],[Unit Price]]</f>
        <v>8</v>
      </c>
      <c r="I1752" s="3">
        <v>0</v>
      </c>
      <c r="J1752" s="3">
        <f>grocery_chain_data[[#This Row],[Total Amount]]-grocery_chain_data[[#This Row],[Discount Amount]]</f>
        <v>8</v>
      </c>
      <c r="K1752">
        <v>84</v>
      </c>
      <c r="L1752" t="str">
        <f>IF(grocery_chain_data[[#This Row],[Final Amount]]&lt;0,"Return","Sale")</f>
        <v>Sale</v>
      </c>
      <c r="M1752">
        <f>IF(grocery_chain_data[[#This Row],[Final Amount]]&lt;0,0,grocery_chain_data[[#This Row],[Final Amount]])</f>
        <v>8</v>
      </c>
    </row>
    <row r="1753" spans="1:13" x14ac:dyDescent="0.3">
      <c r="A1753">
        <v>6869</v>
      </c>
      <c r="B1753" t="s">
        <v>5</v>
      </c>
      <c r="C1753" s="1">
        <v>45805</v>
      </c>
      <c r="D1753" s="1" t="str">
        <f t="shared" si="27"/>
        <v>Dairy</v>
      </c>
      <c r="E1753" t="s">
        <v>3</v>
      </c>
      <c r="F1753" s="2">
        <v>2</v>
      </c>
      <c r="G1753" s="3">
        <v>9</v>
      </c>
      <c r="H1753" s="3">
        <f>grocery_chain_data[[#This Row],[Quantity]]*grocery_chain_data[[#This Row],[Unit Price]]</f>
        <v>18</v>
      </c>
      <c r="I1753" s="3">
        <v>3</v>
      </c>
      <c r="J1753" s="3">
        <f>grocery_chain_data[[#This Row],[Total Amount]]-grocery_chain_data[[#This Row],[Discount Amount]]</f>
        <v>15</v>
      </c>
      <c r="K1753">
        <v>491</v>
      </c>
      <c r="L1753" t="str">
        <f>IF(grocery_chain_data[[#This Row],[Final Amount]]&lt;0,"Return","Sale")</f>
        <v>Sale</v>
      </c>
      <c r="M1753">
        <f>IF(grocery_chain_data[[#This Row],[Final Amount]]&lt;0,0,grocery_chain_data[[#This Row],[Final Amount]])</f>
        <v>15</v>
      </c>
    </row>
    <row r="1754" spans="1:13" x14ac:dyDescent="0.3">
      <c r="A1754">
        <v>2037</v>
      </c>
      <c r="B1754" t="s">
        <v>8</v>
      </c>
      <c r="C1754" s="1">
        <v>45763</v>
      </c>
      <c r="D1754" s="1" t="str">
        <f t="shared" si="27"/>
        <v>Dairy</v>
      </c>
      <c r="E1754" t="s">
        <v>3</v>
      </c>
      <c r="F1754" s="2">
        <v>4</v>
      </c>
      <c r="G1754" s="3">
        <v>15</v>
      </c>
      <c r="H1754" s="3">
        <f>grocery_chain_data[[#This Row],[Quantity]]*grocery_chain_data[[#This Row],[Unit Price]]</f>
        <v>60</v>
      </c>
      <c r="I1754" s="3">
        <v>1</v>
      </c>
      <c r="J1754" s="3">
        <f>grocery_chain_data[[#This Row],[Total Amount]]-grocery_chain_data[[#This Row],[Discount Amount]]</f>
        <v>59</v>
      </c>
      <c r="K1754">
        <v>69</v>
      </c>
      <c r="L1754" t="str">
        <f>IF(grocery_chain_data[[#This Row],[Final Amount]]&lt;0,"Return","Sale")</f>
        <v>Sale</v>
      </c>
      <c r="M1754">
        <f>IF(grocery_chain_data[[#This Row],[Final Amount]]&lt;0,0,grocery_chain_data[[#This Row],[Final Amount]])</f>
        <v>59</v>
      </c>
    </row>
    <row r="1755" spans="1:13" x14ac:dyDescent="0.3">
      <c r="A1755">
        <v>9756</v>
      </c>
      <c r="B1755" t="s">
        <v>2</v>
      </c>
      <c r="C1755" s="1">
        <v>45453</v>
      </c>
      <c r="D1755" s="1" t="str">
        <f t="shared" si="27"/>
        <v>Produce</v>
      </c>
      <c r="E1755" t="s">
        <v>17</v>
      </c>
      <c r="F1755" s="2">
        <v>2</v>
      </c>
      <c r="G1755" s="3">
        <v>28</v>
      </c>
      <c r="H1755" s="3">
        <f>grocery_chain_data[[#This Row],[Quantity]]*grocery_chain_data[[#This Row],[Unit Price]]</f>
        <v>56</v>
      </c>
      <c r="I1755" s="3">
        <v>4</v>
      </c>
      <c r="J1755" s="3">
        <f>grocery_chain_data[[#This Row],[Total Amount]]-grocery_chain_data[[#This Row],[Discount Amount]]</f>
        <v>52</v>
      </c>
      <c r="K1755">
        <v>313</v>
      </c>
      <c r="L1755" t="str">
        <f>IF(grocery_chain_data[[#This Row],[Final Amount]]&lt;0,"Return","Sale")</f>
        <v>Sale</v>
      </c>
      <c r="M1755">
        <f>IF(grocery_chain_data[[#This Row],[Final Amount]]&lt;0,0,grocery_chain_data[[#This Row],[Final Amount]])</f>
        <v>52</v>
      </c>
    </row>
    <row r="1756" spans="1:13" x14ac:dyDescent="0.3">
      <c r="A1756">
        <v>4568</v>
      </c>
      <c r="B1756" t="s">
        <v>5</v>
      </c>
      <c r="C1756" s="1">
        <v>45478</v>
      </c>
      <c r="D1756" s="1" t="str">
        <f t="shared" si="27"/>
        <v>Produce</v>
      </c>
      <c r="E1756" t="s">
        <v>25</v>
      </c>
      <c r="F1756" s="2">
        <v>2</v>
      </c>
      <c r="G1756" s="3">
        <v>23</v>
      </c>
      <c r="H1756" s="3">
        <f>grocery_chain_data[[#This Row],[Quantity]]*grocery_chain_data[[#This Row],[Unit Price]]</f>
        <v>46</v>
      </c>
      <c r="I1756" s="3">
        <v>5</v>
      </c>
      <c r="J1756" s="3">
        <f>grocery_chain_data[[#This Row],[Total Amount]]-grocery_chain_data[[#This Row],[Discount Amount]]</f>
        <v>41</v>
      </c>
      <c r="K1756">
        <v>413</v>
      </c>
      <c r="L1756" t="str">
        <f>IF(grocery_chain_data[[#This Row],[Final Amount]]&lt;0,"Return","Sale")</f>
        <v>Sale</v>
      </c>
      <c r="M1756">
        <f>IF(grocery_chain_data[[#This Row],[Final Amount]]&lt;0,0,grocery_chain_data[[#This Row],[Final Amount]])</f>
        <v>41</v>
      </c>
    </row>
    <row r="1757" spans="1:13" x14ac:dyDescent="0.3">
      <c r="A1757">
        <v>4470</v>
      </c>
      <c r="B1757" t="s">
        <v>5</v>
      </c>
      <c r="C1757" s="1">
        <v>45529</v>
      </c>
      <c r="D1757" s="1" t="str">
        <f t="shared" si="27"/>
        <v>Dairy</v>
      </c>
      <c r="E1757" t="s">
        <v>3</v>
      </c>
      <c r="F1757" s="2">
        <v>4</v>
      </c>
      <c r="G1757" s="3">
        <v>18</v>
      </c>
      <c r="H1757" s="3">
        <f>grocery_chain_data[[#This Row],[Quantity]]*grocery_chain_data[[#This Row],[Unit Price]]</f>
        <v>72</v>
      </c>
      <c r="I1757" s="3">
        <v>2</v>
      </c>
      <c r="J1757" s="3">
        <f>grocery_chain_data[[#This Row],[Total Amount]]-grocery_chain_data[[#This Row],[Discount Amount]]</f>
        <v>70</v>
      </c>
      <c r="K1757">
        <v>127</v>
      </c>
      <c r="L1757" t="str">
        <f>IF(grocery_chain_data[[#This Row],[Final Amount]]&lt;0,"Return","Sale")</f>
        <v>Sale</v>
      </c>
      <c r="M1757">
        <f>IF(grocery_chain_data[[#This Row],[Final Amount]]&lt;0,0,grocery_chain_data[[#This Row],[Final Amount]])</f>
        <v>70</v>
      </c>
    </row>
    <row r="1758" spans="1:13" x14ac:dyDescent="0.3">
      <c r="A1758">
        <v>5399</v>
      </c>
      <c r="B1758" t="s">
        <v>12</v>
      </c>
      <c r="C1758" s="1">
        <v>45395</v>
      </c>
      <c r="D1758" s="1" t="str">
        <f t="shared" si="27"/>
        <v>Produce</v>
      </c>
      <c r="E1758" t="s">
        <v>14</v>
      </c>
      <c r="F1758" s="2">
        <v>1</v>
      </c>
      <c r="G1758" s="3">
        <v>22</v>
      </c>
      <c r="H1758" s="3">
        <f>grocery_chain_data[[#This Row],[Quantity]]*grocery_chain_data[[#This Row],[Unit Price]]</f>
        <v>22</v>
      </c>
      <c r="I1758" s="3">
        <v>4</v>
      </c>
      <c r="J1758" s="3">
        <f>grocery_chain_data[[#This Row],[Total Amount]]-grocery_chain_data[[#This Row],[Discount Amount]]</f>
        <v>18</v>
      </c>
      <c r="K1758">
        <v>299</v>
      </c>
      <c r="L1758" t="str">
        <f>IF(grocery_chain_data[[#This Row],[Final Amount]]&lt;0,"Return","Sale")</f>
        <v>Sale</v>
      </c>
      <c r="M1758">
        <f>IF(grocery_chain_data[[#This Row],[Final Amount]]&lt;0,0,grocery_chain_data[[#This Row],[Final Amount]])</f>
        <v>18</v>
      </c>
    </row>
    <row r="1759" spans="1:13" x14ac:dyDescent="0.3">
      <c r="A1759">
        <v>5646</v>
      </c>
      <c r="B1759" t="s">
        <v>10</v>
      </c>
      <c r="C1759" s="1">
        <v>45407</v>
      </c>
      <c r="D1759" s="1" t="str">
        <f t="shared" si="27"/>
        <v>Pantry</v>
      </c>
      <c r="E1759" t="s">
        <v>1</v>
      </c>
      <c r="F1759" s="2">
        <v>3</v>
      </c>
      <c r="G1759" s="3">
        <v>1</v>
      </c>
      <c r="H1759" s="3">
        <f>grocery_chain_data[[#This Row],[Quantity]]*grocery_chain_data[[#This Row],[Unit Price]]</f>
        <v>3</v>
      </c>
      <c r="I1759" s="3">
        <v>1</v>
      </c>
      <c r="J1759" s="3">
        <f>grocery_chain_data[[#This Row],[Total Amount]]-grocery_chain_data[[#This Row],[Discount Amount]]</f>
        <v>2</v>
      </c>
      <c r="K1759">
        <v>60</v>
      </c>
      <c r="L1759" t="str">
        <f>IF(grocery_chain_data[[#This Row],[Final Amount]]&lt;0,"Return","Sale")</f>
        <v>Sale</v>
      </c>
      <c r="M1759">
        <f>IF(grocery_chain_data[[#This Row],[Final Amount]]&lt;0,0,grocery_chain_data[[#This Row],[Final Amount]])</f>
        <v>2</v>
      </c>
    </row>
    <row r="1760" spans="1:13" x14ac:dyDescent="0.3">
      <c r="A1760">
        <v>9967</v>
      </c>
      <c r="B1760" t="s">
        <v>10</v>
      </c>
      <c r="C1760" s="1">
        <v>45593</v>
      </c>
      <c r="D1760" s="1" t="str">
        <f t="shared" si="27"/>
        <v>Meat &amp; Seafood</v>
      </c>
      <c r="E1760" t="s">
        <v>15</v>
      </c>
      <c r="F1760" s="2">
        <v>3</v>
      </c>
      <c r="G1760" s="3">
        <v>25</v>
      </c>
      <c r="H1760" s="3">
        <f>grocery_chain_data[[#This Row],[Quantity]]*grocery_chain_data[[#This Row],[Unit Price]]</f>
        <v>75</v>
      </c>
      <c r="I1760" s="3">
        <v>15</v>
      </c>
      <c r="J1760" s="3">
        <f>grocery_chain_data[[#This Row],[Total Amount]]-grocery_chain_data[[#This Row],[Discount Amount]]</f>
        <v>60</v>
      </c>
      <c r="K1760">
        <v>277</v>
      </c>
      <c r="L1760" t="str">
        <f>IF(grocery_chain_data[[#This Row],[Final Amount]]&lt;0,"Return","Sale")</f>
        <v>Sale</v>
      </c>
      <c r="M1760">
        <f>IF(grocery_chain_data[[#This Row],[Final Amount]]&lt;0,0,grocery_chain_data[[#This Row],[Final Amount]])</f>
        <v>60</v>
      </c>
    </row>
    <row r="1761" spans="1:13" x14ac:dyDescent="0.3">
      <c r="A1761">
        <v>3139</v>
      </c>
      <c r="B1761" t="s">
        <v>0</v>
      </c>
      <c r="C1761" s="1">
        <v>45584</v>
      </c>
      <c r="D1761" s="1" t="str">
        <f t="shared" si="27"/>
        <v>Pantry</v>
      </c>
      <c r="E1761" t="s">
        <v>1</v>
      </c>
      <c r="F1761" s="2">
        <v>1</v>
      </c>
      <c r="G1761" s="3">
        <v>12</v>
      </c>
      <c r="H1761" s="3">
        <f>grocery_chain_data[[#This Row],[Quantity]]*grocery_chain_data[[#This Row],[Unit Price]]</f>
        <v>12</v>
      </c>
      <c r="I1761" s="3">
        <v>4</v>
      </c>
      <c r="J1761" s="3">
        <f>grocery_chain_data[[#This Row],[Total Amount]]-grocery_chain_data[[#This Row],[Discount Amount]]</f>
        <v>8</v>
      </c>
      <c r="K1761">
        <v>456</v>
      </c>
      <c r="L1761" t="str">
        <f>IF(grocery_chain_data[[#This Row],[Final Amount]]&lt;0,"Return","Sale")</f>
        <v>Sale</v>
      </c>
      <c r="M1761">
        <f>IF(grocery_chain_data[[#This Row],[Final Amount]]&lt;0,0,grocery_chain_data[[#This Row],[Final Amount]])</f>
        <v>8</v>
      </c>
    </row>
    <row r="1762" spans="1:13" x14ac:dyDescent="0.3">
      <c r="A1762">
        <v>8951</v>
      </c>
      <c r="B1762" t="s">
        <v>8</v>
      </c>
      <c r="C1762" s="1">
        <v>45757</v>
      </c>
      <c r="D1762" s="1" t="str">
        <f t="shared" si="27"/>
        <v>Produce</v>
      </c>
      <c r="E1762" t="s">
        <v>11</v>
      </c>
      <c r="F1762" s="2">
        <v>4</v>
      </c>
      <c r="G1762" s="3">
        <v>23</v>
      </c>
      <c r="H1762" s="3">
        <f>grocery_chain_data[[#This Row],[Quantity]]*grocery_chain_data[[#This Row],[Unit Price]]</f>
        <v>92</v>
      </c>
      <c r="I1762" s="3">
        <v>5</v>
      </c>
      <c r="J1762" s="3">
        <f>grocery_chain_data[[#This Row],[Total Amount]]-grocery_chain_data[[#This Row],[Discount Amount]]</f>
        <v>87</v>
      </c>
      <c r="K1762">
        <v>115</v>
      </c>
      <c r="L1762" t="str">
        <f>IF(grocery_chain_data[[#This Row],[Final Amount]]&lt;0,"Return","Sale")</f>
        <v>Sale</v>
      </c>
      <c r="M1762">
        <f>IF(grocery_chain_data[[#This Row],[Final Amount]]&lt;0,0,grocery_chain_data[[#This Row],[Final Amount]])</f>
        <v>87</v>
      </c>
    </row>
    <row r="1763" spans="1:13" x14ac:dyDescent="0.3">
      <c r="A1763">
        <v>6631</v>
      </c>
      <c r="B1763" t="s">
        <v>16</v>
      </c>
      <c r="C1763" s="1">
        <v>45839</v>
      </c>
      <c r="D1763" s="1" t="str">
        <f t="shared" si="27"/>
        <v>Produce</v>
      </c>
      <c r="E1763" t="s">
        <v>25</v>
      </c>
      <c r="F1763" s="2">
        <v>4</v>
      </c>
      <c r="G1763" s="3">
        <v>13</v>
      </c>
      <c r="H1763" s="3">
        <f>grocery_chain_data[[#This Row],[Quantity]]*grocery_chain_data[[#This Row],[Unit Price]]</f>
        <v>52</v>
      </c>
      <c r="I1763" s="3">
        <v>8</v>
      </c>
      <c r="J1763" s="3">
        <f>grocery_chain_data[[#This Row],[Total Amount]]-grocery_chain_data[[#This Row],[Discount Amount]]</f>
        <v>44</v>
      </c>
      <c r="K1763">
        <v>326</v>
      </c>
      <c r="L1763" t="str">
        <f>IF(grocery_chain_data[[#This Row],[Final Amount]]&lt;0,"Return","Sale")</f>
        <v>Sale</v>
      </c>
      <c r="M1763">
        <f>IF(grocery_chain_data[[#This Row],[Final Amount]]&lt;0,0,grocery_chain_data[[#This Row],[Final Amount]])</f>
        <v>44</v>
      </c>
    </row>
    <row r="1764" spans="1:13" x14ac:dyDescent="0.3">
      <c r="A1764">
        <v>1793</v>
      </c>
      <c r="B1764" t="s">
        <v>12</v>
      </c>
      <c r="C1764" s="1">
        <v>45180</v>
      </c>
      <c r="D1764" s="1" t="str">
        <f t="shared" si="27"/>
        <v>Produce</v>
      </c>
      <c r="E1764" t="s">
        <v>24</v>
      </c>
      <c r="F1764" s="2">
        <v>3</v>
      </c>
      <c r="G1764" s="3">
        <v>13</v>
      </c>
      <c r="H1764" s="3">
        <f>grocery_chain_data[[#This Row],[Quantity]]*grocery_chain_data[[#This Row],[Unit Price]]</f>
        <v>39</v>
      </c>
      <c r="I1764" s="3">
        <v>6</v>
      </c>
      <c r="J1764" s="3">
        <f>grocery_chain_data[[#This Row],[Total Amount]]-grocery_chain_data[[#This Row],[Discount Amount]]</f>
        <v>33</v>
      </c>
      <c r="K1764">
        <v>428</v>
      </c>
      <c r="L1764" t="str">
        <f>IF(grocery_chain_data[[#This Row],[Final Amount]]&lt;0,"Return","Sale")</f>
        <v>Sale</v>
      </c>
      <c r="M1764">
        <f>IF(grocery_chain_data[[#This Row],[Final Amount]]&lt;0,0,grocery_chain_data[[#This Row],[Final Amount]])</f>
        <v>33</v>
      </c>
    </row>
    <row r="1765" spans="1:13" x14ac:dyDescent="0.3">
      <c r="A1765">
        <v>2631</v>
      </c>
      <c r="B1765" t="s">
        <v>0</v>
      </c>
      <c r="C1765" s="1">
        <v>45631</v>
      </c>
      <c r="D1765" s="1" t="str">
        <f t="shared" si="27"/>
        <v>Meat &amp; Seafood</v>
      </c>
      <c r="E1765" t="s">
        <v>26</v>
      </c>
      <c r="F1765" s="2">
        <v>4</v>
      </c>
      <c r="G1765" s="3">
        <v>8</v>
      </c>
      <c r="H1765" s="3">
        <f>grocery_chain_data[[#This Row],[Quantity]]*grocery_chain_data[[#This Row],[Unit Price]]</f>
        <v>32</v>
      </c>
      <c r="I1765" s="3">
        <v>3</v>
      </c>
      <c r="J1765" s="3">
        <f>grocery_chain_data[[#This Row],[Total Amount]]-grocery_chain_data[[#This Row],[Discount Amount]]</f>
        <v>29</v>
      </c>
      <c r="K1765">
        <v>253</v>
      </c>
      <c r="L1765" t="str">
        <f>IF(grocery_chain_data[[#This Row],[Final Amount]]&lt;0,"Return","Sale")</f>
        <v>Sale</v>
      </c>
      <c r="M1765">
        <f>IF(grocery_chain_data[[#This Row],[Final Amount]]&lt;0,0,grocery_chain_data[[#This Row],[Final Amount]])</f>
        <v>29</v>
      </c>
    </row>
    <row r="1766" spans="1:13" x14ac:dyDescent="0.3">
      <c r="A1766">
        <v>8529</v>
      </c>
      <c r="B1766" t="s">
        <v>12</v>
      </c>
      <c r="C1766" s="1">
        <v>45157</v>
      </c>
      <c r="D1766" s="1" t="str">
        <f t="shared" si="27"/>
        <v>Produce</v>
      </c>
      <c r="E1766" t="s">
        <v>25</v>
      </c>
      <c r="F1766" s="2">
        <v>5</v>
      </c>
      <c r="G1766" s="3">
        <v>19</v>
      </c>
      <c r="H1766" s="3">
        <f>grocery_chain_data[[#This Row],[Quantity]]*grocery_chain_data[[#This Row],[Unit Price]]</f>
        <v>95</v>
      </c>
      <c r="I1766" s="3">
        <v>3</v>
      </c>
      <c r="J1766" s="3">
        <f>grocery_chain_data[[#This Row],[Total Amount]]-grocery_chain_data[[#This Row],[Discount Amount]]</f>
        <v>92</v>
      </c>
      <c r="K1766">
        <v>289</v>
      </c>
      <c r="L1766" t="str">
        <f>IF(grocery_chain_data[[#This Row],[Final Amount]]&lt;0,"Return","Sale")</f>
        <v>Sale</v>
      </c>
      <c r="M1766">
        <f>IF(grocery_chain_data[[#This Row],[Final Amount]]&lt;0,0,grocery_chain_data[[#This Row],[Final Amount]])</f>
        <v>92</v>
      </c>
    </row>
    <row r="1767" spans="1:13" x14ac:dyDescent="0.3">
      <c r="A1767">
        <v>3035</v>
      </c>
      <c r="B1767" t="s">
        <v>8</v>
      </c>
      <c r="C1767" s="1">
        <v>45866</v>
      </c>
      <c r="D1767" s="1" t="str">
        <f t="shared" si="27"/>
        <v>Meat &amp; Seafood</v>
      </c>
      <c r="E1767" t="s">
        <v>26</v>
      </c>
      <c r="F1767" s="2">
        <v>5</v>
      </c>
      <c r="G1767" s="3">
        <v>25</v>
      </c>
      <c r="H1767" s="3">
        <f>grocery_chain_data[[#This Row],[Quantity]]*grocery_chain_data[[#This Row],[Unit Price]]</f>
        <v>125</v>
      </c>
      <c r="I1767" s="3">
        <v>1</v>
      </c>
      <c r="J1767" s="3">
        <f>grocery_chain_data[[#This Row],[Total Amount]]-grocery_chain_data[[#This Row],[Discount Amount]]</f>
        <v>124</v>
      </c>
      <c r="K1767">
        <v>329</v>
      </c>
      <c r="L1767" t="str">
        <f>IF(grocery_chain_data[[#This Row],[Final Amount]]&lt;0,"Return","Sale")</f>
        <v>Sale</v>
      </c>
      <c r="M1767">
        <f>IF(grocery_chain_data[[#This Row],[Final Amount]]&lt;0,0,grocery_chain_data[[#This Row],[Final Amount]])</f>
        <v>124</v>
      </c>
    </row>
    <row r="1768" spans="1:13" x14ac:dyDescent="0.3">
      <c r="A1768">
        <v>3588</v>
      </c>
      <c r="B1768" t="s">
        <v>21</v>
      </c>
      <c r="C1768" s="1">
        <v>45487</v>
      </c>
      <c r="D1768" s="1" t="str">
        <f t="shared" si="27"/>
        <v>Dairy</v>
      </c>
      <c r="E1768" t="s">
        <v>3</v>
      </c>
      <c r="F1768" s="2">
        <v>4</v>
      </c>
      <c r="G1768" s="3">
        <v>22</v>
      </c>
      <c r="H1768" s="3">
        <f>grocery_chain_data[[#This Row],[Quantity]]*grocery_chain_data[[#This Row],[Unit Price]]</f>
        <v>88</v>
      </c>
      <c r="I1768" s="3">
        <v>0</v>
      </c>
      <c r="J1768" s="3">
        <f>grocery_chain_data[[#This Row],[Total Amount]]-grocery_chain_data[[#This Row],[Discount Amount]]</f>
        <v>88</v>
      </c>
      <c r="K1768">
        <v>20</v>
      </c>
      <c r="L1768" t="str">
        <f>IF(grocery_chain_data[[#This Row],[Final Amount]]&lt;0,"Return","Sale")</f>
        <v>Sale</v>
      </c>
      <c r="M1768">
        <f>IF(grocery_chain_data[[#This Row],[Final Amount]]&lt;0,0,grocery_chain_data[[#This Row],[Final Amount]])</f>
        <v>88</v>
      </c>
    </row>
    <row r="1769" spans="1:13" x14ac:dyDescent="0.3">
      <c r="A1769">
        <v>8479</v>
      </c>
      <c r="B1769" t="s">
        <v>10</v>
      </c>
      <c r="C1769" s="1">
        <v>45145</v>
      </c>
      <c r="D1769" s="1" t="str">
        <f t="shared" si="27"/>
        <v>Produce</v>
      </c>
      <c r="E1769" t="s">
        <v>24</v>
      </c>
      <c r="F1769" s="2">
        <v>1</v>
      </c>
      <c r="G1769" s="3">
        <v>28</v>
      </c>
      <c r="H1769" s="3">
        <f>grocery_chain_data[[#This Row],[Quantity]]*grocery_chain_data[[#This Row],[Unit Price]]</f>
        <v>28</v>
      </c>
      <c r="I1769" s="3">
        <v>0</v>
      </c>
      <c r="J1769" s="3">
        <f>grocery_chain_data[[#This Row],[Total Amount]]-grocery_chain_data[[#This Row],[Discount Amount]]</f>
        <v>28</v>
      </c>
      <c r="K1769">
        <v>416</v>
      </c>
      <c r="L1769" t="str">
        <f>IF(grocery_chain_data[[#This Row],[Final Amount]]&lt;0,"Return","Sale")</f>
        <v>Sale</v>
      </c>
      <c r="M1769">
        <f>IF(grocery_chain_data[[#This Row],[Final Amount]]&lt;0,0,grocery_chain_data[[#This Row],[Final Amount]])</f>
        <v>28</v>
      </c>
    </row>
    <row r="1770" spans="1:13" x14ac:dyDescent="0.3">
      <c r="A1770">
        <v>8009</v>
      </c>
      <c r="B1770" t="s">
        <v>13</v>
      </c>
      <c r="C1770" s="1">
        <v>45302</v>
      </c>
      <c r="D1770" s="1" t="str">
        <f t="shared" si="27"/>
        <v>Produce</v>
      </c>
      <c r="E1770" t="s">
        <v>11</v>
      </c>
      <c r="F1770" s="2">
        <v>1</v>
      </c>
      <c r="G1770" s="3">
        <v>19</v>
      </c>
      <c r="H1770" s="3">
        <f>grocery_chain_data[[#This Row],[Quantity]]*grocery_chain_data[[#This Row],[Unit Price]]</f>
        <v>19</v>
      </c>
      <c r="I1770" s="3">
        <v>3</v>
      </c>
      <c r="J1770" s="3">
        <f>grocery_chain_data[[#This Row],[Total Amount]]-grocery_chain_data[[#This Row],[Discount Amount]]</f>
        <v>16</v>
      </c>
      <c r="K1770">
        <v>168</v>
      </c>
      <c r="L1770" t="str">
        <f>IF(grocery_chain_data[[#This Row],[Final Amount]]&lt;0,"Return","Sale")</f>
        <v>Sale</v>
      </c>
      <c r="M1770">
        <f>IF(grocery_chain_data[[#This Row],[Final Amount]]&lt;0,0,grocery_chain_data[[#This Row],[Final Amount]])</f>
        <v>16</v>
      </c>
    </row>
    <row r="1771" spans="1:13" x14ac:dyDescent="0.3">
      <c r="A1771">
        <v>3161</v>
      </c>
      <c r="B1771" t="s">
        <v>8</v>
      </c>
      <c r="C1771" s="1">
        <v>45830</v>
      </c>
      <c r="D1771" s="1" t="str">
        <f t="shared" si="27"/>
        <v>Meat &amp; Seafood</v>
      </c>
      <c r="E1771" t="s">
        <v>15</v>
      </c>
      <c r="F1771" s="2">
        <v>3</v>
      </c>
      <c r="G1771" s="3">
        <v>11</v>
      </c>
      <c r="H1771" s="3">
        <f>grocery_chain_data[[#This Row],[Quantity]]*grocery_chain_data[[#This Row],[Unit Price]]</f>
        <v>33</v>
      </c>
      <c r="I1771" s="3">
        <v>5</v>
      </c>
      <c r="J1771" s="3">
        <f>grocery_chain_data[[#This Row],[Total Amount]]-grocery_chain_data[[#This Row],[Discount Amount]]</f>
        <v>28</v>
      </c>
      <c r="K1771">
        <v>349</v>
      </c>
      <c r="L1771" t="str">
        <f>IF(grocery_chain_data[[#This Row],[Final Amount]]&lt;0,"Return","Sale")</f>
        <v>Sale</v>
      </c>
      <c r="M1771">
        <f>IF(grocery_chain_data[[#This Row],[Final Amount]]&lt;0,0,grocery_chain_data[[#This Row],[Final Amount]])</f>
        <v>28</v>
      </c>
    </row>
    <row r="1772" spans="1:13" x14ac:dyDescent="0.3">
      <c r="A1772">
        <v>5945</v>
      </c>
      <c r="B1772" t="s">
        <v>21</v>
      </c>
      <c r="C1772" s="1">
        <v>45268</v>
      </c>
      <c r="D1772" s="1" t="str">
        <f t="shared" si="27"/>
        <v>Meat &amp; Seafood</v>
      </c>
      <c r="E1772" t="s">
        <v>15</v>
      </c>
      <c r="F1772" s="2">
        <v>1</v>
      </c>
      <c r="G1772" s="3">
        <v>10</v>
      </c>
      <c r="H1772" s="3">
        <f>grocery_chain_data[[#This Row],[Quantity]]*grocery_chain_data[[#This Row],[Unit Price]]</f>
        <v>10</v>
      </c>
      <c r="I1772" s="3">
        <v>2</v>
      </c>
      <c r="J1772" s="3">
        <f>grocery_chain_data[[#This Row],[Total Amount]]-grocery_chain_data[[#This Row],[Discount Amount]]</f>
        <v>8</v>
      </c>
      <c r="K1772">
        <v>357</v>
      </c>
      <c r="L1772" t="str">
        <f>IF(grocery_chain_data[[#This Row],[Final Amount]]&lt;0,"Return","Sale")</f>
        <v>Sale</v>
      </c>
      <c r="M1772">
        <f>IF(grocery_chain_data[[#This Row],[Final Amount]]&lt;0,0,grocery_chain_data[[#This Row],[Final Amount]])</f>
        <v>8</v>
      </c>
    </row>
    <row r="1773" spans="1:13" x14ac:dyDescent="0.3">
      <c r="A1773">
        <v>5489</v>
      </c>
      <c r="B1773" t="s">
        <v>21</v>
      </c>
      <c r="C1773" s="1">
        <v>45217</v>
      </c>
      <c r="D1773" s="1" t="str">
        <f t="shared" si="27"/>
        <v>Produce</v>
      </c>
      <c r="E1773" t="s">
        <v>4</v>
      </c>
      <c r="F1773" s="2">
        <v>3</v>
      </c>
      <c r="G1773" s="3">
        <v>22</v>
      </c>
      <c r="H1773" s="3">
        <f>grocery_chain_data[[#This Row],[Quantity]]*grocery_chain_data[[#This Row],[Unit Price]]</f>
        <v>66</v>
      </c>
      <c r="I1773" s="3">
        <v>13</v>
      </c>
      <c r="J1773" s="3">
        <f>grocery_chain_data[[#This Row],[Total Amount]]-grocery_chain_data[[#This Row],[Discount Amount]]</f>
        <v>53</v>
      </c>
      <c r="K1773">
        <v>385</v>
      </c>
      <c r="L1773" t="str">
        <f>IF(grocery_chain_data[[#This Row],[Final Amount]]&lt;0,"Return","Sale")</f>
        <v>Sale</v>
      </c>
      <c r="M1773">
        <f>IF(grocery_chain_data[[#This Row],[Final Amount]]&lt;0,0,grocery_chain_data[[#This Row],[Final Amount]])</f>
        <v>53</v>
      </c>
    </row>
    <row r="1774" spans="1:13" x14ac:dyDescent="0.3">
      <c r="A1774">
        <v>6905</v>
      </c>
      <c r="B1774" t="s">
        <v>10</v>
      </c>
      <c r="C1774" s="1">
        <v>45339</v>
      </c>
      <c r="D1774" s="1" t="str">
        <f t="shared" si="27"/>
        <v>Pantry</v>
      </c>
      <c r="E1774" t="s">
        <v>6</v>
      </c>
      <c r="F1774" s="2">
        <v>3</v>
      </c>
      <c r="G1774" s="3">
        <v>19</v>
      </c>
      <c r="H1774" s="3">
        <f>grocery_chain_data[[#This Row],[Quantity]]*grocery_chain_data[[#This Row],[Unit Price]]</f>
        <v>57</v>
      </c>
      <c r="I1774" s="3">
        <v>8</v>
      </c>
      <c r="J1774" s="3">
        <f>grocery_chain_data[[#This Row],[Total Amount]]-grocery_chain_data[[#This Row],[Discount Amount]]</f>
        <v>49</v>
      </c>
      <c r="K1774">
        <v>378</v>
      </c>
      <c r="L1774" t="str">
        <f>IF(grocery_chain_data[[#This Row],[Final Amount]]&lt;0,"Return","Sale")</f>
        <v>Sale</v>
      </c>
      <c r="M1774">
        <f>IF(grocery_chain_data[[#This Row],[Final Amount]]&lt;0,0,grocery_chain_data[[#This Row],[Final Amount]])</f>
        <v>49</v>
      </c>
    </row>
    <row r="1775" spans="1:13" x14ac:dyDescent="0.3">
      <c r="A1775">
        <v>2350</v>
      </c>
      <c r="B1775" t="s">
        <v>12</v>
      </c>
      <c r="C1775" s="1">
        <v>45433</v>
      </c>
      <c r="D1775" s="1" t="str">
        <f t="shared" si="27"/>
        <v>Bakery</v>
      </c>
      <c r="E1775" t="s">
        <v>22</v>
      </c>
      <c r="F1775" s="2">
        <v>4</v>
      </c>
      <c r="G1775" s="3">
        <v>10</v>
      </c>
      <c r="H1775" s="3">
        <f>grocery_chain_data[[#This Row],[Quantity]]*grocery_chain_data[[#This Row],[Unit Price]]</f>
        <v>40</v>
      </c>
      <c r="I1775" s="3">
        <v>4</v>
      </c>
      <c r="J1775" s="3">
        <f>grocery_chain_data[[#This Row],[Total Amount]]-grocery_chain_data[[#This Row],[Discount Amount]]</f>
        <v>36</v>
      </c>
      <c r="K1775">
        <v>254</v>
      </c>
      <c r="L1775" t="str">
        <f>IF(grocery_chain_data[[#This Row],[Final Amount]]&lt;0,"Return","Sale")</f>
        <v>Sale</v>
      </c>
      <c r="M1775">
        <f>IF(grocery_chain_data[[#This Row],[Final Amount]]&lt;0,0,grocery_chain_data[[#This Row],[Final Amount]])</f>
        <v>36</v>
      </c>
    </row>
    <row r="1776" spans="1:13" x14ac:dyDescent="0.3">
      <c r="A1776">
        <v>3711</v>
      </c>
      <c r="B1776" t="s">
        <v>21</v>
      </c>
      <c r="C1776" s="1">
        <v>45185</v>
      </c>
      <c r="D1776" s="1" t="str">
        <f t="shared" si="27"/>
        <v>Produce</v>
      </c>
      <c r="E1776" t="s">
        <v>25</v>
      </c>
      <c r="F1776" s="2">
        <v>3</v>
      </c>
      <c r="G1776" s="3">
        <v>11</v>
      </c>
      <c r="H1776" s="3">
        <f>grocery_chain_data[[#This Row],[Quantity]]*grocery_chain_data[[#This Row],[Unit Price]]</f>
        <v>33</v>
      </c>
      <c r="I1776" s="3">
        <v>6</v>
      </c>
      <c r="J1776" s="3">
        <f>grocery_chain_data[[#This Row],[Total Amount]]-grocery_chain_data[[#This Row],[Discount Amount]]</f>
        <v>27</v>
      </c>
      <c r="K1776">
        <v>224</v>
      </c>
      <c r="L1776" t="str">
        <f>IF(grocery_chain_data[[#This Row],[Final Amount]]&lt;0,"Return","Sale")</f>
        <v>Sale</v>
      </c>
      <c r="M1776">
        <f>IF(grocery_chain_data[[#This Row],[Final Amount]]&lt;0,0,grocery_chain_data[[#This Row],[Final Amount]])</f>
        <v>27</v>
      </c>
    </row>
    <row r="1777" spans="1:13" x14ac:dyDescent="0.3">
      <c r="A1777">
        <v>7493</v>
      </c>
      <c r="B1777" t="s">
        <v>5</v>
      </c>
      <c r="C1777" s="1">
        <v>45630</v>
      </c>
      <c r="D1777" s="1" t="str">
        <f t="shared" si="27"/>
        <v>Produce</v>
      </c>
      <c r="E1777" t="s">
        <v>18</v>
      </c>
      <c r="F1777" s="2">
        <v>1</v>
      </c>
      <c r="G1777" s="3">
        <v>6</v>
      </c>
      <c r="H1777" s="3">
        <f>grocery_chain_data[[#This Row],[Quantity]]*grocery_chain_data[[#This Row],[Unit Price]]</f>
        <v>6</v>
      </c>
      <c r="I1777" s="3">
        <v>3</v>
      </c>
      <c r="J1777" s="3">
        <f>grocery_chain_data[[#This Row],[Total Amount]]-grocery_chain_data[[#This Row],[Discount Amount]]</f>
        <v>3</v>
      </c>
      <c r="K1777">
        <v>158</v>
      </c>
      <c r="L1777" t="str">
        <f>IF(grocery_chain_data[[#This Row],[Final Amount]]&lt;0,"Return","Sale")</f>
        <v>Sale</v>
      </c>
      <c r="M1777">
        <f>IF(grocery_chain_data[[#This Row],[Final Amount]]&lt;0,0,grocery_chain_data[[#This Row],[Final Amount]])</f>
        <v>3</v>
      </c>
    </row>
    <row r="1778" spans="1:13" x14ac:dyDescent="0.3">
      <c r="A1778">
        <v>6005</v>
      </c>
      <c r="B1778" t="s">
        <v>8</v>
      </c>
      <c r="C1778" s="1">
        <v>45708</v>
      </c>
      <c r="D1778" s="1" t="str">
        <f t="shared" si="27"/>
        <v>Bakery</v>
      </c>
      <c r="E1778" t="s">
        <v>22</v>
      </c>
      <c r="F1778" s="2">
        <v>2</v>
      </c>
      <c r="G1778" s="3">
        <v>4</v>
      </c>
      <c r="H1778" s="3">
        <f>grocery_chain_data[[#This Row],[Quantity]]*grocery_chain_data[[#This Row],[Unit Price]]</f>
        <v>8</v>
      </c>
      <c r="I1778" s="3">
        <v>1</v>
      </c>
      <c r="J1778" s="3">
        <f>grocery_chain_data[[#This Row],[Total Amount]]-grocery_chain_data[[#This Row],[Discount Amount]]</f>
        <v>7</v>
      </c>
      <c r="K1778">
        <v>364</v>
      </c>
      <c r="L1778" t="str">
        <f>IF(grocery_chain_data[[#This Row],[Final Amount]]&lt;0,"Return","Sale")</f>
        <v>Sale</v>
      </c>
      <c r="M1778">
        <f>IF(grocery_chain_data[[#This Row],[Final Amount]]&lt;0,0,grocery_chain_data[[#This Row],[Final Amount]])</f>
        <v>7</v>
      </c>
    </row>
    <row r="1779" spans="1:13" x14ac:dyDescent="0.3">
      <c r="A1779">
        <v>4836</v>
      </c>
      <c r="B1779" t="s">
        <v>5</v>
      </c>
      <c r="C1779" s="1">
        <v>45478</v>
      </c>
      <c r="D1779" s="1" t="str">
        <f t="shared" si="27"/>
        <v>Produce</v>
      </c>
      <c r="E1779" t="s">
        <v>4</v>
      </c>
      <c r="F1779" s="2">
        <v>3</v>
      </c>
      <c r="G1779" s="3">
        <v>12</v>
      </c>
      <c r="H1779" s="3">
        <f>grocery_chain_data[[#This Row],[Quantity]]*grocery_chain_data[[#This Row],[Unit Price]]</f>
        <v>36</v>
      </c>
      <c r="I1779" s="3">
        <v>4</v>
      </c>
      <c r="J1779" s="3">
        <f>grocery_chain_data[[#This Row],[Total Amount]]-grocery_chain_data[[#This Row],[Discount Amount]]</f>
        <v>32</v>
      </c>
      <c r="K1779">
        <v>471</v>
      </c>
      <c r="L1779" t="str">
        <f>IF(grocery_chain_data[[#This Row],[Final Amount]]&lt;0,"Return","Sale")</f>
        <v>Sale</v>
      </c>
      <c r="M1779">
        <f>IF(grocery_chain_data[[#This Row],[Final Amount]]&lt;0,0,grocery_chain_data[[#This Row],[Final Amount]])</f>
        <v>32</v>
      </c>
    </row>
    <row r="1780" spans="1:13" x14ac:dyDescent="0.3">
      <c r="A1780">
        <v>2494</v>
      </c>
      <c r="B1780" t="s">
        <v>12</v>
      </c>
      <c r="C1780" s="1">
        <v>45691</v>
      </c>
      <c r="D1780" s="1" t="str">
        <f t="shared" si="27"/>
        <v>Bakery</v>
      </c>
      <c r="E1780" t="s">
        <v>22</v>
      </c>
      <c r="F1780" s="2">
        <v>3</v>
      </c>
      <c r="G1780" s="3">
        <v>30</v>
      </c>
      <c r="H1780" s="3">
        <f>grocery_chain_data[[#This Row],[Quantity]]*grocery_chain_data[[#This Row],[Unit Price]]</f>
        <v>90</v>
      </c>
      <c r="I1780" s="3">
        <v>18</v>
      </c>
      <c r="J1780" s="3">
        <f>grocery_chain_data[[#This Row],[Total Amount]]-grocery_chain_data[[#This Row],[Discount Amount]]</f>
        <v>72</v>
      </c>
      <c r="K1780">
        <v>226</v>
      </c>
      <c r="L1780" t="str">
        <f>IF(grocery_chain_data[[#This Row],[Final Amount]]&lt;0,"Return","Sale")</f>
        <v>Sale</v>
      </c>
      <c r="M1780">
        <f>IF(grocery_chain_data[[#This Row],[Final Amount]]&lt;0,0,grocery_chain_data[[#This Row],[Final Amount]])</f>
        <v>72</v>
      </c>
    </row>
    <row r="1781" spans="1:13" x14ac:dyDescent="0.3">
      <c r="A1781">
        <v>2559</v>
      </c>
      <c r="B1781" t="s">
        <v>2</v>
      </c>
      <c r="C1781" s="1">
        <v>45145</v>
      </c>
      <c r="D1781" s="1" t="str">
        <f t="shared" si="27"/>
        <v>Pantry</v>
      </c>
      <c r="E1781" t="s">
        <v>1</v>
      </c>
      <c r="F1781" s="2">
        <v>1</v>
      </c>
      <c r="G1781" s="3">
        <v>15</v>
      </c>
      <c r="H1781" s="3">
        <f>grocery_chain_data[[#This Row],[Quantity]]*grocery_chain_data[[#This Row],[Unit Price]]</f>
        <v>15</v>
      </c>
      <c r="I1781" s="3">
        <v>3</v>
      </c>
      <c r="J1781" s="3">
        <f>grocery_chain_data[[#This Row],[Total Amount]]-grocery_chain_data[[#This Row],[Discount Amount]]</f>
        <v>12</v>
      </c>
      <c r="K1781">
        <v>426</v>
      </c>
      <c r="L1781" t="str">
        <f>IF(grocery_chain_data[[#This Row],[Final Amount]]&lt;0,"Return","Sale")</f>
        <v>Sale</v>
      </c>
      <c r="M1781">
        <f>IF(grocery_chain_data[[#This Row],[Final Amount]]&lt;0,0,grocery_chain_data[[#This Row],[Final Amount]])</f>
        <v>12</v>
      </c>
    </row>
    <row r="1782" spans="1:13" x14ac:dyDescent="0.3">
      <c r="A1782">
        <v>4496</v>
      </c>
      <c r="B1782" t="s">
        <v>21</v>
      </c>
      <c r="C1782" s="1">
        <v>45515</v>
      </c>
      <c r="D1782" s="1" t="str">
        <f t="shared" si="27"/>
        <v>Dairy</v>
      </c>
      <c r="E1782" t="s">
        <v>23</v>
      </c>
      <c r="F1782" s="2">
        <v>2</v>
      </c>
      <c r="G1782" s="3">
        <v>1</v>
      </c>
      <c r="H1782" s="3">
        <f>grocery_chain_data[[#This Row],[Quantity]]*grocery_chain_data[[#This Row],[Unit Price]]</f>
        <v>2</v>
      </c>
      <c r="I1782" s="3">
        <v>3</v>
      </c>
      <c r="J1782" s="3">
        <f>grocery_chain_data[[#This Row],[Total Amount]]-grocery_chain_data[[#This Row],[Discount Amount]]</f>
        <v>-1</v>
      </c>
      <c r="K1782">
        <v>124</v>
      </c>
      <c r="L1782" t="str">
        <f>IF(grocery_chain_data[[#This Row],[Final Amount]]&lt;0,"Return","Sale")</f>
        <v>Return</v>
      </c>
      <c r="M1782">
        <f>IF(grocery_chain_data[[#This Row],[Final Amount]]&lt;0,0,grocery_chain_data[[#This Row],[Final Amount]])</f>
        <v>0</v>
      </c>
    </row>
    <row r="1783" spans="1:13" x14ac:dyDescent="0.3">
      <c r="A1783">
        <v>2276</v>
      </c>
      <c r="B1783" t="s">
        <v>10</v>
      </c>
      <c r="C1783" s="1">
        <v>45248</v>
      </c>
      <c r="D1783" s="1" t="str">
        <f t="shared" si="27"/>
        <v>Produce</v>
      </c>
      <c r="E1783" t="s">
        <v>4</v>
      </c>
      <c r="F1783" s="2">
        <v>5</v>
      </c>
      <c r="G1783" s="3">
        <v>30</v>
      </c>
      <c r="H1783" s="3">
        <f>grocery_chain_data[[#This Row],[Quantity]]*grocery_chain_data[[#This Row],[Unit Price]]</f>
        <v>150</v>
      </c>
      <c r="I1783" s="3">
        <v>30</v>
      </c>
      <c r="J1783" s="3">
        <f>grocery_chain_data[[#This Row],[Total Amount]]-grocery_chain_data[[#This Row],[Discount Amount]]</f>
        <v>120</v>
      </c>
      <c r="K1783">
        <v>98</v>
      </c>
      <c r="L1783" t="str">
        <f>IF(grocery_chain_data[[#This Row],[Final Amount]]&lt;0,"Return","Sale")</f>
        <v>Sale</v>
      </c>
      <c r="M1783">
        <f>IF(grocery_chain_data[[#This Row],[Final Amount]]&lt;0,0,grocery_chain_data[[#This Row],[Final Amount]])</f>
        <v>120</v>
      </c>
    </row>
    <row r="1784" spans="1:13" x14ac:dyDescent="0.3">
      <c r="A1784">
        <v>4705</v>
      </c>
      <c r="B1784" t="s">
        <v>2</v>
      </c>
      <c r="C1784" s="1">
        <v>45548</v>
      </c>
      <c r="D1784" s="1" t="str">
        <f t="shared" si="27"/>
        <v>Produce</v>
      </c>
      <c r="E1784" t="s">
        <v>14</v>
      </c>
      <c r="F1784" s="2">
        <v>5</v>
      </c>
      <c r="G1784" s="3">
        <v>27</v>
      </c>
      <c r="H1784" s="3">
        <f>grocery_chain_data[[#This Row],[Quantity]]*grocery_chain_data[[#This Row],[Unit Price]]</f>
        <v>135</v>
      </c>
      <c r="I1784" s="3">
        <v>0</v>
      </c>
      <c r="J1784" s="3">
        <f>grocery_chain_data[[#This Row],[Total Amount]]-grocery_chain_data[[#This Row],[Discount Amount]]</f>
        <v>135</v>
      </c>
      <c r="K1784">
        <v>198</v>
      </c>
      <c r="L1784" t="str">
        <f>IF(grocery_chain_data[[#This Row],[Final Amount]]&lt;0,"Return","Sale")</f>
        <v>Sale</v>
      </c>
      <c r="M1784">
        <f>IF(grocery_chain_data[[#This Row],[Final Amount]]&lt;0,0,grocery_chain_data[[#This Row],[Final Amount]])</f>
        <v>135</v>
      </c>
    </row>
    <row r="1785" spans="1:13" x14ac:dyDescent="0.3">
      <c r="A1785">
        <v>8291</v>
      </c>
      <c r="B1785" t="s">
        <v>16</v>
      </c>
      <c r="C1785" s="1">
        <v>45152</v>
      </c>
      <c r="D1785" s="1" t="str">
        <f t="shared" si="27"/>
        <v>Dairy</v>
      </c>
      <c r="E1785" t="s">
        <v>3</v>
      </c>
      <c r="F1785" s="2">
        <v>3</v>
      </c>
      <c r="G1785" s="3">
        <v>12</v>
      </c>
      <c r="H1785" s="3">
        <f>grocery_chain_data[[#This Row],[Quantity]]*grocery_chain_data[[#This Row],[Unit Price]]</f>
        <v>36</v>
      </c>
      <c r="I1785" s="3">
        <v>5</v>
      </c>
      <c r="J1785" s="3">
        <f>grocery_chain_data[[#This Row],[Total Amount]]-grocery_chain_data[[#This Row],[Discount Amount]]</f>
        <v>31</v>
      </c>
      <c r="K1785">
        <v>473</v>
      </c>
      <c r="L1785" t="str">
        <f>IF(grocery_chain_data[[#This Row],[Final Amount]]&lt;0,"Return","Sale")</f>
        <v>Sale</v>
      </c>
      <c r="M1785">
        <f>IF(grocery_chain_data[[#This Row],[Final Amount]]&lt;0,0,grocery_chain_data[[#This Row],[Final Amount]])</f>
        <v>31</v>
      </c>
    </row>
    <row r="1786" spans="1:13" x14ac:dyDescent="0.3">
      <c r="A1786">
        <v>1132</v>
      </c>
      <c r="B1786" t="s">
        <v>2</v>
      </c>
      <c r="C1786" s="1">
        <v>45685</v>
      </c>
      <c r="D1786" s="1" t="str">
        <f t="shared" si="27"/>
        <v>Bakery</v>
      </c>
      <c r="E1786" t="s">
        <v>22</v>
      </c>
      <c r="F1786" s="2">
        <v>2</v>
      </c>
      <c r="G1786" s="3">
        <v>10</v>
      </c>
      <c r="H1786" s="3">
        <f>grocery_chain_data[[#This Row],[Quantity]]*grocery_chain_data[[#This Row],[Unit Price]]</f>
        <v>20</v>
      </c>
      <c r="I1786" s="3">
        <v>3</v>
      </c>
      <c r="J1786" s="3">
        <f>grocery_chain_data[[#This Row],[Total Amount]]-grocery_chain_data[[#This Row],[Discount Amount]]</f>
        <v>17</v>
      </c>
      <c r="K1786">
        <v>423</v>
      </c>
      <c r="L1786" t="str">
        <f>IF(grocery_chain_data[[#This Row],[Final Amount]]&lt;0,"Return","Sale")</f>
        <v>Sale</v>
      </c>
      <c r="M1786">
        <f>IF(grocery_chain_data[[#This Row],[Final Amount]]&lt;0,0,grocery_chain_data[[#This Row],[Final Amount]])</f>
        <v>17</v>
      </c>
    </row>
    <row r="1787" spans="1:13" x14ac:dyDescent="0.3">
      <c r="A1787">
        <v>6629</v>
      </c>
      <c r="B1787" t="s">
        <v>0</v>
      </c>
      <c r="C1787" s="1">
        <v>45779</v>
      </c>
      <c r="D1787" s="1" t="str">
        <f t="shared" si="27"/>
        <v>Produce</v>
      </c>
      <c r="E1787" t="s">
        <v>25</v>
      </c>
      <c r="F1787" s="2">
        <v>5</v>
      </c>
      <c r="G1787" s="3">
        <v>10</v>
      </c>
      <c r="H1787" s="3">
        <f>grocery_chain_data[[#This Row],[Quantity]]*grocery_chain_data[[#This Row],[Unit Price]]</f>
        <v>50</v>
      </c>
      <c r="I1787" s="3">
        <v>0</v>
      </c>
      <c r="J1787" s="3">
        <f>grocery_chain_data[[#This Row],[Total Amount]]-grocery_chain_data[[#This Row],[Discount Amount]]</f>
        <v>50</v>
      </c>
      <c r="K1787">
        <v>413</v>
      </c>
      <c r="L1787" t="str">
        <f>IF(grocery_chain_data[[#This Row],[Final Amount]]&lt;0,"Return","Sale")</f>
        <v>Sale</v>
      </c>
      <c r="M1787">
        <f>IF(grocery_chain_data[[#This Row],[Final Amount]]&lt;0,0,grocery_chain_data[[#This Row],[Final Amount]])</f>
        <v>50</v>
      </c>
    </row>
    <row r="1788" spans="1:13" x14ac:dyDescent="0.3">
      <c r="A1788">
        <v>2975</v>
      </c>
      <c r="B1788" t="s">
        <v>16</v>
      </c>
      <c r="C1788" s="1">
        <v>45813</v>
      </c>
      <c r="D1788" s="1" t="str">
        <f t="shared" si="27"/>
        <v>Produce</v>
      </c>
      <c r="E1788" t="s">
        <v>4</v>
      </c>
      <c r="F1788" s="2">
        <v>2</v>
      </c>
      <c r="G1788" s="3">
        <v>14</v>
      </c>
      <c r="H1788" s="3">
        <f>grocery_chain_data[[#This Row],[Quantity]]*grocery_chain_data[[#This Row],[Unit Price]]</f>
        <v>28</v>
      </c>
      <c r="I1788" s="3">
        <v>3</v>
      </c>
      <c r="J1788" s="3">
        <f>grocery_chain_data[[#This Row],[Total Amount]]-grocery_chain_data[[#This Row],[Discount Amount]]</f>
        <v>25</v>
      </c>
      <c r="K1788">
        <v>294</v>
      </c>
      <c r="L1788" t="str">
        <f>IF(grocery_chain_data[[#This Row],[Final Amount]]&lt;0,"Return","Sale")</f>
        <v>Sale</v>
      </c>
      <c r="M1788">
        <f>IF(grocery_chain_data[[#This Row],[Final Amount]]&lt;0,0,grocery_chain_data[[#This Row],[Final Amount]])</f>
        <v>25</v>
      </c>
    </row>
    <row r="1789" spans="1:13" x14ac:dyDescent="0.3">
      <c r="A1789">
        <v>7919</v>
      </c>
      <c r="B1789" t="s">
        <v>10</v>
      </c>
      <c r="C1789" s="1">
        <v>45684</v>
      </c>
      <c r="D1789" s="1" t="str">
        <f t="shared" si="27"/>
        <v>Dairy</v>
      </c>
      <c r="E1789" t="s">
        <v>3</v>
      </c>
      <c r="F1789" s="2">
        <v>1</v>
      </c>
      <c r="G1789" s="3">
        <v>29</v>
      </c>
      <c r="H1789" s="3">
        <f>grocery_chain_data[[#This Row],[Quantity]]*grocery_chain_data[[#This Row],[Unit Price]]</f>
        <v>29</v>
      </c>
      <c r="I1789" s="3">
        <v>3</v>
      </c>
      <c r="J1789" s="3">
        <f>grocery_chain_data[[#This Row],[Total Amount]]-grocery_chain_data[[#This Row],[Discount Amount]]</f>
        <v>26</v>
      </c>
      <c r="K1789">
        <v>87</v>
      </c>
      <c r="L1789" t="str">
        <f>IF(grocery_chain_data[[#This Row],[Final Amount]]&lt;0,"Return","Sale")</f>
        <v>Sale</v>
      </c>
      <c r="M1789">
        <f>IF(grocery_chain_data[[#This Row],[Final Amount]]&lt;0,0,grocery_chain_data[[#This Row],[Final Amount]])</f>
        <v>26</v>
      </c>
    </row>
    <row r="1790" spans="1:13" x14ac:dyDescent="0.3">
      <c r="A1790">
        <v>3165</v>
      </c>
      <c r="B1790" t="s">
        <v>13</v>
      </c>
      <c r="C1790" s="1">
        <v>45516</v>
      </c>
      <c r="D1790" s="1" t="str">
        <f t="shared" si="27"/>
        <v>Produce</v>
      </c>
      <c r="E1790" t="s">
        <v>25</v>
      </c>
      <c r="F1790" s="2">
        <v>2</v>
      </c>
      <c r="G1790" s="3">
        <v>3</v>
      </c>
      <c r="H1790" s="3">
        <f>grocery_chain_data[[#This Row],[Quantity]]*grocery_chain_data[[#This Row],[Unit Price]]</f>
        <v>6</v>
      </c>
      <c r="I1790" s="3">
        <v>0</v>
      </c>
      <c r="J1790" s="3">
        <f>grocery_chain_data[[#This Row],[Total Amount]]-grocery_chain_data[[#This Row],[Discount Amount]]</f>
        <v>6</v>
      </c>
      <c r="K1790">
        <v>181</v>
      </c>
      <c r="L1790" t="str">
        <f>IF(grocery_chain_data[[#This Row],[Final Amount]]&lt;0,"Return","Sale")</f>
        <v>Sale</v>
      </c>
      <c r="M1790">
        <f>IF(grocery_chain_data[[#This Row],[Final Amount]]&lt;0,0,grocery_chain_data[[#This Row],[Final Amount]])</f>
        <v>6</v>
      </c>
    </row>
    <row r="1791" spans="1:13" x14ac:dyDescent="0.3">
      <c r="A1791">
        <v>2160</v>
      </c>
      <c r="B1791" t="s">
        <v>12</v>
      </c>
      <c r="C1791" s="1">
        <v>45322</v>
      </c>
      <c r="D1791" s="1" t="str">
        <f t="shared" si="27"/>
        <v>Pantry</v>
      </c>
      <c r="E1791" t="s">
        <v>1</v>
      </c>
      <c r="F1791" s="2">
        <v>1</v>
      </c>
      <c r="G1791" s="3">
        <v>22</v>
      </c>
      <c r="H1791" s="3">
        <f>grocery_chain_data[[#This Row],[Quantity]]*grocery_chain_data[[#This Row],[Unit Price]]</f>
        <v>22</v>
      </c>
      <c r="I1791" s="3">
        <v>0</v>
      </c>
      <c r="J1791" s="3">
        <f>grocery_chain_data[[#This Row],[Total Amount]]-grocery_chain_data[[#This Row],[Discount Amount]]</f>
        <v>22</v>
      </c>
      <c r="K1791">
        <v>251</v>
      </c>
      <c r="L1791" t="str">
        <f>IF(grocery_chain_data[[#This Row],[Final Amount]]&lt;0,"Return","Sale")</f>
        <v>Sale</v>
      </c>
      <c r="M1791">
        <f>IF(grocery_chain_data[[#This Row],[Final Amount]]&lt;0,0,grocery_chain_data[[#This Row],[Final Amount]])</f>
        <v>22</v>
      </c>
    </row>
    <row r="1792" spans="1:13" x14ac:dyDescent="0.3">
      <c r="A1792">
        <v>7276</v>
      </c>
      <c r="B1792" t="s">
        <v>5</v>
      </c>
      <c r="C1792" s="1">
        <v>45214</v>
      </c>
      <c r="D1792" s="1" t="str">
        <f t="shared" si="27"/>
        <v>Dairy</v>
      </c>
      <c r="E1792" t="s">
        <v>23</v>
      </c>
      <c r="F1792" s="2">
        <v>4</v>
      </c>
      <c r="G1792" s="3">
        <v>10</v>
      </c>
      <c r="H1792" s="3">
        <f>grocery_chain_data[[#This Row],[Quantity]]*grocery_chain_data[[#This Row],[Unit Price]]</f>
        <v>40</v>
      </c>
      <c r="I1792" s="3">
        <v>6</v>
      </c>
      <c r="J1792" s="3">
        <f>grocery_chain_data[[#This Row],[Total Amount]]-grocery_chain_data[[#This Row],[Discount Amount]]</f>
        <v>34</v>
      </c>
      <c r="K1792">
        <v>356</v>
      </c>
      <c r="L1792" t="str">
        <f>IF(grocery_chain_data[[#This Row],[Final Amount]]&lt;0,"Return","Sale")</f>
        <v>Sale</v>
      </c>
      <c r="M1792">
        <f>IF(grocery_chain_data[[#This Row],[Final Amount]]&lt;0,0,grocery_chain_data[[#This Row],[Final Amount]])</f>
        <v>34</v>
      </c>
    </row>
    <row r="1793" spans="1:13" x14ac:dyDescent="0.3">
      <c r="A1793">
        <v>2678</v>
      </c>
      <c r="B1793" t="s">
        <v>21</v>
      </c>
      <c r="C1793" s="1">
        <v>45225</v>
      </c>
      <c r="D1793" s="1" t="str">
        <f t="shared" si="27"/>
        <v>Produce</v>
      </c>
      <c r="E1793" t="s">
        <v>24</v>
      </c>
      <c r="F1793" s="2">
        <v>4</v>
      </c>
      <c r="G1793" s="3">
        <v>5</v>
      </c>
      <c r="H1793" s="3">
        <f>grocery_chain_data[[#This Row],[Quantity]]*grocery_chain_data[[#This Row],[Unit Price]]</f>
        <v>20</v>
      </c>
      <c r="I1793" s="3">
        <v>5</v>
      </c>
      <c r="J1793" s="3">
        <f>grocery_chain_data[[#This Row],[Total Amount]]-grocery_chain_data[[#This Row],[Discount Amount]]</f>
        <v>15</v>
      </c>
      <c r="K1793">
        <v>276</v>
      </c>
      <c r="L1793" t="str">
        <f>IF(grocery_chain_data[[#This Row],[Final Amount]]&lt;0,"Return","Sale")</f>
        <v>Sale</v>
      </c>
      <c r="M1793">
        <f>IF(grocery_chain_data[[#This Row],[Final Amount]]&lt;0,0,grocery_chain_data[[#This Row],[Final Amount]])</f>
        <v>15</v>
      </c>
    </row>
    <row r="1794" spans="1:13" x14ac:dyDescent="0.3">
      <c r="A1794">
        <v>6133</v>
      </c>
      <c r="B1794" t="s">
        <v>13</v>
      </c>
      <c r="C1794" s="1">
        <v>45430</v>
      </c>
      <c r="D1794" s="1" t="str">
        <f t="shared" ref="D1794:D1857" si="28">IF(E1794="Pasta","Pantry",
IF(E1794="Cheese","Dairy",
IF(E1794="Onions","Produce",
IF(E1794="Cereal","Pantry",
IF(E1794="Orange Juice","Beverages",
IF(E1794="Ground Beef","Meat &amp; Seafood",
IF(E1794="Apples","Produce",
IF(E1794="Milk","Dairy",
IF(E1794="Bananas","Produce",
IF(E1794="Bread","Bakery",
IF(E1794="Carrots","Produce",
IF(E1794="Chicken Breast","Meat &amp; Seafood",
IF(E1794="Eggs","Dairy",
IF(E1794="Potatoes","Produce",
IF(E1794="Rice","Produce",
IF(E1794="Salmon","Meat &amp; Seafood",
IF(E1794="Tomatoes","Produce",
IF(E1794="Yogurt","Dairy",
"Others"))))))))))))))))))</f>
        <v>Meat &amp; Seafood</v>
      </c>
      <c r="E1794" t="s">
        <v>26</v>
      </c>
      <c r="F1794" s="2">
        <v>1</v>
      </c>
      <c r="G1794" s="3">
        <v>19</v>
      </c>
      <c r="H1794" s="3">
        <f>grocery_chain_data[[#This Row],[Quantity]]*grocery_chain_data[[#This Row],[Unit Price]]</f>
        <v>19</v>
      </c>
      <c r="I1794" s="3">
        <v>0</v>
      </c>
      <c r="J1794" s="3">
        <f>grocery_chain_data[[#This Row],[Total Amount]]-grocery_chain_data[[#This Row],[Discount Amount]]</f>
        <v>19</v>
      </c>
      <c r="K1794">
        <v>271</v>
      </c>
      <c r="L1794" t="str">
        <f>IF(grocery_chain_data[[#This Row],[Final Amount]]&lt;0,"Return","Sale")</f>
        <v>Sale</v>
      </c>
      <c r="M1794">
        <f>IF(grocery_chain_data[[#This Row],[Final Amount]]&lt;0,0,grocery_chain_data[[#This Row],[Final Amount]])</f>
        <v>19</v>
      </c>
    </row>
    <row r="1795" spans="1:13" x14ac:dyDescent="0.3">
      <c r="A1795">
        <v>5902</v>
      </c>
      <c r="B1795" t="s">
        <v>5</v>
      </c>
      <c r="C1795" s="1">
        <v>45251</v>
      </c>
      <c r="D1795" s="1" t="str">
        <f t="shared" si="28"/>
        <v>Meat &amp; Seafood</v>
      </c>
      <c r="E1795" t="s">
        <v>9</v>
      </c>
      <c r="F1795" s="2">
        <v>5</v>
      </c>
      <c r="G1795" s="3">
        <v>23</v>
      </c>
      <c r="H1795" s="3">
        <f>grocery_chain_data[[#This Row],[Quantity]]*grocery_chain_data[[#This Row],[Unit Price]]</f>
        <v>115</v>
      </c>
      <c r="I1795" s="3">
        <v>4</v>
      </c>
      <c r="J1795" s="3">
        <f>grocery_chain_data[[#This Row],[Total Amount]]-grocery_chain_data[[#This Row],[Discount Amount]]</f>
        <v>111</v>
      </c>
      <c r="K1795">
        <v>91</v>
      </c>
      <c r="L1795" t="str">
        <f>IF(grocery_chain_data[[#This Row],[Final Amount]]&lt;0,"Return","Sale")</f>
        <v>Sale</v>
      </c>
      <c r="M1795">
        <f>IF(grocery_chain_data[[#This Row],[Final Amount]]&lt;0,0,grocery_chain_data[[#This Row],[Final Amount]])</f>
        <v>111</v>
      </c>
    </row>
    <row r="1796" spans="1:13" x14ac:dyDescent="0.3">
      <c r="A1796">
        <v>7270</v>
      </c>
      <c r="B1796" t="s">
        <v>10</v>
      </c>
      <c r="C1796" s="1">
        <v>45745</v>
      </c>
      <c r="D1796" s="1" t="str">
        <f t="shared" si="28"/>
        <v>Pantry</v>
      </c>
      <c r="E1796" t="s">
        <v>6</v>
      </c>
      <c r="F1796" s="2">
        <v>1</v>
      </c>
      <c r="G1796" s="3">
        <v>4</v>
      </c>
      <c r="H1796" s="3">
        <f>grocery_chain_data[[#This Row],[Quantity]]*grocery_chain_data[[#This Row],[Unit Price]]</f>
        <v>4</v>
      </c>
      <c r="I1796" s="3">
        <v>0</v>
      </c>
      <c r="J1796" s="3">
        <f>grocery_chain_data[[#This Row],[Total Amount]]-grocery_chain_data[[#This Row],[Discount Amount]]</f>
        <v>4</v>
      </c>
      <c r="K1796">
        <v>206</v>
      </c>
      <c r="L1796" t="str">
        <f>IF(grocery_chain_data[[#This Row],[Final Amount]]&lt;0,"Return","Sale")</f>
        <v>Sale</v>
      </c>
      <c r="M1796">
        <f>IF(grocery_chain_data[[#This Row],[Final Amount]]&lt;0,0,grocery_chain_data[[#This Row],[Final Amount]])</f>
        <v>4</v>
      </c>
    </row>
    <row r="1797" spans="1:13" x14ac:dyDescent="0.3">
      <c r="A1797">
        <v>3181</v>
      </c>
      <c r="B1797" t="s">
        <v>8</v>
      </c>
      <c r="C1797" s="1">
        <v>45643</v>
      </c>
      <c r="D1797" s="1" t="str">
        <f t="shared" si="28"/>
        <v>Dairy</v>
      </c>
      <c r="E1797" t="s">
        <v>20</v>
      </c>
      <c r="F1797" s="2">
        <v>3</v>
      </c>
      <c r="G1797" s="3">
        <v>6</v>
      </c>
      <c r="H1797" s="3">
        <f>grocery_chain_data[[#This Row],[Quantity]]*grocery_chain_data[[#This Row],[Unit Price]]</f>
        <v>18</v>
      </c>
      <c r="I1797" s="3">
        <v>4</v>
      </c>
      <c r="J1797" s="3">
        <f>grocery_chain_data[[#This Row],[Total Amount]]-grocery_chain_data[[#This Row],[Discount Amount]]</f>
        <v>14</v>
      </c>
      <c r="K1797">
        <v>159</v>
      </c>
      <c r="L1797" t="str">
        <f>IF(grocery_chain_data[[#This Row],[Final Amount]]&lt;0,"Return","Sale")</f>
        <v>Sale</v>
      </c>
      <c r="M1797">
        <f>IF(grocery_chain_data[[#This Row],[Final Amount]]&lt;0,0,grocery_chain_data[[#This Row],[Final Amount]])</f>
        <v>14</v>
      </c>
    </row>
    <row r="1798" spans="1:13" x14ac:dyDescent="0.3">
      <c r="A1798">
        <v>3340</v>
      </c>
      <c r="B1798" t="s">
        <v>8</v>
      </c>
      <c r="C1798" s="1">
        <v>45198</v>
      </c>
      <c r="D1798" s="1" t="str">
        <f t="shared" si="28"/>
        <v>Produce</v>
      </c>
      <c r="E1798" t="s">
        <v>25</v>
      </c>
      <c r="F1798" s="2">
        <v>1</v>
      </c>
      <c r="G1798" s="3">
        <v>6</v>
      </c>
      <c r="H1798" s="3">
        <f>grocery_chain_data[[#This Row],[Quantity]]*grocery_chain_data[[#This Row],[Unit Price]]</f>
        <v>6</v>
      </c>
      <c r="I1798" s="3">
        <v>1</v>
      </c>
      <c r="J1798" s="3">
        <f>grocery_chain_data[[#This Row],[Total Amount]]-grocery_chain_data[[#This Row],[Discount Amount]]</f>
        <v>5</v>
      </c>
      <c r="K1798">
        <v>205</v>
      </c>
      <c r="L1798" t="str">
        <f>IF(grocery_chain_data[[#This Row],[Final Amount]]&lt;0,"Return","Sale")</f>
        <v>Sale</v>
      </c>
      <c r="M1798">
        <f>IF(grocery_chain_data[[#This Row],[Final Amount]]&lt;0,0,grocery_chain_data[[#This Row],[Final Amount]])</f>
        <v>5</v>
      </c>
    </row>
    <row r="1799" spans="1:13" x14ac:dyDescent="0.3">
      <c r="A1799">
        <v>9691</v>
      </c>
      <c r="B1799" t="s">
        <v>16</v>
      </c>
      <c r="C1799" s="1">
        <v>45582</v>
      </c>
      <c r="D1799" s="1" t="str">
        <f t="shared" si="28"/>
        <v>Bakery</v>
      </c>
      <c r="E1799" t="s">
        <v>22</v>
      </c>
      <c r="F1799" s="2">
        <v>3</v>
      </c>
      <c r="G1799" s="3">
        <v>14</v>
      </c>
      <c r="H1799" s="3">
        <f>grocery_chain_data[[#This Row],[Quantity]]*grocery_chain_data[[#This Row],[Unit Price]]</f>
        <v>42</v>
      </c>
      <c r="I1799" s="3">
        <v>5</v>
      </c>
      <c r="J1799" s="3">
        <f>grocery_chain_data[[#This Row],[Total Amount]]-grocery_chain_data[[#This Row],[Discount Amount]]</f>
        <v>37</v>
      </c>
      <c r="K1799">
        <v>48</v>
      </c>
      <c r="L1799" t="str">
        <f>IF(grocery_chain_data[[#This Row],[Final Amount]]&lt;0,"Return","Sale")</f>
        <v>Sale</v>
      </c>
      <c r="M1799">
        <f>IF(grocery_chain_data[[#This Row],[Final Amount]]&lt;0,0,grocery_chain_data[[#This Row],[Final Amount]])</f>
        <v>37</v>
      </c>
    </row>
    <row r="1800" spans="1:13" x14ac:dyDescent="0.3">
      <c r="A1800">
        <v>1138</v>
      </c>
      <c r="B1800" t="s">
        <v>13</v>
      </c>
      <c r="C1800" s="1">
        <v>45619</v>
      </c>
      <c r="D1800" s="1" t="str">
        <f t="shared" si="28"/>
        <v>Dairy</v>
      </c>
      <c r="E1800" t="s">
        <v>19</v>
      </c>
      <c r="F1800" s="2">
        <v>3</v>
      </c>
      <c r="G1800" s="3">
        <v>4</v>
      </c>
      <c r="H1800" s="3">
        <f>grocery_chain_data[[#This Row],[Quantity]]*grocery_chain_data[[#This Row],[Unit Price]]</f>
        <v>12</v>
      </c>
      <c r="I1800" s="3">
        <v>2</v>
      </c>
      <c r="J1800" s="3">
        <f>grocery_chain_data[[#This Row],[Total Amount]]-grocery_chain_data[[#This Row],[Discount Amount]]</f>
        <v>10</v>
      </c>
      <c r="K1800">
        <v>0</v>
      </c>
      <c r="L1800" t="str">
        <f>IF(grocery_chain_data[[#This Row],[Final Amount]]&lt;0,"Return","Sale")</f>
        <v>Sale</v>
      </c>
      <c r="M1800">
        <f>IF(grocery_chain_data[[#This Row],[Final Amount]]&lt;0,0,grocery_chain_data[[#This Row],[Final Amount]])</f>
        <v>10</v>
      </c>
    </row>
    <row r="1801" spans="1:13" x14ac:dyDescent="0.3">
      <c r="A1801">
        <v>3688</v>
      </c>
      <c r="B1801" t="s">
        <v>12</v>
      </c>
      <c r="C1801" s="1">
        <v>45486</v>
      </c>
      <c r="D1801" s="1" t="str">
        <f t="shared" si="28"/>
        <v>Beverages</v>
      </c>
      <c r="E1801" t="s">
        <v>7</v>
      </c>
      <c r="F1801" s="2">
        <v>1</v>
      </c>
      <c r="G1801" s="3">
        <v>29</v>
      </c>
      <c r="H1801" s="3">
        <f>grocery_chain_data[[#This Row],[Quantity]]*grocery_chain_data[[#This Row],[Unit Price]]</f>
        <v>29</v>
      </c>
      <c r="I1801" s="3">
        <v>6</v>
      </c>
      <c r="J1801" s="3">
        <f>grocery_chain_data[[#This Row],[Total Amount]]-grocery_chain_data[[#This Row],[Discount Amount]]</f>
        <v>23</v>
      </c>
      <c r="K1801">
        <v>96</v>
      </c>
      <c r="L1801" t="str">
        <f>IF(grocery_chain_data[[#This Row],[Final Amount]]&lt;0,"Return","Sale")</f>
        <v>Sale</v>
      </c>
      <c r="M1801">
        <f>IF(grocery_chain_data[[#This Row],[Final Amount]]&lt;0,0,grocery_chain_data[[#This Row],[Final Amount]])</f>
        <v>23</v>
      </c>
    </row>
    <row r="1802" spans="1:13" x14ac:dyDescent="0.3">
      <c r="A1802">
        <v>6753</v>
      </c>
      <c r="B1802" t="s">
        <v>2</v>
      </c>
      <c r="C1802" s="1">
        <v>45706</v>
      </c>
      <c r="D1802" s="1" t="str">
        <f t="shared" si="28"/>
        <v>Beverages</v>
      </c>
      <c r="E1802" t="s">
        <v>7</v>
      </c>
      <c r="F1802" s="2">
        <v>1</v>
      </c>
      <c r="G1802" s="3">
        <v>26</v>
      </c>
      <c r="H1802" s="3">
        <f>grocery_chain_data[[#This Row],[Quantity]]*grocery_chain_data[[#This Row],[Unit Price]]</f>
        <v>26</v>
      </c>
      <c r="I1802" s="3">
        <v>2</v>
      </c>
      <c r="J1802" s="3">
        <f>grocery_chain_data[[#This Row],[Total Amount]]-grocery_chain_data[[#This Row],[Discount Amount]]</f>
        <v>24</v>
      </c>
      <c r="K1802">
        <v>467</v>
      </c>
      <c r="L1802" t="str">
        <f>IF(grocery_chain_data[[#This Row],[Final Amount]]&lt;0,"Return","Sale")</f>
        <v>Sale</v>
      </c>
      <c r="M1802">
        <f>IF(grocery_chain_data[[#This Row],[Final Amount]]&lt;0,0,grocery_chain_data[[#This Row],[Final Amount]])</f>
        <v>24</v>
      </c>
    </row>
    <row r="1803" spans="1:13" x14ac:dyDescent="0.3">
      <c r="A1803">
        <v>4490</v>
      </c>
      <c r="B1803" t="s">
        <v>5</v>
      </c>
      <c r="C1803" s="1">
        <v>45632</v>
      </c>
      <c r="D1803" s="1" t="str">
        <f t="shared" si="28"/>
        <v>Produce</v>
      </c>
      <c r="E1803" t="s">
        <v>11</v>
      </c>
      <c r="F1803" s="2">
        <v>5</v>
      </c>
      <c r="G1803" s="3">
        <v>5</v>
      </c>
      <c r="H1803" s="3">
        <f>grocery_chain_data[[#This Row],[Quantity]]*grocery_chain_data[[#This Row],[Unit Price]]</f>
        <v>25</v>
      </c>
      <c r="I1803" s="3">
        <v>3</v>
      </c>
      <c r="J1803" s="3">
        <f>grocery_chain_data[[#This Row],[Total Amount]]-grocery_chain_data[[#This Row],[Discount Amount]]</f>
        <v>22</v>
      </c>
      <c r="K1803">
        <v>419</v>
      </c>
      <c r="L1803" t="str">
        <f>IF(grocery_chain_data[[#This Row],[Final Amount]]&lt;0,"Return","Sale")</f>
        <v>Sale</v>
      </c>
      <c r="M1803">
        <f>IF(grocery_chain_data[[#This Row],[Final Amount]]&lt;0,0,grocery_chain_data[[#This Row],[Final Amount]])</f>
        <v>22</v>
      </c>
    </row>
    <row r="1804" spans="1:13" x14ac:dyDescent="0.3">
      <c r="A1804">
        <v>3480</v>
      </c>
      <c r="B1804" t="s">
        <v>2</v>
      </c>
      <c r="C1804" s="1">
        <v>45859</v>
      </c>
      <c r="D1804" s="1" t="str">
        <f t="shared" si="28"/>
        <v>Produce</v>
      </c>
      <c r="E1804" t="s">
        <v>17</v>
      </c>
      <c r="F1804" s="2">
        <v>3</v>
      </c>
      <c r="G1804" s="3">
        <v>4</v>
      </c>
      <c r="H1804" s="3">
        <f>grocery_chain_data[[#This Row],[Quantity]]*grocery_chain_data[[#This Row],[Unit Price]]</f>
        <v>12</v>
      </c>
      <c r="I1804" s="3">
        <v>3</v>
      </c>
      <c r="J1804" s="3">
        <f>grocery_chain_data[[#This Row],[Total Amount]]-grocery_chain_data[[#This Row],[Discount Amount]]</f>
        <v>9</v>
      </c>
      <c r="K1804">
        <v>349</v>
      </c>
      <c r="L1804" t="str">
        <f>IF(grocery_chain_data[[#This Row],[Final Amount]]&lt;0,"Return","Sale")</f>
        <v>Sale</v>
      </c>
      <c r="M1804">
        <f>IF(grocery_chain_data[[#This Row],[Final Amount]]&lt;0,0,grocery_chain_data[[#This Row],[Final Amount]])</f>
        <v>9</v>
      </c>
    </row>
    <row r="1805" spans="1:13" x14ac:dyDescent="0.3">
      <c r="A1805">
        <v>7745</v>
      </c>
      <c r="B1805" t="s">
        <v>0</v>
      </c>
      <c r="C1805" s="1">
        <v>45623</v>
      </c>
      <c r="D1805" s="1" t="str">
        <f t="shared" si="28"/>
        <v>Dairy</v>
      </c>
      <c r="E1805" t="s">
        <v>23</v>
      </c>
      <c r="F1805" s="2">
        <v>5</v>
      </c>
      <c r="G1805" s="3">
        <v>5</v>
      </c>
      <c r="H1805" s="3">
        <f>grocery_chain_data[[#This Row],[Quantity]]*grocery_chain_data[[#This Row],[Unit Price]]</f>
        <v>25</v>
      </c>
      <c r="I1805" s="3">
        <v>3</v>
      </c>
      <c r="J1805" s="3">
        <f>grocery_chain_data[[#This Row],[Total Amount]]-grocery_chain_data[[#This Row],[Discount Amount]]</f>
        <v>22</v>
      </c>
      <c r="K1805">
        <v>313</v>
      </c>
      <c r="L1805" t="str">
        <f>IF(grocery_chain_data[[#This Row],[Final Amount]]&lt;0,"Return","Sale")</f>
        <v>Sale</v>
      </c>
      <c r="M1805">
        <f>IF(grocery_chain_data[[#This Row],[Final Amount]]&lt;0,0,grocery_chain_data[[#This Row],[Final Amount]])</f>
        <v>22</v>
      </c>
    </row>
    <row r="1806" spans="1:13" x14ac:dyDescent="0.3">
      <c r="A1806">
        <v>8248</v>
      </c>
      <c r="B1806" t="s">
        <v>2</v>
      </c>
      <c r="C1806" s="1">
        <v>45812</v>
      </c>
      <c r="D1806" s="1" t="str">
        <f t="shared" si="28"/>
        <v>Meat &amp; Seafood</v>
      </c>
      <c r="E1806" t="s">
        <v>15</v>
      </c>
      <c r="F1806" s="2">
        <v>1</v>
      </c>
      <c r="G1806" s="3">
        <v>20</v>
      </c>
      <c r="H1806" s="3">
        <f>grocery_chain_data[[#This Row],[Quantity]]*grocery_chain_data[[#This Row],[Unit Price]]</f>
        <v>20</v>
      </c>
      <c r="I1806" s="3">
        <v>4</v>
      </c>
      <c r="J1806" s="3">
        <f>grocery_chain_data[[#This Row],[Total Amount]]-grocery_chain_data[[#This Row],[Discount Amount]]</f>
        <v>16</v>
      </c>
      <c r="K1806">
        <v>33</v>
      </c>
      <c r="L1806" t="str">
        <f>IF(grocery_chain_data[[#This Row],[Final Amount]]&lt;0,"Return","Sale")</f>
        <v>Sale</v>
      </c>
      <c r="M1806">
        <f>IF(grocery_chain_data[[#This Row],[Final Amount]]&lt;0,0,grocery_chain_data[[#This Row],[Final Amount]])</f>
        <v>16</v>
      </c>
    </row>
    <row r="1807" spans="1:13" x14ac:dyDescent="0.3">
      <c r="A1807">
        <v>4559</v>
      </c>
      <c r="B1807" t="s">
        <v>16</v>
      </c>
      <c r="C1807" s="1">
        <v>45212</v>
      </c>
      <c r="D1807" s="1" t="str">
        <f t="shared" si="28"/>
        <v>Meat &amp; Seafood</v>
      </c>
      <c r="E1807" t="s">
        <v>9</v>
      </c>
      <c r="F1807" s="2">
        <v>4</v>
      </c>
      <c r="G1807" s="3">
        <v>6</v>
      </c>
      <c r="H1807" s="3">
        <f>grocery_chain_data[[#This Row],[Quantity]]*grocery_chain_data[[#This Row],[Unit Price]]</f>
        <v>24</v>
      </c>
      <c r="I1807" s="3">
        <v>4</v>
      </c>
      <c r="J1807" s="3">
        <f>grocery_chain_data[[#This Row],[Total Amount]]-grocery_chain_data[[#This Row],[Discount Amount]]</f>
        <v>20</v>
      </c>
      <c r="K1807">
        <v>206</v>
      </c>
      <c r="L1807" t="str">
        <f>IF(grocery_chain_data[[#This Row],[Final Amount]]&lt;0,"Return","Sale")</f>
        <v>Sale</v>
      </c>
      <c r="M1807">
        <f>IF(grocery_chain_data[[#This Row],[Final Amount]]&lt;0,0,grocery_chain_data[[#This Row],[Final Amount]])</f>
        <v>20</v>
      </c>
    </row>
    <row r="1808" spans="1:13" x14ac:dyDescent="0.3">
      <c r="A1808">
        <v>2646</v>
      </c>
      <c r="B1808" t="s">
        <v>13</v>
      </c>
      <c r="C1808" s="1">
        <v>45253</v>
      </c>
      <c r="D1808" s="1" t="str">
        <f t="shared" si="28"/>
        <v>Meat &amp; Seafood</v>
      </c>
      <c r="E1808" t="s">
        <v>26</v>
      </c>
      <c r="F1808" s="2">
        <v>5</v>
      </c>
      <c r="G1808" s="3">
        <v>4</v>
      </c>
      <c r="H1808" s="3">
        <f>grocery_chain_data[[#This Row],[Quantity]]*grocery_chain_data[[#This Row],[Unit Price]]</f>
        <v>20</v>
      </c>
      <c r="I1808" s="3">
        <v>3</v>
      </c>
      <c r="J1808" s="3">
        <f>grocery_chain_data[[#This Row],[Total Amount]]-grocery_chain_data[[#This Row],[Discount Amount]]</f>
        <v>17</v>
      </c>
      <c r="K1808">
        <v>335</v>
      </c>
      <c r="L1808" t="str">
        <f>IF(grocery_chain_data[[#This Row],[Final Amount]]&lt;0,"Return","Sale")</f>
        <v>Sale</v>
      </c>
      <c r="M1808">
        <f>IF(grocery_chain_data[[#This Row],[Final Amount]]&lt;0,0,grocery_chain_data[[#This Row],[Final Amount]])</f>
        <v>17</v>
      </c>
    </row>
    <row r="1809" spans="1:13" x14ac:dyDescent="0.3">
      <c r="A1809">
        <v>3017</v>
      </c>
      <c r="B1809" t="s">
        <v>2</v>
      </c>
      <c r="C1809" s="1">
        <v>45602</v>
      </c>
      <c r="D1809" s="1" t="str">
        <f t="shared" si="28"/>
        <v>Produce</v>
      </c>
      <c r="E1809" t="s">
        <v>14</v>
      </c>
      <c r="F1809" s="2">
        <v>5</v>
      </c>
      <c r="G1809" s="3">
        <v>20</v>
      </c>
      <c r="H1809" s="3">
        <f>grocery_chain_data[[#This Row],[Quantity]]*grocery_chain_data[[#This Row],[Unit Price]]</f>
        <v>100</v>
      </c>
      <c r="I1809" s="3">
        <v>20</v>
      </c>
      <c r="J1809" s="3">
        <f>grocery_chain_data[[#This Row],[Total Amount]]-grocery_chain_data[[#This Row],[Discount Amount]]</f>
        <v>80</v>
      </c>
      <c r="K1809">
        <v>144</v>
      </c>
      <c r="L1809" t="str">
        <f>IF(grocery_chain_data[[#This Row],[Final Amount]]&lt;0,"Return","Sale")</f>
        <v>Sale</v>
      </c>
      <c r="M1809">
        <f>IF(grocery_chain_data[[#This Row],[Final Amount]]&lt;0,0,grocery_chain_data[[#This Row],[Final Amount]])</f>
        <v>80</v>
      </c>
    </row>
    <row r="1810" spans="1:13" x14ac:dyDescent="0.3">
      <c r="A1810">
        <v>7291</v>
      </c>
      <c r="B1810" t="s">
        <v>10</v>
      </c>
      <c r="C1810" s="1">
        <v>45418</v>
      </c>
      <c r="D1810" s="1" t="str">
        <f t="shared" si="28"/>
        <v>Produce</v>
      </c>
      <c r="E1810" t="s">
        <v>17</v>
      </c>
      <c r="F1810" s="2">
        <v>4</v>
      </c>
      <c r="G1810" s="3">
        <v>13</v>
      </c>
      <c r="H1810" s="3">
        <f>grocery_chain_data[[#This Row],[Quantity]]*grocery_chain_data[[#This Row],[Unit Price]]</f>
        <v>52</v>
      </c>
      <c r="I1810" s="3">
        <v>5</v>
      </c>
      <c r="J1810" s="3">
        <f>grocery_chain_data[[#This Row],[Total Amount]]-grocery_chain_data[[#This Row],[Discount Amount]]</f>
        <v>47</v>
      </c>
      <c r="K1810">
        <v>193</v>
      </c>
      <c r="L1810" t="str">
        <f>IF(grocery_chain_data[[#This Row],[Final Amount]]&lt;0,"Return","Sale")</f>
        <v>Sale</v>
      </c>
      <c r="M1810">
        <f>IF(grocery_chain_data[[#This Row],[Final Amount]]&lt;0,0,grocery_chain_data[[#This Row],[Final Amount]])</f>
        <v>47</v>
      </c>
    </row>
    <row r="1811" spans="1:13" x14ac:dyDescent="0.3">
      <c r="A1811">
        <v>8035</v>
      </c>
      <c r="B1811" t="s">
        <v>13</v>
      </c>
      <c r="C1811" s="1">
        <v>45389</v>
      </c>
      <c r="D1811" s="1" t="str">
        <f t="shared" si="28"/>
        <v>Meat &amp; Seafood</v>
      </c>
      <c r="E1811" t="s">
        <v>26</v>
      </c>
      <c r="F1811" s="2">
        <v>3</v>
      </c>
      <c r="G1811" s="3">
        <v>17</v>
      </c>
      <c r="H1811" s="3">
        <f>grocery_chain_data[[#This Row],[Quantity]]*grocery_chain_data[[#This Row],[Unit Price]]</f>
        <v>51</v>
      </c>
      <c r="I1811" s="3">
        <v>8</v>
      </c>
      <c r="J1811" s="3">
        <f>grocery_chain_data[[#This Row],[Total Amount]]-grocery_chain_data[[#This Row],[Discount Amount]]</f>
        <v>43</v>
      </c>
      <c r="K1811">
        <v>312</v>
      </c>
      <c r="L1811" t="str">
        <f>IF(grocery_chain_data[[#This Row],[Final Amount]]&lt;0,"Return","Sale")</f>
        <v>Sale</v>
      </c>
      <c r="M1811">
        <f>IF(grocery_chain_data[[#This Row],[Final Amount]]&lt;0,0,grocery_chain_data[[#This Row],[Final Amount]])</f>
        <v>43</v>
      </c>
    </row>
    <row r="1812" spans="1:13" x14ac:dyDescent="0.3">
      <c r="A1812">
        <v>3290</v>
      </c>
      <c r="B1812" t="s">
        <v>10</v>
      </c>
      <c r="C1812" s="1">
        <v>45337</v>
      </c>
      <c r="D1812" s="1" t="str">
        <f t="shared" si="28"/>
        <v>Dairy</v>
      </c>
      <c r="E1812" t="s">
        <v>19</v>
      </c>
      <c r="F1812" s="2">
        <v>5</v>
      </c>
      <c r="G1812" s="3">
        <v>25</v>
      </c>
      <c r="H1812" s="3">
        <f>grocery_chain_data[[#This Row],[Quantity]]*grocery_chain_data[[#This Row],[Unit Price]]</f>
        <v>125</v>
      </c>
      <c r="I1812" s="3">
        <v>19</v>
      </c>
      <c r="J1812" s="3">
        <f>grocery_chain_data[[#This Row],[Total Amount]]-grocery_chain_data[[#This Row],[Discount Amount]]</f>
        <v>106</v>
      </c>
      <c r="K1812">
        <v>96</v>
      </c>
      <c r="L1812" t="str">
        <f>IF(grocery_chain_data[[#This Row],[Final Amount]]&lt;0,"Return","Sale")</f>
        <v>Sale</v>
      </c>
      <c r="M1812">
        <f>IF(grocery_chain_data[[#This Row],[Final Amount]]&lt;0,0,grocery_chain_data[[#This Row],[Final Amount]])</f>
        <v>106</v>
      </c>
    </row>
    <row r="1813" spans="1:13" x14ac:dyDescent="0.3">
      <c r="A1813">
        <v>5537</v>
      </c>
      <c r="B1813" t="s">
        <v>2</v>
      </c>
      <c r="C1813" s="1">
        <v>45645</v>
      </c>
      <c r="D1813" s="1" t="str">
        <f t="shared" si="28"/>
        <v>Pantry</v>
      </c>
      <c r="E1813" t="s">
        <v>6</v>
      </c>
      <c r="F1813" s="2">
        <v>1</v>
      </c>
      <c r="G1813" s="3">
        <v>16</v>
      </c>
      <c r="H1813" s="3">
        <f>grocery_chain_data[[#This Row],[Quantity]]*grocery_chain_data[[#This Row],[Unit Price]]</f>
        <v>16</v>
      </c>
      <c r="I1813" s="3">
        <v>2</v>
      </c>
      <c r="J1813" s="3">
        <f>grocery_chain_data[[#This Row],[Total Amount]]-grocery_chain_data[[#This Row],[Discount Amount]]</f>
        <v>14</v>
      </c>
      <c r="K1813">
        <v>24</v>
      </c>
      <c r="L1813" t="str">
        <f>IF(grocery_chain_data[[#This Row],[Final Amount]]&lt;0,"Return","Sale")</f>
        <v>Sale</v>
      </c>
      <c r="M1813">
        <f>IF(grocery_chain_data[[#This Row],[Final Amount]]&lt;0,0,grocery_chain_data[[#This Row],[Final Amount]])</f>
        <v>14</v>
      </c>
    </row>
    <row r="1814" spans="1:13" x14ac:dyDescent="0.3">
      <c r="A1814">
        <v>2380</v>
      </c>
      <c r="B1814" t="s">
        <v>21</v>
      </c>
      <c r="C1814" s="1">
        <v>45337</v>
      </c>
      <c r="D1814" s="1" t="str">
        <f t="shared" si="28"/>
        <v>Produce</v>
      </c>
      <c r="E1814" t="s">
        <v>4</v>
      </c>
      <c r="F1814" s="2">
        <v>1</v>
      </c>
      <c r="G1814" s="3">
        <v>25</v>
      </c>
      <c r="H1814" s="3">
        <f>grocery_chain_data[[#This Row],[Quantity]]*grocery_chain_data[[#This Row],[Unit Price]]</f>
        <v>25</v>
      </c>
      <c r="I1814" s="3">
        <v>0</v>
      </c>
      <c r="J1814" s="3">
        <f>grocery_chain_data[[#This Row],[Total Amount]]-grocery_chain_data[[#This Row],[Discount Amount]]</f>
        <v>25</v>
      </c>
      <c r="K1814">
        <v>350</v>
      </c>
      <c r="L1814" t="str">
        <f>IF(grocery_chain_data[[#This Row],[Final Amount]]&lt;0,"Return","Sale")</f>
        <v>Sale</v>
      </c>
      <c r="M1814">
        <f>IF(grocery_chain_data[[#This Row],[Final Amount]]&lt;0,0,grocery_chain_data[[#This Row],[Final Amount]])</f>
        <v>25</v>
      </c>
    </row>
    <row r="1815" spans="1:13" x14ac:dyDescent="0.3">
      <c r="A1815">
        <v>5668</v>
      </c>
      <c r="B1815" t="s">
        <v>2</v>
      </c>
      <c r="C1815" s="1">
        <v>45750</v>
      </c>
      <c r="D1815" s="1" t="str">
        <f t="shared" si="28"/>
        <v>Produce</v>
      </c>
      <c r="E1815" t="s">
        <v>11</v>
      </c>
      <c r="F1815" s="2">
        <v>5</v>
      </c>
      <c r="G1815" s="3">
        <v>12</v>
      </c>
      <c r="H1815" s="3">
        <f>grocery_chain_data[[#This Row],[Quantity]]*grocery_chain_data[[#This Row],[Unit Price]]</f>
        <v>60</v>
      </c>
      <c r="I1815" s="3">
        <v>12</v>
      </c>
      <c r="J1815" s="3">
        <f>grocery_chain_data[[#This Row],[Total Amount]]-grocery_chain_data[[#This Row],[Discount Amount]]</f>
        <v>48</v>
      </c>
      <c r="K1815">
        <v>357</v>
      </c>
      <c r="L1815" t="str">
        <f>IF(grocery_chain_data[[#This Row],[Final Amount]]&lt;0,"Return","Sale")</f>
        <v>Sale</v>
      </c>
      <c r="M1815">
        <f>IF(grocery_chain_data[[#This Row],[Final Amount]]&lt;0,0,grocery_chain_data[[#This Row],[Final Amount]])</f>
        <v>48</v>
      </c>
    </row>
    <row r="1816" spans="1:13" x14ac:dyDescent="0.3">
      <c r="A1816">
        <v>1439</v>
      </c>
      <c r="B1816" t="s">
        <v>0</v>
      </c>
      <c r="C1816" s="1">
        <v>45803</v>
      </c>
      <c r="D1816" s="1" t="str">
        <f t="shared" si="28"/>
        <v>Produce</v>
      </c>
      <c r="E1816" t="s">
        <v>11</v>
      </c>
      <c r="F1816" s="2">
        <v>2</v>
      </c>
      <c r="G1816" s="3">
        <v>22</v>
      </c>
      <c r="H1816" s="3">
        <f>grocery_chain_data[[#This Row],[Quantity]]*grocery_chain_data[[#This Row],[Unit Price]]</f>
        <v>44</v>
      </c>
      <c r="I1816" s="3">
        <v>4</v>
      </c>
      <c r="J1816" s="3">
        <f>grocery_chain_data[[#This Row],[Total Amount]]-grocery_chain_data[[#This Row],[Discount Amount]]</f>
        <v>40</v>
      </c>
      <c r="K1816">
        <v>37</v>
      </c>
      <c r="L1816" t="str">
        <f>IF(grocery_chain_data[[#This Row],[Final Amount]]&lt;0,"Return","Sale")</f>
        <v>Sale</v>
      </c>
      <c r="M1816">
        <f>IF(grocery_chain_data[[#This Row],[Final Amount]]&lt;0,0,grocery_chain_data[[#This Row],[Final Amount]])</f>
        <v>40</v>
      </c>
    </row>
    <row r="1817" spans="1:13" x14ac:dyDescent="0.3">
      <c r="A1817">
        <v>5942</v>
      </c>
      <c r="B1817" t="s">
        <v>21</v>
      </c>
      <c r="C1817" s="1">
        <v>45304</v>
      </c>
      <c r="D1817" s="1" t="str">
        <f t="shared" si="28"/>
        <v>Produce</v>
      </c>
      <c r="E1817" t="s">
        <v>18</v>
      </c>
      <c r="F1817" s="2">
        <v>1</v>
      </c>
      <c r="G1817" s="3">
        <v>28</v>
      </c>
      <c r="H1817" s="3">
        <f>grocery_chain_data[[#This Row],[Quantity]]*grocery_chain_data[[#This Row],[Unit Price]]</f>
        <v>28</v>
      </c>
      <c r="I1817" s="3">
        <v>4</v>
      </c>
      <c r="J1817" s="3">
        <f>grocery_chain_data[[#This Row],[Total Amount]]-grocery_chain_data[[#This Row],[Discount Amount]]</f>
        <v>24</v>
      </c>
      <c r="K1817">
        <v>105</v>
      </c>
      <c r="L1817" t="str">
        <f>IF(grocery_chain_data[[#This Row],[Final Amount]]&lt;0,"Return","Sale")</f>
        <v>Sale</v>
      </c>
      <c r="M1817">
        <f>IF(grocery_chain_data[[#This Row],[Final Amount]]&lt;0,0,grocery_chain_data[[#This Row],[Final Amount]])</f>
        <v>24</v>
      </c>
    </row>
    <row r="1818" spans="1:13" x14ac:dyDescent="0.3">
      <c r="A1818">
        <v>9482</v>
      </c>
      <c r="B1818" t="s">
        <v>13</v>
      </c>
      <c r="C1818" s="1">
        <v>45616</v>
      </c>
      <c r="D1818" s="1" t="str">
        <f t="shared" si="28"/>
        <v>Pantry</v>
      </c>
      <c r="E1818" t="s">
        <v>6</v>
      </c>
      <c r="F1818" s="2">
        <v>2</v>
      </c>
      <c r="G1818" s="3">
        <v>30</v>
      </c>
      <c r="H1818" s="3">
        <f>grocery_chain_data[[#This Row],[Quantity]]*grocery_chain_data[[#This Row],[Unit Price]]</f>
        <v>60</v>
      </c>
      <c r="I1818" s="3">
        <v>9</v>
      </c>
      <c r="J1818" s="3">
        <f>grocery_chain_data[[#This Row],[Total Amount]]-grocery_chain_data[[#This Row],[Discount Amount]]</f>
        <v>51</v>
      </c>
      <c r="K1818">
        <v>423</v>
      </c>
      <c r="L1818" t="str">
        <f>IF(grocery_chain_data[[#This Row],[Final Amount]]&lt;0,"Return","Sale")</f>
        <v>Sale</v>
      </c>
      <c r="M1818">
        <f>IF(grocery_chain_data[[#This Row],[Final Amount]]&lt;0,0,grocery_chain_data[[#This Row],[Final Amount]])</f>
        <v>51</v>
      </c>
    </row>
    <row r="1819" spans="1:13" x14ac:dyDescent="0.3">
      <c r="A1819">
        <v>9348</v>
      </c>
      <c r="B1819" t="s">
        <v>8</v>
      </c>
      <c r="C1819" s="1">
        <v>45291</v>
      </c>
      <c r="D1819" s="1" t="str">
        <f t="shared" si="28"/>
        <v>Dairy</v>
      </c>
      <c r="E1819" t="s">
        <v>20</v>
      </c>
      <c r="F1819" s="2">
        <v>2</v>
      </c>
      <c r="G1819" s="3">
        <v>18</v>
      </c>
      <c r="H1819" s="3">
        <f>grocery_chain_data[[#This Row],[Quantity]]*grocery_chain_data[[#This Row],[Unit Price]]</f>
        <v>36</v>
      </c>
      <c r="I1819" s="3">
        <v>4</v>
      </c>
      <c r="J1819" s="3">
        <f>grocery_chain_data[[#This Row],[Total Amount]]-grocery_chain_data[[#This Row],[Discount Amount]]</f>
        <v>32</v>
      </c>
      <c r="K1819">
        <v>318</v>
      </c>
      <c r="L1819" t="str">
        <f>IF(grocery_chain_data[[#This Row],[Final Amount]]&lt;0,"Return","Sale")</f>
        <v>Sale</v>
      </c>
      <c r="M1819">
        <f>IF(grocery_chain_data[[#This Row],[Final Amount]]&lt;0,0,grocery_chain_data[[#This Row],[Final Amount]])</f>
        <v>32</v>
      </c>
    </row>
    <row r="1820" spans="1:13" x14ac:dyDescent="0.3">
      <c r="A1820">
        <v>7418</v>
      </c>
      <c r="B1820" t="s">
        <v>12</v>
      </c>
      <c r="C1820" s="1">
        <v>45374</v>
      </c>
      <c r="D1820" s="1" t="str">
        <f t="shared" si="28"/>
        <v>Pantry</v>
      </c>
      <c r="E1820" t="s">
        <v>1</v>
      </c>
      <c r="F1820" s="2">
        <v>4</v>
      </c>
      <c r="G1820" s="3">
        <v>21</v>
      </c>
      <c r="H1820" s="3">
        <f>grocery_chain_data[[#This Row],[Quantity]]*grocery_chain_data[[#This Row],[Unit Price]]</f>
        <v>84</v>
      </c>
      <c r="I1820" s="3">
        <v>8</v>
      </c>
      <c r="J1820" s="3">
        <f>grocery_chain_data[[#This Row],[Total Amount]]-grocery_chain_data[[#This Row],[Discount Amount]]</f>
        <v>76</v>
      </c>
      <c r="K1820">
        <v>212</v>
      </c>
      <c r="L1820" t="str">
        <f>IF(grocery_chain_data[[#This Row],[Final Amount]]&lt;0,"Return","Sale")</f>
        <v>Sale</v>
      </c>
      <c r="M1820">
        <f>IF(grocery_chain_data[[#This Row],[Final Amount]]&lt;0,0,grocery_chain_data[[#This Row],[Final Amount]])</f>
        <v>76</v>
      </c>
    </row>
    <row r="1821" spans="1:13" x14ac:dyDescent="0.3">
      <c r="A1821">
        <v>1894</v>
      </c>
      <c r="B1821" t="s">
        <v>12</v>
      </c>
      <c r="C1821" s="1">
        <v>45753</v>
      </c>
      <c r="D1821" s="1" t="str">
        <f t="shared" si="28"/>
        <v>Produce</v>
      </c>
      <c r="E1821" t="s">
        <v>25</v>
      </c>
      <c r="F1821" s="2">
        <v>3</v>
      </c>
      <c r="G1821" s="3">
        <v>18</v>
      </c>
      <c r="H1821" s="3">
        <f>grocery_chain_data[[#This Row],[Quantity]]*grocery_chain_data[[#This Row],[Unit Price]]</f>
        <v>54</v>
      </c>
      <c r="I1821" s="3">
        <v>4</v>
      </c>
      <c r="J1821" s="3">
        <f>grocery_chain_data[[#This Row],[Total Amount]]-grocery_chain_data[[#This Row],[Discount Amount]]</f>
        <v>50</v>
      </c>
      <c r="K1821">
        <v>320</v>
      </c>
      <c r="L1821" t="str">
        <f>IF(grocery_chain_data[[#This Row],[Final Amount]]&lt;0,"Return","Sale")</f>
        <v>Sale</v>
      </c>
      <c r="M1821">
        <f>IF(grocery_chain_data[[#This Row],[Final Amount]]&lt;0,0,grocery_chain_data[[#This Row],[Final Amount]])</f>
        <v>50</v>
      </c>
    </row>
    <row r="1822" spans="1:13" x14ac:dyDescent="0.3">
      <c r="A1822">
        <v>4921</v>
      </c>
      <c r="B1822" t="s">
        <v>10</v>
      </c>
      <c r="C1822" s="1">
        <v>45529</v>
      </c>
      <c r="D1822" s="1" t="str">
        <f t="shared" si="28"/>
        <v>Meat &amp; Seafood</v>
      </c>
      <c r="E1822" t="s">
        <v>9</v>
      </c>
      <c r="F1822" s="2">
        <v>1</v>
      </c>
      <c r="G1822" s="3">
        <v>19</v>
      </c>
      <c r="H1822" s="3">
        <f>grocery_chain_data[[#This Row],[Quantity]]*grocery_chain_data[[#This Row],[Unit Price]]</f>
        <v>19</v>
      </c>
      <c r="I1822" s="3">
        <v>2</v>
      </c>
      <c r="J1822" s="3">
        <f>grocery_chain_data[[#This Row],[Total Amount]]-grocery_chain_data[[#This Row],[Discount Amount]]</f>
        <v>17</v>
      </c>
      <c r="K1822">
        <v>59</v>
      </c>
      <c r="L1822" t="str">
        <f>IF(grocery_chain_data[[#This Row],[Final Amount]]&lt;0,"Return","Sale")</f>
        <v>Sale</v>
      </c>
      <c r="M1822">
        <f>IF(grocery_chain_data[[#This Row],[Final Amount]]&lt;0,0,grocery_chain_data[[#This Row],[Final Amount]])</f>
        <v>17</v>
      </c>
    </row>
    <row r="1823" spans="1:13" x14ac:dyDescent="0.3">
      <c r="A1823">
        <v>7322</v>
      </c>
      <c r="B1823" t="s">
        <v>0</v>
      </c>
      <c r="C1823" s="1">
        <v>45232</v>
      </c>
      <c r="D1823" s="1" t="str">
        <f t="shared" si="28"/>
        <v>Produce</v>
      </c>
      <c r="E1823" t="s">
        <v>4</v>
      </c>
      <c r="F1823" s="2">
        <v>3</v>
      </c>
      <c r="G1823" s="3">
        <v>6</v>
      </c>
      <c r="H1823" s="3">
        <f>grocery_chain_data[[#This Row],[Quantity]]*grocery_chain_data[[#This Row],[Unit Price]]</f>
        <v>18</v>
      </c>
      <c r="I1823" s="3">
        <v>0</v>
      </c>
      <c r="J1823" s="3">
        <f>grocery_chain_data[[#This Row],[Total Amount]]-grocery_chain_data[[#This Row],[Discount Amount]]</f>
        <v>18</v>
      </c>
      <c r="K1823">
        <v>378</v>
      </c>
      <c r="L1823" t="str">
        <f>IF(grocery_chain_data[[#This Row],[Final Amount]]&lt;0,"Return","Sale")</f>
        <v>Sale</v>
      </c>
      <c r="M1823">
        <f>IF(grocery_chain_data[[#This Row],[Final Amount]]&lt;0,0,grocery_chain_data[[#This Row],[Final Amount]])</f>
        <v>18</v>
      </c>
    </row>
    <row r="1824" spans="1:13" x14ac:dyDescent="0.3">
      <c r="A1824">
        <v>4949</v>
      </c>
      <c r="B1824" t="s">
        <v>8</v>
      </c>
      <c r="C1824" s="1">
        <v>45533</v>
      </c>
      <c r="D1824" s="1" t="str">
        <f t="shared" si="28"/>
        <v>Produce</v>
      </c>
      <c r="E1824" t="s">
        <v>4</v>
      </c>
      <c r="F1824" s="2">
        <v>3</v>
      </c>
      <c r="G1824" s="3">
        <v>9</v>
      </c>
      <c r="H1824" s="3">
        <f>grocery_chain_data[[#This Row],[Quantity]]*grocery_chain_data[[#This Row],[Unit Price]]</f>
        <v>27</v>
      </c>
      <c r="I1824" s="3">
        <v>4</v>
      </c>
      <c r="J1824" s="3">
        <f>grocery_chain_data[[#This Row],[Total Amount]]-grocery_chain_data[[#This Row],[Discount Amount]]</f>
        <v>23</v>
      </c>
      <c r="K1824">
        <v>291</v>
      </c>
      <c r="L1824" t="str">
        <f>IF(grocery_chain_data[[#This Row],[Final Amount]]&lt;0,"Return","Sale")</f>
        <v>Sale</v>
      </c>
      <c r="M1824">
        <f>IF(grocery_chain_data[[#This Row],[Final Amount]]&lt;0,0,grocery_chain_data[[#This Row],[Final Amount]])</f>
        <v>23</v>
      </c>
    </row>
    <row r="1825" spans="1:13" x14ac:dyDescent="0.3">
      <c r="A1825">
        <v>2163</v>
      </c>
      <c r="B1825" t="s">
        <v>27</v>
      </c>
      <c r="C1825" s="1">
        <v>45555</v>
      </c>
      <c r="D1825" s="1" t="str">
        <f t="shared" si="28"/>
        <v>Bakery</v>
      </c>
      <c r="E1825" t="s">
        <v>22</v>
      </c>
      <c r="F1825" s="2">
        <v>5</v>
      </c>
      <c r="G1825" s="3">
        <v>26</v>
      </c>
      <c r="H1825" s="3">
        <f>grocery_chain_data[[#This Row],[Quantity]]*grocery_chain_data[[#This Row],[Unit Price]]</f>
        <v>130</v>
      </c>
      <c r="I1825" s="3">
        <v>5</v>
      </c>
      <c r="J1825" s="3">
        <f>grocery_chain_data[[#This Row],[Total Amount]]-grocery_chain_data[[#This Row],[Discount Amount]]</f>
        <v>125</v>
      </c>
      <c r="K1825">
        <v>102</v>
      </c>
      <c r="L1825" t="str">
        <f>IF(grocery_chain_data[[#This Row],[Final Amount]]&lt;0,"Return","Sale")</f>
        <v>Sale</v>
      </c>
      <c r="M1825">
        <f>IF(grocery_chain_data[[#This Row],[Final Amount]]&lt;0,0,grocery_chain_data[[#This Row],[Final Amount]])</f>
        <v>125</v>
      </c>
    </row>
    <row r="1826" spans="1:13" x14ac:dyDescent="0.3">
      <c r="A1826">
        <v>1197</v>
      </c>
      <c r="B1826" t="s">
        <v>10</v>
      </c>
      <c r="C1826" s="1">
        <v>45425</v>
      </c>
      <c r="D1826" s="1" t="str">
        <f t="shared" si="28"/>
        <v>Meat &amp; Seafood</v>
      </c>
      <c r="E1826" t="s">
        <v>26</v>
      </c>
      <c r="F1826" s="2">
        <v>1</v>
      </c>
      <c r="G1826" s="3">
        <v>8</v>
      </c>
      <c r="H1826" s="3">
        <f>grocery_chain_data[[#This Row],[Quantity]]*grocery_chain_data[[#This Row],[Unit Price]]</f>
        <v>8</v>
      </c>
      <c r="I1826" s="3">
        <v>2</v>
      </c>
      <c r="J1826" s="3">
        <f>grocery_chain_data[[#This Row],[Total Amount]]-grocery_chain_data[[#This Row],[Discount Amount]]</f>
        <v>6</v>
      </c>
      <c r="K1826">
        <v>426</v>
      </c>
      <c r="L1826" t="str">
        <f>IF(grocery_chain_data[[#This Row],[Final Amount]]&lt;0,"Return","Sale")</f>
        <v>Sale</v>
      </c>
      <c r="M1826">
        <f>IF(grocery_chain_data[[#This Row],[Final Amount]]&lt;0,0,grocery_chain_data[[#This Row],[Final Amount]])</f>
        <v>6</v>
      </c>
    </row>
    <row r="1827" spans="1:13" x14ac:dyDescent="0.3">
      <c r="A1827">
        <v>6185</v>
      </c>
      <c r="B1827" t="s">
        <v>0</v>
      </c>
      <c r="C1827" s="1">
        <v>45247</v>
      </c>
      <c r="D1827" s="1" t="str">
        <f t="shared" si="28"/>
        <v>Meat &amp; Seafood</v>
      </c>
      <c r="E1827" t="s">
        <v>9</v>
      </c>
      <c r="F1827" s="2">
        <v>4</v>
      </c>
      <c r="G1827" s="3">
        <v>19</v>
      </c>
      <c r="H1827" s="3">
        <f>grocery_chain_data[[#This Row],[Quantity]]*grocery_chain_data[[#This Row],[Unit Price]]</f>
        <v>76</v>
      </c>
      <c r="I1827" s="3">
        <v>8</v>
      </c>
      <c r="J1827" s="3">
        <f>grocery_chain_data[[#This Row],[Total Amount]]-grocery_chain_data[[#This Row],[Discount Amount]]</f>
        <v>68</v>
      </c>
      <c r="K1827">
        <v>224</v>
      </c>
      <c r="L1827" t="str">
        <f>IF(grocery_chain_data[[#This Row],[Final Amount]]&lt;0,"Return","Sale")</f>
        <v>Sale</v>
      </c>
      <c r="M1827">
        <f>IF(grocery_chain_data[[#This Row],[Final Amount]]&lt;0,0,grocery_chain_data[[#This Row],[Final Amount]])</f>
        <v>68</v>
      </c>
    </row>
    <row r="1828" spans="1:13" x14ac:dyDescent="0.3">
      <c r="A1828">
        <v>7337</v>
      </c>
      <c r="B1828" t="s">
        <v>13</v>
      </c>
      <c r="C1828" s="1">
        <v>45813</v>
      </c>
      <c r="D1828" s="1" t="str">
        <f t="shared" si="28"/>
        <v>Produce</v>
      </c>
      <c r="E1828" t="s">
        <v>24</v>
      </c>
      <c r="F1828" s="2">
        <v>2</v>
      </c>
      <c r="G1828" s="3">
        <v>23</v>
      </c>
      <c r="H1828" s="3">
        <f>grocery_chain_data[[#This Row],[Quantity]]*grocery_chain_data[[#This Row],[Unit Price]]</f>
        <v>46</v>
      </c>
      <c r="I1828" s="3">
        <v>3</v>
      </c>
      <c r="J1828" s="3">
        <f>grocery_chain_data[[#This Row],[Total Amount]]-grocery_chain_data[[#This Row],[Discount Amount]]</f>
        <v>43</v>
      </c>
      <c r="K1828">
        <v>371</v>
      </c>
      <c r="L1828" t="str">
        <f>IF(grocery_chain_data[[#This Row],[Final Amount]]&lt;0,"Return","Sale")</f>
        <v>Sale</v>
      </c>
      <c r="M1828">
        <f>IF(grocery_chain_data[[#This Row],[Final Amount]]&lt;0,0,grocery_chain_data[[#This Row],[Final Amount]])</f>
        <v>43</v>
      </c>
    </row>
    <row r="1829" spans="1:13" x14ac:dyDescent="0.3">
      <c r="A1829">
        <v>7895</v>
      </c>
      <c r="B1829" t="s">
        <v>5</v>
      </c>
      <c r="C1829" s="1">
        <v>45428</v>
      </c>
      <c r="D1829" s="1" t="str">
        <f t="shared" si="28"/>
        <v>Pantry</v>
      </c>
      <c r="E1829" t="s">
        <v>1</v>
      </c>
      <c r="F1829" s="2">
        <v>2</v>
      </c>
      <c r="G1829" s="3">
        <v>11</v>
      </c>
      <c r="H1829" s="3">
        <f>grocery_chain_data[[#This Row],[Quantity]]*grocery_chain_data[[#This Row],[Unit Price]]</f>
        <v>22</v>
      </c>
      <c r="I1829" s="3">
        <v>2</v>
      </c>
      <c r="J1829" s="3">
        <f>grocery_chain_data[[#This Row],[Total Amount]]-grocery_chain_data[[#This Row],[Discount Amount]]</f>
        <v>20</v>
      </c>
      <c r="K1829">
        <v>102</v>
      </c>
      <c r="L1829" t="str">
        <f>IF(grocery_chain_data[[#This Row],[Final Amount]]&lt;0,"Return","Sale")</f>
        <v>Sale</v>
      </c>
      <c r="M1829">
        <f>IF(grocery_chain_data[[#This Row],[Final Amount]]&lt;0,0,grocery_chain_data[[#This Row],[Final Amount]])</f>
        <v>20</v>
      </c>
    </row>
    <row r="1830" spans="1:13" x14ac:dyDescent="0.3">
      <c r="A1830">
        <v>9951</v>
      </c>
      <c r="B1830" t="s">
        <v>8</v>
      </c>
      <c r="C1830" s="1">
        <v>45675</v>
      </c>
      <c r="D1830" s="1" t="str">
        <f t="shared" si="28"/>
        <v>Produce</v>
      </c>
      <c r="E1830" t="s">
        <v>17</v>
      </c>
      <c r="F1830" s="2">
        <v>5</v>
      </c>
      <c r="G1830" s="3">
        <v>3</v>
      </c>
      <c r="H1830" s="3">
        <f>grocery_chain_data[[#This Row],[Quantity]]*grocery_chain_data[[#This Row],[Unit Price]]</f>
        <v>15</v>
      </c>
      <c r="I1830" s="3">
        <v>2</v>
      </c>
      <c r="J1830" s="3">
        <f>grocery_chain_data[[#This Row],[Total Amount]]-grocery_chain_data[[#This Row],[Discount Amount]]</f>
        <v>13</v>
      </c>
      <c r="K1830">
        <v>94</v>
      </c>
      <c r="L1830" t="str">
        <f>IF(grocery_chain_data[[#This Row],[Final Amount]]&lt;0,"Return","Sale")</f>
        <v>Sale</v>
      </c>
      <c r="M1830">
        <f>IF(grocery_chain_data[[#This Row],[Final Amount]]&lt;0,0,grocery_chain_data[[#This Row],[Final Amount]])</f>
        <v>13</v>
      </c>
    </row>
    <row r="1831" spans="1:13" x14ac:dyDescent="0.3">
      <c r="A1831">
        <v>3830</v>
      </c>
      <c r="B1831" t="s">
        <v>10</v>
      </c>
      <c r="C1831" s="1">
        <v>45737</v>
      </c>
      <c r="D1831" s="1" t="str">
        <f t="shared" si="28"/>
        <v>Meat &amp; Seafood</v>
      </c>
      <c r="E1831" t="s">
        <v>15</v>
      </c>
      <c r="F1831" s="2">
        <v>1</v>
      </c>
      <c r="G1831" s="3">
        <v>25</v>
      </c>
      <c r="H1831" s="3">
        <f>grocery_chain_data[[#This Row],[Quantity]]*grocery_chain_data[[#This Row],[Unit Price]]</f>
        <v>25</v>
      </c>
      <c r="I1831" s="3">
        <v>2</v>
      </c>
      <c r="J1831" s="3">
        <f>grocery_chain_data[[#This Row],[Total Amount]]-grocery_chain_data[[#This Row],[Discount Amount]]</f>
        <v>23</v>
      </c>
      <c r="K1831">
        <v>308</v>
      </c>
      <c r="L1831" t="str">
        <f>IF(grocery_chain_data[[#This Row],[Final Amount]]&lt;0,"Return","Sale")</f>
        <v>Sale</v>
      </c>
      <c r="M1831">
        <f>IF(grocery_chain_data[[#This Row],[Final Amount]]&lt;0,0,grocery_chain_data[[#This Row],[Final Amount]])</f>
        <v>23</v>
      </c>
    </row>
    <row r="1832" spans="1:13" x14ac:dyDescent="0.3">
      <c r="A1832">
        <v>8717</v>
      </c>
      <c r="B1832" t="s">
        <v>2</v>
      </c>
      <c r="C1832" s="1">
        <v>45743</v>
      </c>
      <c r="D1832" s="1" t="str">
        <f t="shared" si="28"/>
        <v>Dairy</v>
      </c>
      <c r="E1832" t="s">
        <v>19</v>
      </c>
      <c r="F1832" s="2">
        <v>1</v>
      </c>
      <c r="G1832" s="3">
        <v>21</v>
      </c>
      <c r="H1832" s="3">
        <f>grocery_chain_data[[#This Row],[Quantity]]*grocery_chain_data[[#This Row],[Unit Price]]</f>
        <v>21</v>
      </c>
      <c r="I1832" s="3">
        <v>4</v>
      </c>
      <c r="J1832" s="3">
        <f>grocery_chain_data[[#This Row],[Total Amount]]-grocery_chain_data[[#This Row],[Discount Amount]]</f>
        <v>17</v>
      </c>
      <c r="K1832">
        <v>209</v>
      </c>
      <c r="L1832" t="str">
        <f>IF(grocery_chain_data[[#This Row],[Final Amount]]&lt;0,"Return","Sale")</f>
        <v>Sale</v>
      </c>
      <c r="M1832">
        <f>IF(grocery_chain_data[[#This Row],[Final Amount]]&lt;0,0,grocery_chain_data[[#This Row],[Final Amount]])</f>
        <v>17</v>
      </c>
    </row>
    <row r="1833" spans="1:13" x14ac:dyDescent="0.3">
      <c r="A1833">
        <v>2195</v>
      </c>
      <c r="B1833" t="s">
        <v>16</v>
      </c>
      <c r="C1833" s="1">
        <v>45157</v>
      </c>
      <c r="D1833" s="1" t="str">
        <f t="shared" si="28"/>
        <v>Dairy</v>
      </c>
      <c r="E1833" t="s">
        <v>19</v>
      </c>
      <c r="F1833" s="2">
        <v>2</v>
      </c>
      <c r="G1833" s="3">
        <v>27</v>
      </c>
      <c r="H1833" s="3">
        <f>grocery_chain_data[[#This Row],[Quantity]]*grocery_chain_data[[#This Row],[Unit Price]]</f>
        <v>54</v>
      </c>
      <c r="I1833" s="3">
        <v>3</v>
      </c>
      <c r="J1833" s="3">
        <f>grocery_chain_data[[#This Row],[Total Amount]]-grocery_chain_data[[#This Row],[Discount Amount]]</f>
        <v>51</v>
      </c>
      <c r="K1833">
        <v>350</v>
      </c>
      <c r="L1833" t="str">
        <f>IF(grocery_chain_data[[#This Row],[Final Amount]]&lt;0,"Return","Sale")</f>
        <v>Sale</v>
      </c>
      <c r="M1833">
        <f>IF(grocery_chain_data[[#This Row],[Final Amount]]&lt;0,0,grocery_chain_data[[#This Row],[Final Amount]])</f>
        <v>51</v>
      </c>
    </row>
    <row r="1834" spans="1:13" x14ac:dyDescent="0.3">
      <c r="A1834">
        <v>2106</v>
      </c>
      <c r="B1834" t="s">
        <v>13</v>
      </c>
      <c r="C1834" s="1">
        <v>45155</v>
      </c>
      <c r="D1834" s="1" t="str">
        <f t="shared" si="28"/>
        <v>Meat &amp; Seafood</v>
      </c>
      <c r="E1834" t="s">
        <v>26</v>
      </c>
      <c r="F1834" s="2">
        <v>2</v>
      </c>
      <c r="G1834" s="3">
        <v>23</v>
      </c>
      <c r="H1834" s="3">
        <f>grocery_chain_data[[#This Row],[Quantity]]*grocery_chain_data[[#This Row],[Unit Price]]</f>
        <v>46</v>
      </c>
      <c r="I1834" s="3">
        <v>4</v>
      </c>
      <c r="J1834" s="3">
        <f>grocery_chain_data[[#This Row],[Total Amount]]-grocery_chain_data[[#This Row],[Discount Amount]]</f>
        <v>42</v>
      </c>
      <c r="K1834">
        <v>18</v>
      </c>
      <c r="L1834" t="str">
        <f>IF(grocery_chain_data[[#This Row],[Final Amount]]&lt;0,"Return","Sale")</f>
        <v>Sale</v>
      </c>
      <c r="M1834">
        <f>IF(grocery_chain_data[[#This Row],[Final Amount]]&lt;0,0,grocery_chain_data[[#This Row],[Final Amount]])</f>
        <v>42</v>
      </c>
    </row>
    <row r="1835" spans="1:13" x14ac:dyDescent="0.3">
      <c r="A1835">
        <v>5295</v>
      </c>
      <c r="B1835" t="s">
        <v>10</v>
      </c>
      <c r="C1835" s="1">
        <v>45312</v>
      </c>
      <c r="D1835" s="1" t="str">
        <f t="shared" si="28"/>
        <v>Produce</v>
      </c>
      <c r="E1835" t="s">
        <v>14</v>
      </c>
      <c r="F1835" s="2">
        <v>3</v>
      </c>
      <c r="G1835" s="3">
        <v>21</v>
      </c>
      <c r="H1835" s="3">
        <f>grocery_chain_data[[#This Row],[Quantity]]*grocery_chain_data[[#This Row],[Unit Price]]</f>
        <v>63</v>
      </c>
      <c r="I1835" s="3">
        <v>0</v>
      </c>
      <c r="J1835" s="3">
        <f>grocery_chain_data[[#This Row],[Total Amount]]-grocery_chain_data[[#This Row],[Discount Amount]]</f>
        <v>63</v>
      </c>
      <c r="K1835">
        <v>198</v>
      </c>
      <c r="L1835" t="str">
        <f>IF(grocery_chain_data[[#This Row],[Final Amount]]&lt;0,"Return","Sale")</f>
        <v>Sale</v>
      </c>
      <c r="M1835">
        <f>IF(grocery_chain_data[[#This Row],[Final Amount]]&lt;0,0,grocery_chain_data[[#This Row],[Final Amount]])</f>
        <v>63</v>
      </c>
    </row>
    <row r="1836" spans="1:13" x14ac:dyDescent="0.3">
      <c r="A1836">
        <v>1652</v>
      </c>
      <c r="B1836" t="s">
        <v>21</v>
      </c>
      <c r="C1836" s="1">
        <v>45861</v>
      </c>
      <c r="D1836" s="1" t="str">
        <f t="shared" si="28"/>
        <v>Produce</v>
      </c>
      <c r="E1836" t="s">
        <v>25</v>
      </c>
      <c r="F1836" s="2">
        <v>5</v>
      </c>
      <c r="G1836" s="3">
        <v>8</v>
      </c>
      <c r="H1836" s="3">
        <f>grocery_chain_data[[#This Row],[Quantity]]*grocery_chain_data[[#This Row],[Unit Price]]</f>
        <v>40</v>
      </c>
      <c r="I1836" s="3">
        <v>4</v>
      </c>
      <c r="J1836" s="3">
        <f>grocery_chain_data[[#This Row],[Total Amount]]-grocery_chain_data[[#This Row],[Discount Amount]]</f>
        <v>36</v>
      </c>
      <c r="K1836">
        <v>325</v>
      </c>
      <c r="L1836" t="str">
        <f>IF(grocery_chain_data[[#This Row],[Final Amount]]&lt;0,"Return","Sale")</f>
        <v>Sale</v>
      </c>
      <c r="M1836">
        <f>IF(grocery_chain_data[[#This Row],[Final Amount]]&lt;0,0,grocery_chain_data[[#This Row],[Final Amount]])</f>
        <v>36</v>
      </c>
    </row>
    <row r="1837" spans="1:13" x14ac:dyDescent="0.3">
      <c r="A1837">
        <v>1990</v>
      </c>
      <c r="B1837" t="s">
        <v>5</v>
      </c>
      <c r="C1837" s="1">
        <v>45758</v>
      </c>
      <c r="D1837" s="1" t="str">
        <f t="shared" si="28"/>
        <v>Produce</v>
      </c>
      <c r="E1837" t="s">
        <v>4</v>
      </c>
      <c r="F1837" s="2">
        <v>3</v>
      </c>
      <c r="G1837" s="3">
        <v>7</v>
      </c>
      <c r="H1837" s="3">
        <f>grocery_chain_data[[#This Row],[Quantity]]*grocery_chain_data[[#This Row],[Unit Price]]</f>
        <v>21</v>
      </c>
      <c r="I1837" s="3">
        <v>2</v>
      </c>
      <c r="J1837" s="3">
        <f>grocery_chain_data[[#This Row],[Total Amount]]-grocery_chain_data[[#This Row],[Discount Amount]]</f>
        <v>19</v>
      </c>
      <c r="K1837">
        <v>146</v>
      </c>
      <c r="L1837" t="str">
        <f>IF(grocery_chain_data[[#This Row],[Final Amount]]&lt;0,"Return","Sale")</f>
        <v>Sale</v>
      </c>
      <c r="M1837">
        <f>IF(grocery_chain_data[[#This Row],[Final Amount]]&lt;0,0,grocery_chain_data[[#This Row],[Final Amount]])</f>
        <v>19</v>
      </c>
    </row>
    <row r="1838" spans="1:13" x14ac:dyDescent="0.3">
      <c r="A1838">
        <v>7520</v>
      </c>
      <c r="B1838" t="s">
        <v>12</v>
      </c>
      <c r="C1838" s="1">
        <v>45538</v>
      </c>
      <c r="D1838" s="1" t="str">
        <f t="shared" si="28"/>
        <v>Beverages</v>
      </c>
      <c r="E1838" t="s">
        <v>7</v>
      </c>
      <c r="F1838" s="2">
        <v>1</v>
      </c>
      <c r="G1838" s="3">
        <v>14</v>
      </c>
      <c r="H1838" s="3">
        <f>grocery_chain_data[[#This Row],[Quantity]]*grocery_chain_data[[#This Row],[Unit Price]]</f>
        <v>14</v>
      </c>
      <c r="I1838" s="3">
        <v>3</v>
      </c>
      <c r="J1838" s="3">
        <f>grocery_chain_data[[#This Row],[Total Amount]]-grocery_chain_data[[#This Row],[Discount Amount]]</f>
        <v>11</v>
      </c>
      <c r="K1838">
        <v>153</v>
      </c>
      <c r="L1838" t="str">
        <f>IF(grocery_chain_data[[#This Row],[Final Amount]]&lt;0,"Return","Sale")</f>
        <v>Sale</v>
      </c>
      <c r="M1838">
        <f>IF(grocery_chain_data[[#This Row],[Final Amount]]&lt;0,0,grocery_chain_data[[#This Row],[Final Amount]])</f>
        <v>11</v>
      </c>
    </row>
    <row r="1839" spans="1:13" x14ac:dyDescent="0.3">
      <c r="A1839">
        <v>5693</v>
      </c>
      <c r="B1839" t="s">
        <v>2</v>
      </c>
      <c r="C1839" s="1">
        <v>45633</v>
      </c>
      <c r="D1839" s="1" t="str">
        <f t="shared" si="28"/>
        <v>Produce</v>
      </c>
      <c r="E1839" t="s">
        <v>14</v>
      </c>
      <c r="F1839" s="2">
        <v>2</v>
      </c>
      <c r="G1839" s="3">
        <v>25</v>
      </c>
      <c r="H1839" s="3">
        <f>grocery_chain_data[[#This Row],[Quantity]]*grocery_chain_data[[#This Row],[Unit Price]]</f>
        <v>50</v>
      </c>
      <c r="I1839" s="3">
        <v>5</v>
      </c>
      <c r="J1839" s="3">
        <f>grocery_chain_data[[#This Row],[Total Amount]]-grocery_chain_data[[#This Row],[Discount Amount]]</f>
        <v>45</v>
      </c>
      <c r="K1839">
        <v>180</v>
      </c>
      <c r="L1839" t="str">
        <f>IF(grocery_chain_data[[#This Row],[Final Amount]]&lt;0,"Return","Sale")</f>
        <v>Sale</v>
      </c>
      <c r="M1839">
        <f>IF(grocery_chain_data[[#This Row],[Final Amount]]&lt;0,0,grocery_chain_data[[#This Row],[Final Amount]])</f>
        <v>45</v>
      </c>
    </row>
    <row r="1840" spans="1:13" x14ac:dyDescent="0.3">
      <c r="A1840">
        <v>9209</v>
      </c>
      <c r="B1840" t="s">
        <v>8</v>
      </c>
      <c r="C1840" s="1">
        <v>45740</v>
      </c>
      <c r="D1840" s="1" t="str">
        <f t="shared" si="28"/>
        <v>Meat &amp; Seafood</v>
      </c>
      <c r="E1840" t="s">
        <v>15</v>
      </c>
      <c r="F1840" s="2">
        <v>4</v>
      </c>
      <c r="G1840" s="3">
        <v>14</v>
      </c>
      <c r="H1840" s="3">
        <f>grocery_chain_data[[#This Row],[Quantity]]*grocery_chain_data[[#This Row],[Unit Price]]</f>
        <v>56</v>
      </c>
      <c r="I1840" s="3">
        <v>8</v>
      </c>
      <c r="J1840" s="3">
        <f>grocery_chain_data[[#This Row],[Total Amount]]-grocery_chain_data[[#This Row],[Discount Amount]]</f>
        <v>48</v>
      </c>
      <c r="K1840">
        <v>198</v>
      </c>
      <c r="L1840" t="str">
        <f>IF(grocery_chain_data[[#This Row],[Final Amount]]&lt;0,"Return","Sale")</f>
        <v>Sale</v>
      </c>
      <c r="M1840">
        <f>IF(grocery_chain_data[[#This Row],[Final Amount]]&lt;0,0,grocery_chain_data[[#This Row],[Final Amount]])</f>
        <v>48</v>
      </c>
    </row>
    <row r="1841" spans="1:13" x14ac:dyDescent="0.3">
      <c r="A1841">
        <v>7806</v>
      </c>
      <c r="B1841" t="s">
        <v>16</v>
      </c>
      <c r="C1841" s="1">
        <v>45474</v>
      </c>
      <c r="D1841" s="1" t="str">
        <f t="shared" si="28"/>
        <v>Produce</v>
      </c>
      <c r="E1841" t="s">
        <v>14</v>
      </c>
      <c r="F1841" s="2">
        <v>2</v>
      </c>
      <c r="G1841" s="3">
        <v>22</v>
      </c>
      <c r="H1841" s="3">
        <f>grocery_chain_data[[#This Row],[Quantity]]*grocery_chain_data[[#This Row],[Unit Price]]</f>
        <v>44</v>
      </c>
      <c r="I1841" s="3">
        <v>9</v>
      </c>
      <c r="J1841" s="3">
        <f>grocery_chain_data[[#This Row],[Total Amount]]-grocery_chain_data[[#This Row],[Discount Amount]]</f>
        <v>35</v>
      </c>
      <c r="K1841">
        <v>105</v>
      </c>
      <c r="L1841" t="str">
        <f>IF(grocery_chain_data[[#This Row],[Final Amount]]&lt;0,"Return","Sale")</f>
        <v>Sale</v>
      </c>
      <c r="M1841">
        <f>IF(grocery_chain_data[[#This Row],[Final Amount]]&lt;0,0,grocery_chain_data[[#This Row],[Final Amount]])</f>
        <v>35</v>
      </c>
    </row>
    <row r="1842" spans="1:13" x14ac:dyDescent="0.3">
      <c r="A1842">
        <v>7590</v>
      </c>
      <c r="B1842" t="s">
        <v>21</v>
      </c>
      <c r="C1842" s="1">
        <v>45209</v>
      </c>
      <c r="D1842" s="1" t="str">
        <f t="shared" si="28"/>
        <v>Dairy</v>
      </c>
      <c r="E1842" t="s">
        <v>23</v>
      </c>
      <c r="F1842" s="2">
        <v>5</v>
      </c>
      <c r="G1842" s="3">
        <v>12</v>
      </c>
      <c r="H1842" s="3">
        <f>grocery_chain_data[[#This Row],[Quantity]]*grocery_chain_data[[#This Row],[Unit Price]]</f>
        <v>60</v>
      </c>
      <c r="I1842" s="3">
        <v>9</v>
      </c>
      <c r="J1842" s="3">
        <f>grocery_chain_data[[#This Row],[Total Amount]]-grocery_chain_data[[#This Row],[Discount Amount]]</f>
        <v>51</v>
      </c>
      <c r="K1842">
        <v>237</v>
      </c>
      <c r="L1842" t="str">
        <f>IF(grocery_chain_data[[#This Row],[Final Amount]]&lt;0,"Return","Sale")</f>
        <v>Sale</v>
      </c>
      <c r="M1842">
        <f>IF(grocery_chain_data[[#This Row],[Final Amount]]&lt;0,0,grocery_chain_data[[#This Row],[Final Amount]])</f>
        <v>51</v>
      </c>
    </row>
    <row r="1843" spans="1:13" x14ac:dyDescent="0.3">
      <c r="A1843">
        <v>9791</v>
      </c>
      <c r="B1843" t="s">
        <v>12</v>
      </c>
      <c r="C1843" s="1">
        <v>45562</v>
      </c>
      <c r="D1843" s="1" t="str">
        <f t="shared" si="28"/>
        <v>Produce</v>
      </c>
      <c r="E1843" t="s">
        <v>14</v>
      </c>
      <c r="F1843" s="2">
        <v>2</v>
      </c>
      <c r="G1843" s="3">
        <v>15</v>
      </c>
      <c r="H1843" s="3">
        <f>grocery_chain_data[[#This Row],[Quantity]]*grocery_chain_data[[#This Row],[Unit Price]]</f>
        <v>30</v>
      </c>
      <c r="I1843" s="3">
        <v>4</v>
      </c>
      <c r="J1843" s="3">
        <f>grocery_chain_data[[#This Row],[Total Amount]]-grocery_chain_data[[#This Row],[Discount Amount]]</f>
        <v>26</v>
      </c>
      <c r="K1843">
        <v>277</v>
      </c>
      <c r="L1843" t="str">
        <f>IF(grocery_chain_data[[#This Row],[Final Amount]]&lt;0,"Return","Sale")</f>
        <v>Sale</v>
      </c>
      <c r="M1843">
        <f>IF(grocery_chain_data[[#This Row],[Final Amount]]&lt;0,0,grocery_chain_data[[#This Row],[Final Amount]])</f>
        <v>26</v>
      </c>
    </row>
    <row r="1844" spans="1:13" x14ac:dyDescent="0.3">
      <c r="A1844">
        <v>3501</v>
      </c>
      <c r="B1844" t="s">
        <v>8</v>
      </c>
      <c r="C1844" s="1">
        <v>45360</v>
      </c>
      <c r="D1844" s="1" t="str">
        <f t="shared" si="28"/>
        <v>Dairy</v>
      </c>
      <c r="E1844" t="s">
        <v>23</v>
      </c>
      <c r="F1844" s="2">
        <v>2</v>
      </c>
      <c r="G1844" s="3">
        <v>11</v>
      </c>
      <c r="H1844" s="3">
        <f>grocery_chain_data[[#This Row],[Quantity]]*grocery_chain_data[[#This Row],[Unit Price]]</f>
        <v>22</v>
      </c>
      <c r="I1844" s="3">
        <v>0</v>
      </c>
      <c r="J1844" s="3">
        <f>grocery_chain_data[[#This Row],[Total Amount]]-grocery_chain_data[[#This Row],[Discount Amount]]</f>
        <v>22</v>
      </c>
      <c r="K1844">
        <v>455</v>
      </c>
      <c r="L1844" t="str">
        <f>IF(grocery_chain_data[[#This Row],[Final Amount]]&lt;0,"Return","Sale")</f>
        <v>Sale</v>
      </c>
      <c r="M1844">
        <f>IF(grocery_chain_data[[#This Row],[Final Amount]]&lt;0,0,grocery_chain_data[[#This Row],[Final Amount]])</f>
        <v>22</v>
      </c>
    </row>
    <row r="1845" spans="1:13" x14ac:dyDescent="0.3">
      <c r="A1845">
        <v>2369</v>
      </c>
      <c r="B1845" t="s">
        <v>8</v>
      </c>
      <c r="C1845" s="1">
        <v>45385</v>
      </c>
      <c r="D1845" s="1" t="str">
        <f t="shared" si="28"/>
        <v>Dairy</v>
      </c>
      <c r="E1845" t="s">
        <v>3</v>
      </c>
      <c r="F1845" s="2">
        <v>2</v>
      </c>
      <c r="G1845" s="3">
        <v>28</v>
      </c>
      <c r="H1845" s="3">
        <f>grocery_chain_data[[#This Row],[Quantity]]*grocery_chain_data[[#This Row],[Unit Price]]</f>
        <v>56</v>
      </c>
      <c r="I1845" s="3">
        <v>6</v>
      </c>
      <c r="J1845" s="3">
        <f>grocery_chain_data[[#This Row],[Total Amount]]-grocery_chain_data[[#This Row],[Discount Amount]]</f>
        <v>50</v>
      </c>
      <c r="K1845">
        <v>12</v>
      </c>
      <c r="L1845" t="str">
        <f>IF(grocery_chain_data[[#This Row],[Final Amount]]&lt;0,"Return","Sale")</f>
        <v>Sale</v>
      </c>
      <c r="M1845">
        <f>IF(grocery_chain_data[[#This Row],[Final Amount]]&lt;0,0,grocery_chain_data[[#This Row],[Final Amount]])</f>
        <v>50</v>
      </c>
    </row>
    <row r="1846" spans="1:13" x14ac:dyDescent="0.3">
      <c r="A1846">
        <v>2294</v>
      </c>
      <c r="B1846" t="s">
        <v>5</v>
      </c>
      <c r="C1846" s="1">
        <v>45542</v>
      </c>
      <c r="D1846" s="1" t="str">
        <f t="shared" si="28"/>
        <v>Dairy</v>
      </c>
      <c r="E1846" t="s">
        <v>20</v>
      </c>
      <c r="F1846" s="2">
        <v>4</v>
      </c>
      <c r="G1846" s="3">
        <v>18</v>
      </c>
      <c r="H1846" s="3">
        <f>grocery_chain_data[[#This Row],[Quantity]]*grocery_chain_data[[#This Row],[Unit Price]]</f>
        <v>72</v>
      </c>
      <c r="I1846" s="3">
        <v>14</v>
      </c>
      <c r="J1846" s="3">
        <f>grocery_chain_data[[#This Row],[Total Amount]]-grocery_chain_data[[#This Row],[Discount Amount]]</f>
        <v>58</v>
      </c>
      <c r="K1846">
        <v>410</v>
      </c>
      <c r="L1846" t="str">
        <f>IF(grocery_chain_data[[#This Row],[Final Amount]]&lt;0,"Return","Sale")</f>
        <v>Sale</v>
      </c>
      <c r="M1846">
        <f>IF(grocery_chain_data[[#This Row],[Final Amount]]&lt;0,0,grocery_chain_data[[#This Row],[Final Amount]])</f>
        <v>58</v>
      </c>
    </row>
    <row r="1847" spans="1:13" x14ac:dyDescent="0.3">
      <c r="A1847">
        <v>4329</v>
      </c>
      <c r="B1847" t="s">
        <v>8</v>
      </c>
      <c r="C1847" s="1">
        <v>45772</v>
      </c>
      <c r="D1847" s="1" t="str">
        <f t="shared" si="28"/>
        <v>Meat &amp; Seafood</v>
      </c>
      <c r="E1847" t="s">
        <v>15</v>
      </c>
      <c r="F1847" s="2">
        <v>2</v>
      </c>
      <c r="G1847" s="3">
        <v>26</v>
      </c>
      <c r="H1847" s="3">
        <f>grocery_chain_data[[#This Row],[Quantity]]*grocery_chain_data[[#This Row],[Unit Price]]</f>
        <v>52</v>
      </c>
      <c r="I1847" s="3">
        <v>8</v>
      </c>
      <c r="J1847" s="3">
        <f>grocery_chain_data[[#This Row],[Total Amount]]-grocery_chain_data[[#This Row],[Discount Amount]]</f>
        <v>44</v>
      </c>
      <c r="K1847">
        <v>66</v>
      </c>
      <c r="L1847" t="str">
        <f>IF(grocery_chain_data[[#This Row],[Final Amount]]&lt;0,"Return","Sale")</f>
        <v>Sale</v>
      </c>
      <c r="M1847">
        <f>IF(grocery_chain_data[[#This Row],[Final Amount]]&lt;0,0,grocery_chain_data[[#This Row],[Final Amount]])</f>
        <v>44</v>
      </c>
    </row>
    <row r="1848" spans="1:13" x14ac:dyDescent="0.3">
      <c r="A1848">
        <v>3545</v>
      </c>
      <c r="B1848" t="s">
        <v>2</v>
      </c>
      <c r="C1848" s="1">
        <v>45561</v>
      </c>
      <c r="D1848" s="1" t="str">
        <f t="shared" si="28"/>
        <v>Dairy</v>
      </c>
      <c r="E1848" t="s">
        <v>19</v>
      </c>
      <c r="F1848" s="2">
        <v>1</v>
      </c>
      <c r="G1848" s="3">
        <v>24</v>
      </c>
      <c r="H1848" s="3">
        <f>grocery_chain_data[[#This Row],[Quantity]]*grocery_chain_data[[#This Row],[Unit Price]]</f>
        <v>24</v>
      </c>
      <c r="I1848" s="3">
        <v>5</v>
      </c>
      <c r="J1848" s="3">
        <f>grocery_chain_data[[#This Row],[Total Amount]]-grocery_chain_data[[#This Row],[Discount Amount]]</f>
        <v>19</v>
      </c>
      <c r="K1848">
        <v>43</v>
      </c>
      <c r="L1848" t="str">
        <f>IF(grocery_chain_data[[#This Row],[Final Amount]]&lt;0,"Return","Sale")</f>
        <v>Sale</v>
      </c>
      <c r="M1848">
        <f>IF(grocery_chain_data[[#This Row],[Final Amount]]&lt;0,0,grocery_chain_data[[#This Row],[Final Amount]])</f>
        <v>19</v>
      </c>
    </row>
    <row r="1849" spans="1:13" x14ac:dyDescent="0.3">
      <c r="A1849">
        <v>6353</v>
      </c>
      <c r="B1849" t="s">
        <v>13</v>
      </c>
      <c r="C1849" s="1">
        <v>45448</v>
      </c>
      <c r="D1849" s="1" t="str">
        <f t="shared" si="28"/>
        <v>Bakery</v>
      </c>
      <c r="E1849" t="s">
        <v>22</v>
      </c>
      <c r="F1849" s="2">
        <v>3</v>
      </c>
      <c r="G1849" s="3">
        <v>28</v>
      </c>
      <c r="H1849" s="3">
        <f>grocery_chain_data[[#This Row],[Quantity]]*grocery_chain_data[[#This Row],[Unit Price]]</f>
        <v>84</v>
      </c>
      <c r="I1849" s="3">
        <v>0</v>
      </c>
      <c r="J1849" s="3">
        <f>grocery_chain_data[[#This Row],[Total Amount]]-grocery_chain_data[[#This Row],[Discount Amount]]</f>
        <v>84</v>
      </c>
      <c r="K1849">
        <v>182</v>
      </c>
      <c r="L1849" t="str">
        <f>IF(grocery_chain_data[[#This Row],[Final Amount]]&lt;0,"Return","Sale")</f>
        <v>Sale</v>
      </c>
      <c r="M1849">
        <f>IF(grocery_chain_data[[#This Row],[Final Amount]]&lt;0,0,grocery_chain_data[[#This Row],[Final Amount]])</f>
        <v>84</v>
      </c>
    </row>
    <row r="1850" spans="1:13" x14ac:dyDescent="0.3">
      <c r="A1850">
        <v>2083</v>
      </c>
      <c r="B1850" t="s">
        <v>5</v>
      </c>
      <c r="C1850" s="1">
        <v>45385</v>
      </c>
      <c r="D1850" s="1" t="str">
        <f t="shared" si="28"/>
        <v>Produce</v>
      </c>
      <c r="E1850" t="s">
        <v>17</v>
      </c>
      <c r="F1850" s="2">
        <v>1</v>
      </c>
      <c r="G1850" s="3">
        <v>12</v>
      </c>
      <c r="H1850" s="3">
        <f>grocery_chain_data[[#This Row],[Quantity]]*grocery_chain_data[[#This Row],[Unit Price]]</f>
        <v>12</v>
      </c>
      <c r="I1850" s="3">
        <v>5</v>
      </c>
      <c r="J1850" s="3">
        <f>grocery_chain_data[[#This Row],[Total Amount]]-grocery_chain_data[[#This Row],[Discount Amount]]</f>
        <v>7</v>
      </c>
      <c r="K1850">
        <v>465</v>
      </c>
      <c r="L1850" t="str">
        <f>IF(grocery_chain_data[[#This Row],[Final Amount]]&lt;0,"Return","Sale")</f>
        <v>Sale</v>
      </c>
      <c r="M1850">
        <f>IF(grocery_chain_data[[#This Row],[Final Amount]]&lt;0,0,grocery_chain_data[[#This Row],[Final Amount]])</f>
        <v>7</v>
      </c>
    </row>
    <row r="1851" spans="1:13" x14ac:dyDescent="0.3">
      <c r="A1851">
        <v>8167</v>
      </c>
      <c r="B1851" t="s">
        <v>10</v>
      </c>
      <c r="C1851" s="1">
        <v>45711</v>
      </c>
      <c r="D1851" s="1" t="str">
        <f t="shared" si="28"/>
        <v>Pantry</v>
      </c>
      <c r="E1851" t="s">
        <v>6</v>
      </c>
      <c r="F1851" s="2">
        <v>2</v>
      </c>
      <c r="G1851" s="3">
        <v>9</v>
      </c>
      <c r="H1851" s="3">
        <f>grocery_chain_data[[#This Row],[Quantity]]*grocery_chain_data[[#This Row],[Unit Price]]</f>
        <v>18</v>
      </c>
      <c r="I1851" s="3">
        <v>4</v>
      </c>
      <c r="J1851" s="3">
        <f>grocery_chain_data[[#This Row],[Total Amount]]-grocery_chain_data[[#This Row],[Discount Amount]]</f>
        <v>14</v>
      </c>
      <c r="K1851">
        <v>51</v>
      </c>
      <c r="L1851" t="str">
        <f>IF(grocery_chain_data[[#This Row],[Final Amount]]&lt;0,"Return","Sale")</f>
        <v>Sale</v>
      </c>
      <c r="M1851">
        <f>IF(grocery_chain_data[[#This Row],[Final Amount]]&lt;0,0,grocery_chain_data[[#This Row],[Final Amount]])</f>
        <v>14</v>
      </c>
    </row>
    <row r="1852" spans="1:13" x14ac:dyDescent="0.3">
      <c r="A1852">
        <v>4909</v>
      </c>
      <c r="B1852" t="s">
        <v>5</v>
      </c>
      <c r="C1852" s="1">
        <v>45189</v>
      </c>
      <c r="D1852" s="1" t="str">
        <f t="shared" si="28"/>
        <v>Meat &amp; Seafood</v>
      </c>
      <c r="E1852" t="s">
        <v>26</v>
      </c>
      <c r="F1852" s="2">
        <v>5</v>
      </c>
      <c r="G1852" s="3">
        <v>27</v>
      </c>
      <c r="H1852" s="3">
        <f>grocery_chain_data[[#This Row],[Quantity]]*grocery_chain_data[[#This Row],[Unit Price]]</f>
        <v>135</v>
      </c>
      <c r="I1852" s="3">
        <v>3</v>
      </c>
      <c r="J1852" s="3">
        <f>grocery_chain_data[[#This Row],[Total Amount]]-grocery_chain_data[[#This Row],[Discount Amount]]</f>
        <v>132</v>
      </c>
      <c r="K1852">
        <v>209</v>
      </c>
      <c r="L1852" t="str">
        <f>IF(grocery_chain_data[[#This Row],[Final Amount]]&lt;0,"Return","Sale")</f>
        <v>Sale</v>
      </c>
      <c r="M1852">
        <f>IF(grocery_chain_data[[#This Row],[Final Amount]]&lt;0,0,grocery_chain_data[[#This Row],[Final Amount]])</f>
        <v>132</v>
      </c>
    </row>
    <row r="1853" spans="1:13" x14ac:dyDescent="0.3">
      <c r="A1853">
        <v>5005</v>
      </c>
      <c r="B1853" t="s">
        <v>10</v>
      </c>
      <c r="C1853" s="1">
        <v>45211</v>
      </c>
      <c r="D1853" s="1" t="str">
        <f t="shared" si="28"/>
        <v>Meat &amp; Seafood</v>
      </c>
      <c r="E1853" t="s">
        <v>9</v>
      </c>
      <c r="F1853" s="2">
        <v>1</v>
      </c>
      <c r="G1853" s="3">
        <v>20</v>
      </c>
      <c r="H1853" s="3">
        <f>grocery_chain_data[[#This Row],[Quantity]]*grocery_chain_data[[#This Row],[Unit Price]]</f>
        <v>20</v>
      </c>
      <c r="I1853" s="3">
        <v>4</v>
      </c>
      <c r="J1853" s="3">
        <f>grocery_chain_data[[#This Row],[Total Amount]]-grocery_chain_data[[#This Row],[Discount Amount]]</f>
        <v>16</v>
      </c>
      <c r="K1853">
        <v>75</v>
      </c>
      <c r="L1853" t="str">
        <f>IF(grocery_chain_data[[#This Row],[Final Amount]]&lt;0,"Return","Sale")</f>
        <v>Sale</v>
      </c>
      <c r="M1853">
        <f>IF(grocery_chain_data[[#This Row],[Final Amount]]&lt;0,0,grocery_chain_data[[#This Row],[Final Amount]])</f>
        <v>16</v>
      </c>
    </row>
    <row r="1854" spans="1:13" x14ac:dyDescent="0.3">
      <c r="A1854">
        <v>8118</v>
      </c>
      <c r="B1854" t="s">
        <v>5</v>
      </c>
      <c r="C1854" s="1">
        <v>45235</v>
      </c>
      <c r="D1854" s="1" t="str">
        <f t="shared" si="28"/>
        <v>Produce</v>
      </c>
      <c r="E1854" t="s">
        <v>25</v>
      </c>
      <c r="F1854" s="2">
        <v>4</v>
      </c>
      <c r="G1854" s="3">
        <v>15</v>
      </c>
      <c r="H1854" s="3">
        <f>grocery_chain_data[[#This Row],[Quantity]]*grocery_chain_data[[#This Row],[Unit Price]]</f>
        <v>60</v>
      </c>
      <c r="I1854" s="3">
        <v>4</v>
      </c>
      <c r="J1854" s="3">
        <f>grocery_chain_data[[#This Row],[Total Amount]]-grocery_chain_data[[#This Row],[Discount Amount]]</f>
        <v>56</v>
      </c>
      <c r="K1854">
        <v>392</v>
      </c>
      <c r="L1854" t="str">
        <f>IF(grocery_chain_data[[#This Row],[Final Amount]]&lt;0,"Return","Sale")</f>
        <v>Sale</v>
      </c>
      <c r="M1854">
        <f>IF(grocery_chain_data[[#This Row],[Final Amount]]&lt;0,0,grocery_chain_data[[#This Row],[Final Amount]])</f>
        <v>56</v>
      </c>
    </row>
    <row r="1855" spans="1:13" x14ac:dyDescent="0.3">
      <c r="A1855">
        <v>8428</v>
      </c>
      <c r="B1855" t="s">
        <v>16</v>
      </c>
      <c r="C1855" s="1">
        <v>45620</v>
      </c>
      <c r="D1855" s="1" t="str">
        <f t="shared" si="28"/>
        <v>Produce</v>
      </c>
      <c r="E1855" t="s">
        <v>11</v>
      </c>
      <c r="F1855" s="2">
        <v>4</v>
      </c>
      <c r="G1855" s="3">
        <v>27</v>
      </c>
      <c r="H1855" s="3">
        <f>grocery_chain_data[[#This Row],[Quantity]]*grocery_chain_data[[#This Row],[Unit Price]]</f>
        <v>108</v>
      </c>
      <c r="I1855" s="3">
        <v>0</v>
      </c>
      <c r="J1855" s="3">
        <f>grocery_chain_data[[#This Row],[Total Amount]]-grocery_chain_data[[#This Row],[Discount Amount]]</f>
        <v>108</v>
      </c>
      <c r="K1855">
        <v>496</v>
      </c>
      <c r="L1855" t="str">
        <f>IF(grocery_chain_data[[#This Row],[Final Amount]]&lt;0,"Return","Sale")</f>
        <v>Sale</v>
      </c>
      <c r="M1855">
        <f>IF(grocery_chain_data[[#This Row],[Final Amount]]&lt;0,0,grocery_chain_data[[#This Row],[Final Amount]])</f>
        <v>108</v>
      </c>
    </row>
    <row r="1856" spans="1:13" x14ac:dyDescent="0.3">
      <c r="A1856">
        <v>1901</v>
      </c>
      <c r="B1856" t="s">
        <v>16</v>
      </c>
      <c r="C1856" s="1">
        <v>45385</v>
      </c>
      <c r="D1856" s="1" t="str">
        <f t="shared" si="28"/>
        <v>Bakery</v>
      </c>
      <c r="E1856" t="s">
        <v>22</v>
      </c>
      <c r="F1856" s="2">
        <v>3</v>
      </c>
      <c r="G1856" s="3">
        <v>3</v>
      </c>
      <c r="H1856" s="3">
        <f>grocery_chain_data[[#This Row],[Quantity]]*grocery_chain_data[[#This Row],[Unit Price]]</f>
        <v>9</v>
      </c>
      <c r="I1856" s="3">
        <v>0</v>
      </c>
      <c r="J1856" s="3">
        <f>grocery_chain_data[[#This Row],[Total Amount]]-grocery_chain_data[[#This Row],[Discount Amount]]</f>
        <v>9</v>
      </c>
      <c r="K1856">
        <v>69</v>
      </c>
      <c r="L1856" t="str">
        <f>IF(grocery_chain_data[[#This Row],[Final Amount]]&lt;0,"Return","Sale")</f>
        <v>Sale</v>
      </c>
      <c r="M1856">
        <f>IF(grocery_chain_data[[#This Row],[Final Amount]]&lt;0,0,grocery_chain_data[[#This Row],[Final Amount]])</f>
        <v>9</v>
      </c>
    </row>
    <row r="1857" spans="1:13" x14ac:dyDescent="0.3">
      <c r="A1857">
        <v>3877</v>
      </c>
      <c r="B1857" t="s">
        <v>8</v>
      </c>
      <c r="C1857" s="1">
        <v>45237</v>
      </c>
      <c r="D1857" s="1" t="str">
        <f t="shared" si="28"/>
        <v>Meat &amp; Seafood</v>
      </c>
      <c r="E1857" t="s">
        <v>26</v>
      </c>
      <c r="F1857" s="2">
        <v>2</v>
      </c>
      <c r="G1857" s="3">
        <v>29</v>
      </c>
      <c r="H1857" s="3">
        <f>grocery_chain_data[[#This Row],[Quantity]]*grocery_chain_data[[#This Row],[Unit Price]]</f>
        <v>58</v>
      </c>
      <c r="I1857" s="3">
        <v>0</v>
      </c>
      <c r="J1857" s="3">
        <f>grocery_chain_data[[#This Row],[Total Amount]]-grocery_chain_data[[#This Row],[Discount Amount]]</f>
        <v>58</v>
      </c>
      <c r="K1857">
        <v>164</v>
      </c>
      <c r="L1857" t="str">
        <f>IF(grocery_chain_data[[#This Row],[Final Amount]]&lt;0,"Return","Sale")</f>
        <v>Sale</v>
      </c>
      <c r="M1857">
        <f>IF(grocery_chain_data[[#This Row],[Final Amount]]&lt;0,0,grocery_chain_data[[#This Row],[Final Amount]])</f>
        <v>58</v>
      </c>
    </row>
    <row r="1858" spans="1:13" x14ac:dyDescent="0.3">
      <c r="A1858">
        <v>1207</v>
      </c>
      <c r="B1858" t="s">
        <v>0</v>
      </c>
      <c r="C1858" s="1">
        <v>45694</v>
      </c>
      <c r="D1858" s="1" t="str">
        <f t="shared" ref="D1858:D1921" si="29">IF(E1858="Pasta","Pantry",
IF(E1858="Cheese","Dairy",
IF(E1858="Onions","Produce",
IF(E1858="Cereal","Pantry",
IF(E1858="Orange Juice","Beverages",
IF(E1858="Ground Beef","Meat &amp; Seafood",
IF(E1858="Apples","Produce",
IF(E1858="Milk","Dairy",
IF(E1858="Bananas","Produce",
IF(E1858="Bread","Bakery",
IF(E1858="Carrots","Produce",
IF(E1858="Chicken Breast","Meat &amp; Seafood",
IF(E1858="Eggs","Dairy",
IF(E1858="Potatoes","Produce",
IF(E1858="Rice","Produce",
IF(E1858="Salmon","Meat &amp; Seafood",
IF(E1858="Tomatoes","Produce",
IF(E1858="Yogurt","Dairy",
"Others"))))))))))))))))))</f>
        <v>Produce</v>
      </c>
      <c r="E1858" t="s">
        <v>25</v>
      </c>
      <c r="F1858" s="2">
        <v>1</v>
      </c>
      <c r="G1858" s="3">
        <v>19</v>
      </c>
      <c r="H1858" s="3">
        <f>grocery_chain_data[[#This Row],[Quantity]]*grocery_chain_data[[#This Row],[Unit Price]]</f>
        <v>19</v>
      </c>
      <c r="I1858" s="3">
        <v>4</v>
      </c>
      <c r="J1858" s="3">
        <f>grocery_chain_data[[#This Row],[Total Amount]]-grocery_chain_data[[#This Row],[Discount Amount]]</f>
        <v>15</v>
      </c>
      <c r="K1858">
        <v>302</v>
      </c>
      <c r="L1858" t="str">
        <f>IF(grocery_chain_data[[#This Row],[Final Amount]]&lt;0,"Return","Sale")</f>
        <v>Sale</v>
      </c>
      <c r="M1858">
        <f>IF(grocery_chain_data[[#This Row],[Final Amount]]&lt;0,0,grocery_chain_data[[#This Row],[Final Amount]])</f>
        <v>15</v>
      </c>
    </row>
    <row r="1859" spans="1:13" x14ac:dyDescent="0.3">
      <c r="A1859">
        <v>3248</v>
      </c>
      <c r="B1859" t="s">
        <v>16</v>
      </c>
      <c r="C1859" s="1">
        <v>45689</v>
      </c>
      <c r="D1859" s="1" t="str">
        <f t="shared" si="29"/>
        <v>Dairy</v>
      </c>
      <c r="E1859" t="s">
        <v>23</v>
      </c>
      <c r="F1859" s="2">
        <v>5</v>
      </c>
      <c r="G1859" s="3">
        <v>9</v>
      </c>
      <c r="H1859" s="3">
        <f>grocery_chain_data[[#This Row],[Quantity]]*grocery_chain_data[[#This Row],[Unit Price]]</f>
        <v>45</v>
      </c>
      <c r="I1859" s="3">
        <v>5</v>
      </c>
      <c r="J1859" s="3">
        <f>grocery_chain_data[[#This Row],[Total Amount]]-grocery_chain_data[[#This Row],[Discount Amount]]</f>
        <v>40</v>
      </c>
      <c r="K1859">
        <v>266</v>
      </c>
      <c r="L1859" t="str">
        <f>IF(grocery_chain_data[[#This Row],[Final Amount]]&lt;0,"Return","Sale")</f>
        <v>Sale</v>
      </c>
      <c r="M1859">
        <f>IF(grocery_chain_data[[#This Row],[Final Amount]]&lt;0,0,grocery_chain_data[[#This Row],[Final Amount]])</f>
        <v>40</v>
      </c>
    </row>
    <row r="1860" spans="1:13" x14ac:dyDescent="0.3">
      <c r="A1860">
        <v>1185</v>
      </c>
      <c r="B1860" t="s">
        <v>16</v>
      </c>
      <c r="C1860" s="1">
        <v>45272</v>
      </c>
      <c r="D1860" s="1" t="str">
        <f t="shared" si="29"/>
        <v>Dairy</v>
      </c>
      <c r="E1860" t="s">
        <v>19</v>
      </c>
      <c r="F1860" s="2">
        <v>2</v>
      </c>
      <c r="G1860" s="3">
        <v>21</v>
      </c>
      <c r="H1860" s="3">
        <f>grocery_chain_data[[#This Row],[Quantity]]*grocery_chain_data[[#This Row],[Unit Price]]</f>
        <v>42</v>
      </c>
      <c r="I1860" s="3">
        <v>4</v>
      </c>
      <c r="J1860" s="3">
        <f>grocery_chain_data[[#This Row],[Total Amount]]-grocery_chain_data[[#This Row],[Discount Amount]]</f>
        <v>38</v>
      </c>
      <c r="K1860">
        <v>134</v>
      </c>
      <c r="L1860" t="str">
        <f>IF(grocery_chain_data[[#This Row],[Final Amount]]&lt;0,"Return","Sale")</f>
        <v>Sale</v>
      </c>
      <c r="M1860">
        <f>IF(grocery_chain_data[[#This Row],[Final Amount]]&lt;0,0,grocery_chain_data[[#This Row],[Final Amount]])</f>
        <v>38</v>
      </c>
    </row>
    <row r="1861" spans="1:13" x14ac:dyDescent="0.3">
      <c r="A1861">
        <v>9133</v>
      </c>
      <c r="B1861" t="s">
        <v>16</v>
      </c>
      <c r="C1861" s="1">
        <v>45414</v>
      </c>
      <c r="D1861" s="1" t="str">
        <f t="shared" si="29"/>
        <v>Pantry</v>
      </c>
      <c r="E1861" t="s">
        <v>1</v>
      </c>
      <c r="F1861" s="2">
        <v>4</v>
      </c>
      <c r="G1861" s="3">
        <v>20</v>
      </c>
      <c r="H1861" s="3">
        <f>grocery_chain_data[[#This Row],[Quantity]]*grocery_chain_data[[#This Row],[Unit Price]]</f>
        <v>80</v>
      </c>
      <c r="I1861" s="3">
        <v>16</v>
      </c>
      <c r="J1861" s="3">
        <f>grocery_chain_data[[#This Row],[Total Amount]]-grocery_chain_data[[#This Row],[Discount Amount]]</f>
        <v>64</v>
      </c>
      <c r="K1861">
        <v>170</v>
      </c>
      <c r="L1861" t="str">
        <f>IF(grocery_chain_data[[#This Row],[Final Amount]]&lt;0,"Return","Sale")</f>
        <v>Sale</v>
      </c>
      <c r="M1861">
        <f>IF(grocery_chain_data[[#This Row],[Final Amount]]&lt;0,0,grocery_chain_data[[#This Row],[Final Amount]])</f>
        <v>64</v>
      </c>
    </row>
    <row r="1862" spans="1:13" x14ac:dyDescent="0.3">
      <c r="A1862">
        <v>9568</v>
      </c>
      <c r="B1862" t="s">
        <v>13</v>
      </c>
      <c r="C1862" s="1">
        <v>45546</v>
      </c>
      <c r="D1862" s="1" t="str">
        <f t="shared" si="29"/>
        <v>Produce</v>
      </c>
      <c r="E1862" t="s">
        <v>18</v>
      </c>
      <c r="F1862" s="2">
        <v>3</v>
      </c>
      <c r="G1862" s="3">
        <v>12</v>
      </c>
      <c r="H1862" s="3">
        <f>grocery_chain_data[[#This Row],[Quantity]]*grocery_chain_data[[#This Row],[Unit Price]]</f>
        <v>36</v>
      </c>
      <c r="I1862" s="3">
        <v>4</v>
      </c>
      <c r="J1862" s="3">
        <f>grocery_chain_data[[#This Row],[Total Amount]]-grocery_chain_data[[#This Row],[Discount Amount]]</f>
        <v>32</v>
      </c>
      <c r="K1862">
        <v>463</v>
      </c>
      <c r="L1862" t="str">
        <f>IF(grocery_chain_data[[#This Row],[Final Amount]]&lt;0,"Return","Sale")</f>
        <v>Sale</v>
      </c>
      <c r="M1862">
        <f>IF(grocery_chain_data[[#This Row],[Final Amount]]&lt;0,0,grocery_chain_data[[#This Row],[Final Amount]])</f>
        <v>32</v>
      </c>
    </row>
    <row r="1863" spans="1:13" x14ac:dyDescent="0.3">
      <c r="A1863">
        <v>5247</v>
      </c>
      <c r="B1863" t="s">
        <v>8</v>
      </c>
      <c r="C1863" s="1">
        <v>45274</v>
      </c>
      <c r="D1863" s="1" t="str">
        <f t="shared" si="29"/>
        <v>Pantry</v>
      </c>
      <c r="E1863" t="s">
        <v>1</v>
      </c>
      <c r="F1863" s="2">
        <v>4</v>
      </c>
      <c r="G1863" s="3">
        <v>11</v>
      </c>
      <c r="H1863" s="3">
        <f>grocery_chain_data[[#This Row],[Quantity]]*grocery_chain_data[[#This Row],[Unit Price]]</f>
        <v>44</v>
      </c>
      <c r="I1863" s="3">
        <v>4</v>
      </c>
      <c r="J1863" s="3">
        <f>grocery_chain_data[[#This Row],[Total Amount]]-grocery_chain_data[[#This Row],[Discount Amount]]</f>
        <v>40</v>
      </c>
      <c r="K1863">
        <v>411</v>
      </c>
      <c r="L1863" t="str">
        <f>IF(grocery_chain_data[[#This Row],[Final Amount]]&lt;0,"Return","Sale")</f>
        <v>Sale</v>
      </c>
      <c r="M1863">
        <f>IF(grocery_chain_data[[#This Row],[Final Amount]]&lt;0,0,grocery_chain_data[[#This Row],[Final Amount]])</f>
        <v>40</v>
      </c>
    </row>
    <row r="1864" spans="1:13" x14ac:dyDescent="0.3">
      <c r="A1864">
        <v>7092</v>
      </c>
      <c r="B1864" t="s">
        <v>16</v>
      </c>
      <c r="C1864" s="1">
        <v>45243</v>
      </c>
      <c r="D1864" s="1" t="str">
        <f t="shared" si="29"/>
        <v>Beverages</v>
      </c>
      <c r="E1864" t="s">
        <v>7</v>
      </c>
      <c r="F1864" s="2">
        <v>3</v>
      </c>
      <c r="G1864" s="3">
        <v>17</v>
      </c>
      <c r="H1864" s="3">
        <f>grocery_chain_data[[#This Row],[Quantity]]*grocery_chain_data[[#This Row],[Unit Price]]</f>
        <v>51</v>
      </c>
      <c r="I1864" s="3">
        <v>8</v>
      </c>
      <c r="J1864" s="3">
        <f>grocery_chain_data[[#This Row],[Total Amount]]-grocery_chain_data[[#This Row],[Discount Amount]]</f>
        <v>43</v>
      </c>
      <c r="K1864">
        <v>250</v>
      </c>
      <c r="L1864" t="str">
        <f>IF(grocery_chain_data[[#This Row],[Final Amount]]&lt;0,"Return","Sale")</f>
        <v>Sale</v>
      </c>
      <c r="M1864">
        <f>IF(grocery_chain_data[[#This Row],[Final Amount]]&lt;0,0,grocery_chain_data[[#This Row],[Final Amount]])</f>
        <v>43</v>
      </c>
    </row>
    <row r="1865" spans="1:13" x14ac:dyDescent="0.3">
      <c r="A1865">
        <v>5403</v>
      </c>
      <c r="B1865" t="s">
        <v>0</v>
      </c>
      <c r="C1865" s="1">
        <v>45714</v>
      </c>
      <c r="D1865" s="1" t="str">
        <f t="shared" si="29"/>
        <v>Bakery</v>
      </c>
      <c r="E1865" t="s">
        <v>22</v>
      </c>
      <c r="F1865" s="2">
        <v>3</v>
      </c>
      <c r="G1865" s="3">
        <v>26</v>
      </c>
      <c r="H1865" s="3">
        <f>grocery_chain_data[[#This Row],[Quantity]]*grocery_chain_data[[#This Row],[Unit Price]]</f>
        <v>78</v>
      </c>
      <c r="I1865" s="3">
        <v>4</v>
      </c>
      <c r="J1865" s="3">
        <f>grocery_chain_data[[#This Row],[Total Amount]]-grocery_chain_data[[#This Row],[Discount Amount]]</f>
        <v>74</v>
      </c>
      <c r="K1865">
        <v>458</v>
      </c>
      <c r="L1865" t="str">
        <f>IF(grocery_chain_data[[#This Row],[Final Amount]]&lt;0,"Return","Sale")</f>
        <v>Sale</v>
      </c>
      <c r="M1865">
        <f>IF(grocery_chain_data[[#This Row],[Final Amount]]&lt;0,0,grocery_chain_data[[#This Row],[Final Amount]])</f>
        <v>74</v>
      </c>
    </row>
    <row r="1866" spans="1:13" x14ac:dyDescent="0.3">
      <c r="A1866">
        <v>2934</v>
      </c>
      <c r="B1866" t="s">
        <v>0</v>
      </c>
      <c r="C1866" s="1">
        <v>45744</v>
      </c>
      <c r="D1866" s="1" t="str">
        <f t="shared" si="29"/>
        <v>Bakery</v>
      </c>
      <c r="E1866" t="s">
        <v>22</v>
      </c>
      <c r="F1866" s="2">
        <v>2</v>
      </c>
      <c r="G1866" s="3">
        <v>12</v>
      </c>
      <c r="H1866" s="3">
        <f>grocery_chain_data[[#This Row],[Quantity]]*grocery_chain_data[[#This Row],[Unit Price]]</f>
        <v>24</v>
      </c>
      <c r="I1866" s="3">
        <v>4</v>
      </c>
      <c r="J1866" s="3">
        <f>grocery_chain_data[[#This Row],[Total Amount]]-grocery_chain_data[[#This Row],[Discount Amount]]</f>
        <v>20</v>
      </c>
      <c r="K1866">
        <v>78</v>
      </c>
      <c r="L1866" t="str">
        <f>IF(grocery_chain_data[[#This Row],[Final Amount]]&lt;0,"Return","Sale")</f>
        <v>Sale</v>
      </c>
      <c r="M1866">
        <f>IF(grocery_chain_data[[#This Row],[Final Amount]]&lt;0,0,grocery_chain_data[[#This Row],[Final Amount]])</f>
        <v>20</v>
      </c>
    </row>
    <row r="1867" spans="1:13" x14ac:dyDescent="0.3">
      <c r="A1867">
        <v>1480</v>
      </c>
      <c r="B1867" t="s">
        <v>13</v>
      </c>
      <c r="C1867" s="1">
        <v>45405</v>
      </c>
      <c r="D1867" s="1" t="str">
        <f t="shared" si="29"/>
        <v>Pantry</v>
      </c>
      <c r="E1867" t="s">
        <v>6</v>
      </c>
      <c r="F1867" s="2">
        <v>5</v>
      </c>
      <c r="G1867" s="3">
        <v>3</v>
      </c>
      <c r="H1867" s="3">
        <f>grocery_chain_data[[#This Row],[Quantity]]*grocery_chain_data[[#This Row],[Unit Price]]</f>
        <v>15</v>
      </c>
      <c r="I1867" s="3">
        <v>0</v>
      </c>
      <c r="J1867" s="3">
        <f>grocery_chain_data[[#This Row],[Total Amount]]-grocery_chain_data[[#This Row],[Discount Amount]]</f>
        <v>15</v>
      </c>
      <c r="K1867">
        <v>298</v>
      </c>
      <c r="L1867" t="str">
        <f>IF(grocery_chain_data[[#This Row],[Final Amount]]&lt;0,"Return","Sale")</f>
        <v>Sale</v>
      </c>
      <c r="M1867">
        <f>IF(grocery_chain_data[[#This Row],[Final Amount]]&lt;0,0,grocery_chain_data[[#This Row],[Final Amount]])</f>
        <v>15</v>
      </c>
    </row>
    <row r="1868" spans="1:13" x14ac:dyDescent="0.3">
      <c r="A1868">
        <v>8034</v>
      </c>
      <c r="B1868" t="s">
        <v>16</v>
      </c>
      <c r="C1868" s="1">
        <v>45356</v>
      </c>
      <c r="D1868" s="1" t="str">
        <f t="shared" si="29"/>
        <v>Meat &amp; Seafood</v>
      </c>
      <c r="E1868" t="s">
        <v>26</v>
      </c>
      <c r="F1868" s="2">
        <v>5</v>
      </c>
      <c r="G1868" s="3">
        <v>5</v>
      </c>
      <c r="H1868" s="3">
        <f>grocery_chain_data[[#This Row],[Quantity]]*grocery_chain_data[[#This Row],[Unit Price]]</f>
        <v>25</v>
      </c>
      <c r="I1868" s="3">
        <v>5</v>
      </c>
      <c r="J1868" s="3">
        <f>grocery_chain_data[[#This Row],[Total Amount]]-grocery_chain_data[[#This Row],[Discount Amount]]</f>
        <v>20</v>
      </c>
      <c r="K1868">
        <v>360</v>
      </c>
      <c r="L1868" t="str">
        <f>IF(grocery_chain_data[[#This Row],[Final Amount]]&lt;0,"Return","Sale")</f>
        <v>Sale</v>
      </c>
      <c r="M1868">
        <f>IF(grocery_chain_data[[#This Row],[Final Amount]]&lt;0,0,grocery_chain_data[[#This Row],[Final Amount]])</f>
        <v>20</v>
      </c>
    </row>
    <row r="1869" spans="1:13" x14ac:dyDescent="0.3">
      <c r="A1869">
        <v>9582</v>
      </c>
      <c r="B1869" t="s">
        <v>0</v>
      </c>
      <c r="C1869" s="1">
        <v>45194</v>
      </c>
      <c r="D1869" s="1" t="str">
        <f t="shared" si="29"/>
        <v>Bakery</v>
      </c>
      <c r="E1869" t="s">
        <v>22</v>
      </c>
      <c r="F1869" s="2">
        <v>1</v>
      </c>
      <c r="G1869" s="3">
        <v>1</v>
      </c>
      <c r="H1869" s="3">
        <f>grocery_chain_data[[#This Row],[Quantity]]*grocery_chain_data[[#This Row],[Unit Price]]</f>
        <v>1</v>
      </c>
      <c r="I1869" s="3">
        <v>0</v>
      </c>
      <c r="J1869" s="3">
        <f>grocery_chain_data[[#This Row],[Total Amount]]-grocery_chain_data[[#This Row],[Discount Amount]]</f>
        <v>1</v>
      </c>
      <c r="K1869">
        <v>405</v>
      </c>
      <c r="L1869" t="str">
        <f>IF(grocery_chain_data[[#This Row],[Final Amount]]&lt;0,"Return","Sale")</f>
        <v>Sale</v>
      </c>
      <c r="M1869">
        <f>IF(grocery_chain_data[[#This Row],[Final Amount]]&lt;0,0,grocery_chain_data[[#This Row],[Final Amount]])</f>
        <v>1</v>
      </c>
    </row>
    <row r="1870" spans="1:13" x14ac:dyDescent="0.3">
      <c r="A1870">
        <v>5308</v>
      </c>
      <c r="B1870" t="s">
        <v>13</v>
      </c>
      <c r="C1870" s="1">
        <v>45698</v>
      </c>
      <c r="D1870" s="1" t="str">
        <f t="shared" si="29"/>
        <v>Produce</v>
      </c>
      <c r="E1870" t="s">
        <v>14</v>
      </c>
      <c r="F1870" s="2">
        <v>3</v>
      </c>
      <c r="G1870" s="3">
        <v>19</v>
      </c>
      <c r="H1870" s="3">
        <f>grocery_chain_data[[#This Row],[Quantity]]*grocery_chain_data[[#This Row],[Unit Price]]</f>
        <v>57</v>
      </c>
      <c r="I1870" s="3">
        <v>11</v>
      </c>
      <c r="J1870" s="3">
        <f>grocery_chain_data[[#This Row],[Total Amount]]-grocery_chain_data[[#This Row],[Discount Amount]]</f>
        <v>46</v>
      </c>
      <c r="K1870">
        <v>98</v>
      </c>
      <c r="L1870" t="str">
        <f>IF(grocery_chain_data[[#This Row],[Final Amount]]&lt;0,"Return","Sale")</f>
        <v>Sale</v>
      </c>
      <c r="M1870">
        <f>IF(grocery_chain_data[[#This Row],[Final Amount]]&lt;0,0,grocery_chain_data[[#This Row],[Final Amount]])</f>
        <v>46</v>
      </c>
    </row>
    <row r="1871" spans="1:13" x14ac:dyDescent="0.3">
      <c r="A1871">
        <v>2262</v>
      </c>
      <c r="B1871" t="s">
        <v>10</v>
      </c>
      <c r="C1871" s="1">
        <v>45530</v>
      </c>
      <c r="D1871" s="1" t="str">
        <f t="shared" si="29"/>
        <v>Produce</v>
      </c>
      <c r="E1871" t="s">
        <v>11</v>
      </c>
      <c r="F1871" s="2">
        <v>4</v>
      </c>
      <c r="G1871" s="3">
        <v>9</v>
      </c>
      <c r="H1871" s="3">
        <f>grocery_chain_data[[#This Row],[Quantity]]*grocery_chain_data[[#This Row],[Unit Price]]</f>
        <v>36</v>
      </c>
      <c r="I1871" s="3">
        <v>4</v>
      </c>
      <c r="J1871" s="3">
        <f>grocery_chain_data[[#This Row],[Total Amount]]-grocery_chain_data[[#This Row],[Discount Amount]]</f>
        <v>32</v>
      </c>
      <c r="K1871">
        <v>346</v>
      </c>
      <c r="L1871" t="str">
        <f>IF(grocery_chain_data[[#This Row],[Final Amount]]&lt;0,"Return","Sale")</f>
        <v>Sale</v>
      </c>
      <c r="M1871">
        <f>IF(grocery_chain_data[[#This Row],[Final Amount]]&lt;0,0,grocery_chain_data[[#This Row],[Final Amount]])</f>
        <v>32</v>
      </c>
    </row>
    <row r="1872" spans="1:13" x14ac:dyDescent="0.3">
      <c r="A1872">
        <v>8457</v>
      </c>
      <c r="B1872" t="s">
        <v>5</v>
      </c>
      <c r="C1872" s="1">
        <v>45541</v>
      </c>
      <c r="D1872" s="1" t="str">
        <f t="shared" si="29"/>
        <v>Produce</v>
      </c>
      <c r="E1872" t="s">
        <v>18</v>
      </c>
      <c r="F1872" s="2">
        <v>1</v>
      </c>
      <c r="G1872" s="3">
        <v>6</v>
      </c>
      <c r="H1872" s="3">
        <f>grocery_chain_data[[#This Row],[Quantity]]*grocery_chain_data[[#This Row],[Unit Price]]</f>
        <v>6</v>
      </c>
      <c r="I1872" s="3">
        <v>1</v>
      </c>
      <c r="J1872" s="3">
        <f>grocery_chain_data[[#This Row],[Total Amount]]-grocery_chain_data[[#This Row],[Discount Amount]]</f>
        <v>5</v>
      </c>
      <c r="K1872">
        <v>101</v>
      </c>
      <c r="L1872" t="str">
        <f>IF(grocery_chain_data[[#This Row],[Final Amount]]&lt;0,"Return","Sale")</f>
        <v>Sale</v>
      </c>
      <c r="M1872">
        <f>IF(grocery_chain_data[[#This Row],[Final Amount]]&lt;0,0,grocery_chain_data[[#This Row],[Final Amount]])</f>
        <v>5</v>
      </c>
    </row>
    <row r="1873" spans="1:13" x14ac:dyDescent="0.3">
      <c r="A1873">
        <v>6900</v>
      </c>
      <c r="B1873" t="s">
        <v>2</v>
      </c>
      <c r="C1873" s="1">
        <v>45188</v>
      </c>
      <c r="D1873" s="1" t="str">
        <f t="shared" si="29"/>
        <v>Dairy</v>
      </c>
      <c r="E1873" t="s">
        <v>23</v>
      </c>
      <c r="F1873" s="2">
        <v>1</v>
      </c>
      <c r="G1873" s="3">
        <v>21</v>
      </c>
      <c r="H1873" s="3">
        <f>grocery_chain_data[[#This Row],[Quantity]]*grocery_chain_data[[#This Row],[Unit Price]]</f>
        <v>21</v>
      </c>
      <c r="I1873" s="3">
        <v>4</v>
      </c>
      <c r="J1873" s="3">
        <f>grocery_chain_data[[#This Row],[Total Amount]]-grocery_chain_data[[#This Row],[Discount Amount]]</f>
        <v>17</v>
      </c>
      <c r="K1873">
        <v>38</v>
      </c>
      <c r="L1873" t="str">
        <f>IF(grocery_chain_data[[#This Row],[Final Amount]]&lt;0,"Return","Sale")</f>
        <v>Sale</v>
      </c>
      <c r="M1873">
        <f>IF(grocery_chain_data[[#This Row],[Final Amount]]&lt;0,0,grocery_chain_data[[#This Row],[Final Amount]])</f>
        <v>17</v>
      </c>
    </row>
    <row r="1874" spans="1:13" x14ac:dyDescent="0.3">
      <c r="A1874">
        <v>9185</v>
      </c>
      <c r="B1874" t="s">
        <v>16</v>
      </c>
      <c r="C1874" s="1">
        <v>45812</v>
      </c>
      <c r="D1874" s="1" t="str">
        <f t="shared" si="29"/>
        <v>Produce</v>
      </c>
      <c r="E1874" t="s">
        <v>11</v>
      </c>
      <c r="F1874" s="2">
        <v>4</v>
      </c>
      <c r="G1874" s="3">
        <v>19</v>
      </c>
      <c r="H1874" s="3">
        <f>grocery_chain_data[[#This Row],[Quantity]]*grocery_chain_data[[#This Row],[Unit Price]]</f>
        <v>76</v>
      </c>
      <c r="I1874" s="3">
        <v>3</v>
      </c>
      <c r="J1874" s="3">
        <f>grocery_chain_data[[#This Row],[Total Amount]]-grocery_chain_data[[#This Row],[Discount Amount]]</f>
        <v>73</v>
      </c>
      <c r="K1874">
        <v>303</v>
      </c>
      <c r="L1874" t="str">
        <f>IF(grocery_chain_data[[#This Row],[Final Amount]]&lt;0,"Return","Sale")</f>
        <v>Sale</v>
      </c>
      <c r="M1874">
        <f>IF(grocery_chain_data[[#This Row],[Final Amount]]&lt;0,0,grocery_chain_data[[#This Row],[Final Amount]])</f>
        <v>73</v>
      </c>
    </row>
    <row r="1875" spans="1:13" x14ac:dyDescent="0.3">
      <c r="A1875">
        <v>3734</v>
      </c>
      <c r="B1875" t="s">
        <v>12</v>
      </c>
      <c r="C1875" s="1">
        <v>45430</v>
      </c>
      <c r="D1875" s="1" t="str">
        <f t="shared" si="29"/>
        <v>Dairy</v>
      </c>
      <c r="E1875" t="s">
        <v>3</v>
      </c>
      <c r="F1875" s="2">
        <v>3</v>
      </c>
      <c r="G1875" s="3">
        <v>25</v>
      </c>
      <c r="H1875" s="3">
        <f>grocery_chain_data[[#This Row],[Quantity]]*grocery_chain_data[[#This Row],[Unit Price]]</f>
        <v>75</v>
      </c>
      <c r="I1875" s="3">
        <v>1</v>
      </c>
      <c r="J1875" s="3">
        <f>grocery_chain_data[[#This Row],[Total Amount]]-grocery_chain_data[[#This Row],[Discount Amount]]</f>
        <v>74</v>
      </c>
      <c r="K1875">
        <v>376</v>
      </c>
      <c r="L1875" t="str">
        <f>IF(grocery_chain_data[[#This Row],[Final Amount]]&lt;0,"Return","Sale")</f>
        <v>Sale</v>
      </c>
      <c r="M1875">
        <f>IF(grocery_chain_data[[#This Row],[Final Amount]]&lt;0,0,grocery_chain_data[[#This Row],[Final Amount]])</f>
        <v>74</v>
      </c>
    </row>
    <row r="1876" spans="1:13" x14ac:dyDescent="0.3">
      <c r="A1876">
        <v>3577</v>
      </c>
      <c r="B1876" t="s">
        <v>12</v>
      </c>
      <c r="C1876" s="1">
        <v>45343</v>
      </c>
      <c r="D1876" s="1" t="str">
        <f t="shared" si="29"/>
        <v>Produce</v>
      </c>
      <c r="E1876" t="s">
        <v>11</v>
      </c>
      <c r="F1876" s="2">
        <v>1</v>
      </c>
      <c r="G1876" s="3">
        <v>3</v>
      </c>
      <c r="H1876" s="3">
        <f>grocery_chain_data[[#This Row],[Quantity]]*grocery_chain_data[[#This Row],[Unit Price]]</f>
        <v>3</v>
      </c>
      <c r="I1876" s="3">
        <v>0</v>
      </c>
      <c r="J1876" s="3">
        <f>grocery_chain_data[[#This Row],[Total Amount]]-grocery_chain_data[[#This Row],[Discount Amount]]</f>
        <v>3</v>
      </c>
      <c r="K1876">
        <v>252</v>
      </c>
      <c r="L1876" t="str">
        <f>IF(grocery_chain_data[[#This Row],[Final Amount]]&lt;0,"Return","Sale")</f>
        <v>Sale</v>
      </c>
      <c r="M1876">
        <f>IF(grocery_chain_data[[#This Row],[Final Amount]]&lt;0,0,grocery_chain_data[[#This Row],[Final Amount]])</f>
        <v>3</v>
      </c>
    </row>
    <row r="1877" spans="1:13" x14ac:dyDescent="0.3">
      <c r="A1877">
        <v>2685</v>
      </c>
      <c r="B1877" t="s">
        <v>13</v>
      </c>
      <c r="C1877" s="1">
        <v>45839</v>
      </c>
      <c r="D1877" s="1" t="str">
        <f t="shared" si="29"/>
        <v>Dairy</v>
      </c>
      <c r="E1877" t="s">
        <v>3</v>
      </c>
      <c r="F1877" s="2">
        <v>1</v>
      </c>
      <c r="G1877" s="3">
        <v>21</v>
      </c>
      <c r="H1877" s="3">
        <f>grocery_chain_data[[#This Row],[Quantity]]*grocery_chain_data[[#This Row],[Unit Price]]</f>
        <v>21</v>
      </c>
      <c r="I1877" s="3">
        <v>5</v>
      </c>
      <c r="J1877" s="3">
        <f>grocery_chain_data[[#This Row],[Total Amount]]-grocery_chain_data[[#This Row],[Discount Amount]]</f>
        <v>16</v>
      </c>
      <c r="K1877">
        <v>460</v>
      </c>
      <c r="L1877" t="str">
        <f>IF(grocery_chain_data[[#This Row],[Final Amount]]&lt;0,"Return","Sale")</f>
        <v>Sale</v>
      </c>
      <c r="M1877">
        <f>IF(grocery_chain_data[[#This Row],[Final Amount]]&lt;0,0,grocery_chain_data[[#This Row],[Final Amount]])</f>
        <v>16</v>
      </c>
    </row>
    <row r="1878" spans="1:13" x14ac:dyDescent="0.3">
      <c r="A1878">
        <v>2889</v>
      </c>
      <c r="B1878" t="s">
        <v>0</v>
      </c>
      <c r="C1878" s="1">
        <v>45322</v>
      </c>
      <c r="D1878" s="1" t="str">
        <f t="shared" si="29"/>
        <v>Beverages</v>
      </c>
      <c r="E1878" t="s">
        <v>7</v>
      </c>
      <c r="F1878" s="2">
        <v>5</v>
      </c>
      <c r="G1878" s="3">
        <v>21</v>
      </c>
      <c r="H1878" s="3">
        <f>grocery_chain_data[[#This Row],[Quantity]]*grocery_chain_data[[#This Row],[Unit Price]]</f>
        <v>105</v>
      </c>
      <c r="I1878" s="3">
        <v>0</v>
      </c>
      <c r="J1878" s="3">
        <f>grocery_chain_data[[#This Row],[Total Amount]]-grocery_chain_data[[#This Row],[Discount Amount]]</f>
        <v>105</v>
      </c>
      <c r="K1878">
        <v>33</v>
      </c>
      <c r="L1878" t="str">
        <f>IF(grocery_chain_data[[#This Row],[Final Amount]]&lt;0,"Return","Sale")</f>
        <v>Sale</v>
      </c>
      <c r="M1878">
        <f>IF(grocery_chain_data[[#This Row],[Final Amount]]&lt;0,0,grocery_chain_data[[#This Row],[Final Amount]])</f>
        <v>105</v>
      </c>
    </row>
    <row r="1879" spans="1:13" x14ac:dyDescent="0.3">
      <c r="A1879">
        <v>9336</v>
      </c>
      <c r="B1879" t="s">
        <v>16</v>
      </c>
      <c r="C1879" s="1">
        <v>45146</v>
      </c>
      <c r="D1879" s="1" t="str">
        <f t="shared" si="29"/>
        <v>Beverages</v>
      </c>
      <c r="E1879" t="s">
        <v>7</v>
      </c>
      <c r="F1879" s="2">
        <v>4</v>
      </c>
      <c r="G1879" s="3">
        <v>12</v>
      </c>
      <c r="H1879" s="3">
        <f>grocery_chain_data[[#This Row],[Quantity]]*grocery_chain_data[[#This Row],[Unit Price]]</f>
        <v>48</v>
      </c>
      <c r="I1879" s="3">
        <v>7</v>
      </c>
      <c r="J1879" s="3">
        <f>grocery_chain_data[[#This Row],[Total Amount]]-grocery_chain_data[[#This Row],[Discount Amount]]</f>
        <v>41</v>
      </c>
      <c r="K1879">
        <v>153</v>
      </c>
      <c r="L1879" t="str">
        <f>IF(grocery_chain_data[[#This Row],[Final Amount]]&lt;0,"Return","Sale")</f>
        <v>Sale</v>
      </c>
      <c r="M1879">
        <f>IF(grocery_chain_data[[#This Row],[Final Amount]]&lt;0,0,grocery_chain_data[[#This Row],[Final Amount]])</f>
        <v>41</v>
      </c>
    </row>
    <row r="1880" spans="1:13" x14ac:dyDescent="0.3">
      <c r="A1880">
        <v>1721</v>
      </c>
      <c r="B1880" t="s">
        <v>2</v>
      </c>
      <c r="C1880" s="1">
        <v>45811</v>
      </c>
      <c r="D1880" s="1" t="str">
        <f t="shared" si="29"/>
        <v>Meat &amp; Seafood</v>
      </c>
      <c r="E1880" t="s">
        <v>9</v>
      </c>
      <c r="F1880" s="2">
        <v>5</v>
      </c>
      <c r="G1880" s="3">
        <v>6</v>
      </c>
      <c r="H1880" s="3">
        <f>grocery_chain_data[[#This Row],[Quantity]]*grocery_chain_data[[#This Row],[Unit Price]]</f>
        <v>30</v>
      </c>
      <c r="I1880" s="3">
        <v>3</v>
      </c>
      <c r="J1880" s="3">
        <f>grocery_chain_data[[#This Row],[Total Amount]]-grocery_chain_data[[#This Row],[Discount Amount]]</f>
        <v>27</v>
      </c>
      <c r="K1880">
        <v>353</v>
      </c>
      <c r="L1880" t="str">
        <f>IF(grocery_chain_data[[#This Row],[Final Amount]]&lt;0,"Return","Sale")</f>
        <v>Sale</v>
      </c>
      <c r="M1880">
        <f>IF(grocery_chain_data[[#This Row],[Final Amount]]&lt;0,0,grocery_chain_data[[#This Row],[Final Amount]])</f>
        <v>27</v>
      </c>
    </row>
    <row r="1881" spans="1:13" x14ac:dyDescent="0.3">
      <c r="A1881">
        <v>1201</v>
      </c>
      <c r="B1881" t="s">
        <v>10</v>
      </c>
      <c r="C1881" s="1">
        <v>45334</v>
      </c>
      <c r="D1881" s="1" t="str">
        <f t="shared" si="29"/>
        <v>Pantry</v>
      </c>
      <c r="E1881" t="s">
        <v>6</v>
      </c>
      <c r="F1881" s="2">
        <v>4</v>
      </c>
      <c r="G1881" s="3">
        <v>14</v>
      </c>
      <c r="H1881" s="3">
        <f>grocery_chain_data[[#This Row],[Quantity]]*grocery_chain_data[[#This Row],[Unit Price]]</f>
        <v>56</v>
      </c>
      <c r="I1881" s="3">
        <v>6</v>
      </c>
      <c r="J1881" s="3">
        <f>grocery_chain_data[[#This Row],[Total Amount]]-grocery_chain_data[[#This Row],[Discount Amount]]</f>
        <v>50</v>
      </c>
      <c r="K1881">
        <v>460</v>
      </c>
      <c r="L1881" t="str">
        <f>IF(grocery_chain_data[[#This Row],[Final Amount]]&lt;0,"Return","Sale")</f>
        <v>Sale</v>
      </c>
      <c r="M1881">
        <f>IF(grocery_chain_data[[#This Row],[Final Amount]]&lt;0,0,grocery_chain_data[[#This Row],[Final Amount]])</f>
        <v>50</v>
      </c>
    </row>
    <row r="1882" spans="1:13" x14ac:dyDescent="0.3">
      <c r="A1882">
        <v>1753</v>
      </c>
      <c r="B1882" t="s">
        <v>5</v>
      </c>
      <c r="C1882" s="1">
        <v>45511</v>
      </c>
      <c r="D1882" s="1" t="str">
        <f t="shared" si="29"/>
        <v>Produce</v>
      </c>
      <c r="E1882" t="s">
        <v>14</v>
      </c>
      <c r="F1882" s="2">
        <v>4</v>
      </c>
      <c r="G1882" s="3">
        <v>29</v>
      </c>
      <c r="H1882" s="3">
        <f>grocery_chain_data[[#This Row],[Quantity]]*grocery_chain_data[[#This Row],[Unit Price]]</f>
        <v>116</v>
      </c>
      <c r="I1882" s="3">
        <v>17</v>
      </c>
      <c r="J1882" s="3">
        <f>grocery_chain_data[[#This Row],[Total Amount]]-grocery_chain_data[[#This Row],[Discount Amount]]</f>
        <v>99</v>
      </c>
      <c r="K1882">
        <v>447</v>
      </c>
      <c r="L1882" t="str">
        <f>IF(grocery_chain_data[[#This Row],[Final Amount]]&lt;0,"Return","Sale")</f>
        <v>Sale</v>
      </c>
      <c r="M1882">
        <f>IF(grocery_chain_data[[#This Row],[Final Amount]]&lt;0,0,grocery_chain_data[[#This Row],[Final Amount]])</f>
        <v>99</v>
      </c>
    </row>
    <row r="1883" spans="1:13" x14ac:dyDescent="0.3">
      <c r="A1883">
        <v>6963</v>
      </c>
      <c r="B1883" t="s">
        <v>8</v>
      </c>
      <c r="C1883" s="1">
        <v>45442</v>
      </c>
      <c r="D1883" s="1" t="str">
        <f t="shared" si="29"/>
        <v>Dairy</v>
      </c>
      <c r="E1883" t="s">
        <v>20</v>
      </c>
      <c r="F1883" s="2">
        <v>4</v>
      </c>
      <c r="G1883" s="3">
        <v>12</v>
      </c>
      <c r="H1883" s="3">
        <f>grocery_chain_data[[#This Row],[Quantity]]*grocery_chain_data[[#This Row],[Unit Price]]</f>
        <v>48</v>
      </c>
      <c r="I1883" s="3">
        <v>9</v>
      </c>
      <c r="J1883" s="3">
        <f>grocery_chain_data[[#This Row],[Total Amount]]-grocery_chain_data[[#This Row],[Discount Amount]]</f>
        <v>39</v>
      </c>
      <c r="K1883">
        <v>222</v>
      </c>
      <c r="L1883" t="str">
        <f>IF(grocery_chain_data[[#This Row],[Final Amount]]&lt;0,"Return","Sale")</f>
        <v>Sale</v>
      </c>
      <c r="M1883">
        <f>IF(grocery_chain_data[[#This Row],[Final Amount]]&lt;0,0,grocery_chain_data[[#This Row],[Final Amount]])</f>
        <v>39</v>
      </c>
    </row>
    <row r="1884" spans="1:13" x14ac:dyDescent="0.3">
      <c r="A1884">
        <v>3458</v>
      </c>
      <c r="B1884" t="s">
        <v>5</v>
      </c>
      <c r="C1884" s="1">
        <v>45284</v>
      </c>
      <c r="D1884" s="1" t="str">
        <f t="shared" si="29"/>
        <v>Meat &amp; Seafood</v>
      </c>
      <c r="E1884" t="s">
        <v>26</v>
      </c>
      <c r="F1884" s="2">
        <v>1</v>
      </c>
      <c r="G1884" s="3">
        <v>12</v>
      </c>
      <c r="H1884" s="3">
        <f>grocery_chain_data[[#This Row],[Quantity]]*grocery_chain_data[[#This Row],[Unit Price]]</f>
        <v>12</v>
      </c>
      <c r="I1884" s="3">
        <v>2</v>
      </c>
      <c r="J1884" s="3">
        <f>grocery_chain_data[[#This Row],[Total Amount]]-grocery_chain_data[[#This Row],[Discount Amount]]</f>
        <v>10</v>
      </c>
      <c r="K1884">
        <v>76</v>
      </c>
      <c r="L1884" t="str">
        <f>IF(grocery_chain_data[[#This Row],[Final Amount]]&lt;0,"Return","Sale")</f>
        <v>Sale</v>
      </c>
      <c r="M1884">
        <f>IF(grocery_chain_data[[#This Row],[Final Amount]]&lt;0,0,grocery_chain_data[[#This Row],[Final Amount]])</f>
        <v>10</v>
      </c>
    </row>
    <row r="1885" spans="1:13" x14ac:dyDescent="0.3">
      <c r="A1885">
        <v>1579</v>
      </c>
      <c r="B1885" t="s">
        <v>21</v>
      </c>
      <c r="C1885" s="1">
        <v>45574</v>
      </c>
      <c r="D1885" s="1" t="str">
        <f t="shared" si="29"/>
        <v>Produce</v>
      </c>
      <c r="E1885" t="s">
        <v>25</v>
      </c>
      <c r="F1885" s="2">
        <v>4</v>
      </c>
      <c r="G1885" s="3">
        <v>6</v>
      </c>
      <c r="H1885" s="3">
        <f>grocery_chain_data[[#This Row],[Quantity]]*grocery_chain_data[[#This Row],[Unit Price]]</f>
        <v>24</v>
      </c>
      <c r="I1885" s="3">
        <v>4</v>
      </c>
      <c r="J1885" s="3">
        <f>grocery_chain_data[[#This Row],[Total Amount]]-grocery_chain_data[[#This Row],[Discount Amount]]</f>
        <v>20</v>
      </c>
      <c r="K1885">
        <v>424</v>
      </c>
      <c r="L1885" t="str">
        <f>IF(grocery_chain_data[[#This Row],[Final Amount]]&lt;0,"Return","Sale")</f>
        <v>Sale</v>
      </c>
      <c r="M1885">
        <f>IF(grocery_chain_data[[#This Row],[Final Amount]]&lt;0,0,grocery_chain_data[[#This Row],[Final Amount]])</f>
        <v>20</v>
      </c>
    </row>
    <row r="1886" spans="1:13" x14ac:dyDescent="0.3">
      <c r="A1886">
        <v>7870</v>
      </c>
      <c r="B1886" t="s">
        <v>21</v>
      </c>
      <c r="C1886" s="1">
        <v>45319</v>
      </c>
      <c r="D1886" s="1" t="str">
        <f t="shared" si="29"/>
        <v>Produce</v>
      </c>
      <c r="E1886" t="s">
        <v>25</v>
      </c>
      <c r="F1886" s="2">
        <v>4</v>
      </c>
      <c r="G1886" s="3">
        <v>14</v>
      </c>
      <c r="H1886" s="3">
        <f>grocery_chain_data[[#This Row],[Quantity]]*grocery_chain_data[[#This Row],[Unit Price]]</f>
        <v>56</v>
      </c>
      <c r="I1886" s="3">
        <v>5</v>
      </c>
      <c r="J1886" s="3">
        <f>grocery_chain_data[[#This Row],[Total Amount]]-grocery_chain_data[[#This Row],[Discount Amount]]</f>
        <v>51</v>
      </c>
      <c r="K1886">
        <v>436</v>
      </c>
      <c r="L1886" t="str">
        <f>IF(grocery_chain_data[[#This Row],[Final Amount]]&lt;0,"Return","Sale")</f>
        <v>Sale</v>
      </c>
      <c r="M1886">
        <f>IF(grocery_chain_data[[#This Row],[Final Amount]]&lt;0,0,grocery_chain_data[[#This Row],[Final Amount]])</f>
        <v>51</v>
      </c>
    </row>
    <row r="1887" spans="1:13" x14ac:dyDescent="0.3">
      <c r="A1887">
        <v>6272</v>
      </c>
      <c r="B1887" t="s">
        <v>13</v>
      </c>
      <c r="C1887" s="1">
        <v>45337</v>
      </c>
      <c r="D1887" s="1" t="str">
        <f t="shared" si="29"/>
        <v>Meat &amp; Seafood</v>
      </c>
      <c r="E1887" t="s">
        <v>26</v>
      </c>
      <c r="F1887" s="2">
        <v>1</v>
      </c>
      <c r="G1887" s="3">
        <v>29</v>
      </c>
      <c r="H1887" s="3">
        <f>grocery_chain_data[[#This Row],[Quantity]]*grocery_chain_data[[#This Row],[Unit Price]]</f>
        <v>29</v>
      </c>
      <c r="I1887" s="3">
        <v>2</v>
      </c>
      <c r="J1887" s="3">
        <f>grocery_chain_data[[#This Row],[Total Amount]]-grocery_chain_data[[#This Row],[Discount Amount]]</f>
        <v>27</v>
      </c>
      <c r="K1887">
        <v>361</v>
      </c>
      <c r="L1887" t="str">
        <f>IF(grocery_chain_data[[#This Row],[Final Amount]]&lt;0,"Return","Sale")</f>
        <v>Sale</v>
      </c>
      <c r="M1887">
        <f>IF(grocery_chain_data[[#This Row],[Final Amount]]&lt;0,0,grocery_chain_data[[#This Row],[Final Amount]])</f>
        <v>27</v>
      </c>
    </row>
    <row r="1888" spans="1:13" x14ac:dyDescent="0.3">
      <c r="A1888">
        <v>7819</v>
      </c>
      <c r="B1888" t="s">
        <v>21</v>
      </c>
      <c r="C1888" s="1">
        <v>45856</v>
      </c>
      <c r="D1888" s="1" t="str">
        <f t="shared" si="29"/>
        <v>Produce</v>
      </c>
      <c r="E1888" t="s">
        <v>25</v>
      </c>
      <c r="F1888" s="2">
        <v>2</v>
      </c>
      <c r="G1888" s="3">
        <v>13</v>
      </c>
      <c r="H1888" s="3">
        <f>grocery_chain_data[[#This Row],[Quantity]]*grocery_chain_data[[#This Row],[Unit Price]]</f>
        <v>26</v>
      </c>
      <c r="I1888" s="3">
        <v>0</v>
      </c>
      <c r="J1888" s="3">
        <f>grocery_chain_data[[#This Row],[Total Amount]]-grocery_chain_data[[#This Row],[Discount Amount]]</f>
        <v>26</v>
      </c>
      <c r="K1888">
        <v>6</v>
      </c>
      <c r="L1888" t="str">
        <f>IF(grocery_chain_data[[#This Row],[Final Amount]]&lt;0,"Return","Sale")</f>
        <v>Sale</v>
      </c>
      <c r="M1888">
        <f>IF(grocery_chain_data[[#This Row],[Final Amount]]&lt;0,0,grocery_chain_data[[#This Row],[Final Amount]])</f>
        <v>26</v>
      </c>
    </row>
    <row r="1889" spans="1:13" x14ac:dyDescent="0.3">
      <c r="A1889">
        <v>6241</v>
      </c>
      <c r="B1889" t="s">
        <v>5</v>
      </c>
      <c r="C1889" s="1">
        <v>45355</v>
      </c>
      <c r="D1889" s="1" t="str">
        <f t="shared" si="29"/>
        <v>Produce</v>
      </c>
      <c r="E1889" t="s">
        <v>17</v>
      </c>
      <c r="F1889" s="2">
        <v>5</v>
      </c>
      <c r="G1889" s="3">
        <v>13</v>
      </c>
      <c r="H1889" s="3">
        <f>grocery_chain_data[[#This Row],[Quantity]]*grocery_chain_data[[#This Row],[Unit Price]]</f>
        <v>65</v>
      </c>
      <c r="I1889" s="3">
        <v>2</v>
      </c>
      <c r="J1889" s="3">
        <f>grocery_chain_data[[#This Row],[Total Amount]]-grocery_chain_data[[#This Row],[Discount Amount]]</f>
        <v>63</v>
      </c>
      <c r="K1889">
        <v>62</v>
      </c>
      <c r="L1889" t="str">
        <f>IF(grocery_chain_data[[#This Row],[Final Amount]]&lt;0,"Return","Sale")</f>
        <v>Sale</v>
      </c>
      <c r="M1889">
        <f>IF(grocery_chain_data[[#This Row],[Final Amount]]&lt;0,0,grocery_chain_data[[#This Row],[Final Amount]])</f>
        <v>63</v>
      </c>
    </row>
    <row r="1890" spans="1:13" x14ac:dyDescent="0.3">
      <c r="A1890">
        <v>2276</v>
      </c>
      <c r="B1890" t="s">
        <v>16</v>
      </c>
      <c r="C1890" s="1">
        <v>45588</v>
      </c>
      <c r="D1890" s="1" t="str">
        <f t="shared" si="29"/>
        <v>Beverages</v>
      </c>
      <c r="E1890" t="s">
        <v>7</v>
      </c>
      <c r="F1890" s="2">
        <v>5</v>
      </c>
      <c r="G1890" s="3">
        <v>29</v>
      </c>
      <c r="H1890" s="3">
        <f>grocery_chain_data[[#This Row],[Quantity]]*grocery_chain_data[[#This Row],[Unit Price]]</f>
        <v>145</v>
      </c>
      <c r="I1890" s="3">
        <v>15</v>
      </c>
      <c r="J1890" s="3">
        <f>grocery_chain_data[[#This Row],[Total Amount]]-grocery_chain_data[[#This Row],[Discount Amount]]</f>
        <v>130</v>
      </c>
      <c r="K1890">
        <v>32</v>
      </c>
      <c r="L1890" t="str">
        <f>IF(grocery_chain_data[[#This Row],[Final Amount]]&lt;0,"Return","Sale")</f>
        <v>Sale</v>
      </c>
      <c r="M1890">
        <f>IF(grocery_chain_data[[#This Row],[Final Amount]]&lt;0,0,grocery_chain_data[[#This Row],[Final Amount]])</f>
        <v>130</v>
      </c>
    </row>
    <row r="1891" spans="1:13" x14ac:dyDescent="0.3">
      <c r="A1891">
        <v>7108</v>
      </c>
      <c r="B1891" t="s">
        <v>16</v>
      </c>
      <c r="C1891" s="1">
        <v>45237</v>
      </c>
      <c r="D1891" s="1" t="str">
        <f t="shared" si="29"/>
        <v>Meat &amp; Seafood</v>
      </c>
      <c r="E1891" t="s">
        <v>9</v>
      </c>
      <c r="F1891" s="2">
        <v>2</v>
      </c>
      <c r="G1891" s="3">
        <v>28</v>
      </c>
      <c r="H1891" s="3">
        <f>grocery_chain_data[[#This Row],[Quantity]]*grocery_chain_data[[#This Row],[Unit Price]]</f>
        <v>56</v>
      </c>
      <c r="I1891" s="3">
        <v>9</v>
      </c>
      <c r="J1891" s="3">
        <f>grocery_chain_data[[#This Row],[Total Amount]]-grocery_chain_data[[#This Row],[Discount Amount]]</f>
        <v>47</v>
      </c>
      <c r="K1891">
        <v>352</v>
      </c>
      <c r="L1891" t="str">
        <f>IF(grocery_chain_data[[#This Row],[Final Amount]]&lt;0,"Return","Sale")</f>
        <v>Sale</v>
      </c>
      <c r="M1891">
        <f>IF(grocery_chain_data[[#This Row],[Final Amount]]&lt;0,0,grocery_chain_data[[#This Row],[Final Amount]])</f>
        <v>47</v>
      </c>
    </row>
    <row r="1892" spans="1:13" x14ac:dyDescent="0.3">
      <c r="A1892">
        <v>9225</v>
      </c>
      <c r="B1892" t="s">
        <v>10</v>
      </c>
      <c r="C1892" s="1">
        <v>45667</v>
      </c>
      <c r="D1892" s="1" t="str">
        <f t="shared" si="29"/>
        <v>Produce</v>
      </c>
      <c r="E1892" t="s">
        <v>4</v>
      </c>
      <c r="F1892" s="2">
        <v>3</v>
      </c>
      <c r="G1892" s="3">
        <v>18</v>
      </c>
      <c r="H1892" s="3">
        <f>grocery_chain_data[[#This Row],[Quantity]]*grocery_chain_data[[#This Row],[Unit Price]]</f>
        <v>54</v>
      </c>
      <c r="I1892" s="3">
        <v>11</v>
      </c>
      <c r="J1892" s="3">
        <f>grocery_chain_data[[#This Row],[Total Amount]]-grocery_chain_data[[#This Row],[Discount Amount]]</f>
        <v>43</v>
      </c>
      <c r="K1892">
        <v>169</v>
      </c>
      <c r="L1892" t="str">
        <f>IF(grocery_chain_data[[#This Row],[Final Amount]]&lt;0,"Return","Sale")</f>
        <v>Sale</v>
      </c>
      <c r="M1892">
        <f>IF(grocery_chain_data[[#This Row],[Final Amount]]&lt;0,0,grocery_chain_data[[#This Row],[Final Amount]])</f>
        <v>43</v>
      </c>
    </row>
    <row r="1893" spans="1:13" x14ac:dyDescent="0.3">
      <c r="A1893">
        <v>1862</v>
      </c>
      <c r="B1893" t="s">
        <v>16</v>
      </c>
      <c r="C1893" s="1">
        <v>45284</v>
      </c>
      <c r="D1893" s="1" t="str">
        <f t="shared" si="29"/>
        <v>Meat &amp; Seafood</v>
      </c>
      <c r="E1893" t="s">
        <v>9</v>
      </c>
      <c r="F1893" s="2">
        <v>5</v>
      </c>
      <c r="G1893" s="3">
        <v>19</v>
      </c>
      <c r="H1893" s="3">
        <f>grocery_chain_data[[#This Row],[Quantity]]*grocery_chain_data[[#This Row],[Unit Price]]</f>
        <v>95</v>
      </c>
      <c r="I1893" s="3">
        <v>9</v>
      </c>
      <c r="J1893" s="3">
        <f>grocery_chain_data[[#This Row],[Total Amount]]-grocery_chain_data[[#This Row],[Discount Amount]]</f>
        <v>86</v>
      </c>
      <c r="K1893">
        <v>416</v>
      </c>
      <c r="L1893" t="str">
        <f>IF(grocery_chain_data[[#This Row],[Final Amount]]&lt;0,"Return","Sale")</f>
        <v>Sale</v>
      </c>
      <c r="M1893">
        <f>IF(grocery_chain_data[[#This Row],[Final Amount]]&lt;0,0,grocery_chain_data[[#This Row],[Final Amount]])</f>
        <v>86</v>
      </c>
    </row>
    <row r="1894" spans="1:13" x14ac:dyDescent="0.3">
      <c r="A1894">
        <v>4656</v>
      </c>
      <c r="B1894" t="s">
        <v>10</v>
      </c>
      <c r="C1894" s="1">
        <v>45769</v>
      </c>
      <c r="D1894" s="1" t="str">
        <f t="shared" si="29"/>
        <v>Pantry</v>
      </c>
      <c r="E1894" t="s">
        <v>6</v>
      </c>
      <c r="F1894" s="2">
        <v>5</v>
      </c>
      <c r="G1894" s="3">
        <v>27</v>
      </c>
      <c r="H1894" s="3">
        <f>grocery_chain_data[[#This Row],[Quantity]]*grocery_chain_data[[#This Row],[Unit Price]]</f>
        <v>135</v>
      </c>
      <c r="I1894" s="3">
        <v>2</v>
      </c>
      <c r="J1894" s="3">
        <f>grocery_chain_data[[#This Row],[Total Amount]]-grocery_chain_data[[#This Row],[Discount Amount]]</f>
        <v>133</v>
      </c>
      <c r="K1894">
        <v>196</v>
      </c>
      <c r="L1894" t="str">
        <f>IF(grocery_chain_data[[#This Row],[Final Amount]]&lt;0,"Return","Sale")</f>
        <v>Sale</v>
      </c>
      <c r="M1894">
        <f>IF(grocery_chain_data[[#This Row],[Final Amount]]&lt;0,0,grocery_chain_data[[#This Row],[Final Amount]])</f>
        <v>133</v>
      </c>
    </row>
    <row r="1895" spans="1:13" x14ac:dyDescent="0.3">
      <c r="A1895">
        <v>9450</v>
      </c>
      <c r="B1895" t="s">
        <v>2</v>
      </c>
      <c r="C1895" s="1">
        <v>45180</v>
      </c>
      <c r="D1895" s="1" t="str">
        <f t="shared" si="29"/>
        <v>Meat &amp; Seafood</v>
      </c>
      <c r="E1895" t="s">
        <v>15</v>
      </c>
      <c r="F1895" s="2">
        <v>5</v>
      </c>
      <c r="G1895" s="3">
        <v>27</v>
      </c>
      <c r="H1895" s="3">
        <f>grocery_chain_data[[#This Row],[Quantity]]*grocery_chain_data[[#This Row],[Unit Price]]</f>
        <v>135</v>
      </c>
      <c r="I1895" s="3">
        <v>3</v>
      </c>
      <c r="J1895" s="3">
        <f>grocery_chain_data[[#This Row],[Total Amount]]-grocery_chain_data[[#This Row],[Discount Amount]]</f>
        <v>132</v>
      </c>
      <c r="K1895">
        <v>484</v>
      </c>
      <c r="L1895" t="str">
        <f>IF(grocery_chain_data[[#This Row],[Final Amount]]&lt;0,"Return","Sale")</f>
        <v>Sale</v>
      </c>
      <c r="M1895">
        <f>IF(grocery_chain_data[[#This Row],[Final Amount]]&lt;0,0,grocery_chain_data[[#This Row],[Final Amount]])</f>
        <v>132</v>
      </c>
    </row>
    <row r="1896" spans="1:13" x14ac:dyDescent="0.3">
      <c r="A1896">
        <v>7568</v>
      </c>
      <c r="B1896" t="s">
        <v>21</v>
      </c>
      <c r="C1896" s="1">
        <v>45198</v>
      </c>
      <c r="D1896" s="1" t="str">
        <f t="shared" si="29"/>
        <v>Dairy</v>
      </c>
      <c r="E1896" t="s">
        <v>20</v>
      </c>
      <c r="F1896" s="2">
        <v>3</v>
      </c>
      <c r="G1896" s="3">
        <v>26</v>
      </c>
      <c r="H1896" s="3">
        <f>grocery_chain_data[[#This Row],[Quantity]]*grocery_chain_data[[#This Row],[Unit Price]]</f>
        <v>78</v>
      </c>
      <c r="I1896" s="3">
        <v>15</v>
      </c>
      <c r="J1896" s="3">
        <f>grocery_chain_data[[#This Row],[Total Amount]]-grocery_chain_data[[#This Row],[Discount Amount]]</f>
        <v>63</v>
      </c>
      <c r="K1896">
        <v>30</v>
      </c>
      <c r="L1896" t="str">
        <f>IF(grocery_chain_data[[#This Row],[Final Amount]]&lt;0,"Return","Sale")</f>
        <v>Sale</v>
      </c>
      <c r="M1896">
        <f>IF(grocery_chain_data[[#This Row],[Final Amount]]&lt;0,0,grocery_chain_data[[#This Row],[Final Amount]])</f>
        <v>63</v>
      </c>
    </row>
    <row r="1897" spans="1:13" x14ac:dyDescent="0.3">
      <c r="A1897">
        <v>8620</v>
      </c>
      <c r="B1897" t="s">
        <v>21</v>
      </c>
      <c r="C1897" s="1">
        <v>45817</v>
      </c>
      <c r="D1897" s="1" t="str">
        <f t="shared" si="29"/>
        <v>Produce</v>
      </c>
      <c r="E1897" t="s">
        <v>18</v>
      </c>
      <c r="F1897" s="2">
        <v>3</v>
      </c>
      <c r="G1897" s="3">
        <v>11</v>
      </c>
      <c r="H1897" s="3">
        <f>grocery_chain_data[[#This Row],[Quantity]]*grocery_chain_data[[#This Row],[Unit Price]]</f>
        <v>33</v>
      </c>
      <c r="I1897" s="3">
        <v>2</v>
      </c>
      <c r="J1897" s="3">
        <f>grocery_chain_data[[#This Row],[Total Amount]]-grocery_chain_data[[#This Row],[Discount Amount]]</f>
        <v>31</v>
      </c>
      <c r="K1897">
        <v>317</v>
      </c>
      <c r="L1897" t="str">
        <f>IF(grocery_chain_data[[#This Row],[Final Amount]]&lt;0,"Return","Sale")</f>
        <v>Sale</v>
      </c>
      <c r="M1897">
        <f>IF(grocery_chain_data[[#This Row],[Final Amount]]&lt;0,0,grocery_chain_data[[#This Row],[Final Amount]])</f>
        <v>31</v>
      </c>
    </row>
    <row r="1898" spans="1:13" x14ac:dyDescent="0.3">
      <c r="A1898">
        <v>5625</v>
      </c>
      <c r="B1898" t="s">
        <v>12</v>
      </c>
      <c r="C1898" s="1">
        <v>45745</v>
      </c>
      <c r="D1898" s="1" t="str">
        <f t="shared" si="29"/>
        <v>Produce</v>
      </c>
      <c r="E1898" t="s">
        <v>25</v>
      </c>
      <c r="F1898" s="2">
        <v>3</v>
      </c>
      <c r="G1898" s="3">
        <v>19</v>
      </c>
      <c r="H1898" s="3">
        <f>grocery_chain_data[[#This Row],[Quantity]]*grocery_chain_data[[#This Row],[Unit Price]]</f>
        <v>57</v>
      </c>
      <c r="I1898" s="3">
        <v>0</v>
      </c>
      <c r="J1898" s="3">
        <f>grocery_chain_data[[#This Row],[Total Amount]]-grocery_chain_data[[#This Row],[Discount Amount]]</f>
        <v>57</v>
      </c>
      <c r="K1898">
        <v>274</v>
      </c>
      <c r="L1898" t="str">
        <f>IF(grocery_chain_data[[#This Row],[Final Amount]]&lt;0,"Return","Sale")</f>
        <v>Sale</v>
      </c>
      <c r="M1898">
        <f>IF(grocery_chain_data[[#This Row],[Final Amount]]&lt;0,0,grocery_chain_data[[#This Row],[Final Amount]])</f>
        <v>57</v>
      </c>
    </row>
    <row r="1899" spans="1:13" x14ac:dyDescent="0.3">
      <c r="A1899">
        <v>6090</v>
      </c>
      <c r="B1899" t="s">
        <v>21</v>
      </c>
      <c r="C1899" s="1">
        <v>45399</v>
      </c>
      <c r="D1899" s="1" t="str">
        <f t="shared" si="29"/>
        <v>Meat &amp; Seafood</v>
      </c>
      <c r="E1899" t="s">
        <v>26</v>
      </c>
      <c r="F1899" s="2">
        <v>3</v>
      </c>
      <c r="G1899" s="3">
        <v>22</v>
      </c>
      <c r="H1899" s="3">
        <f>grocery_chain_data[[#This Row],[Quantity]]*grocery_chain_data[[#This Row],[Unit Price]]</f>
        <v>66</v>
      </c>
      <c r="I1899" s="3">
        <v>4</v>
      </c>
      <c r="J1899" s="3">
        <f>grocery_chain_data[[#This Row],[Total Amount]]-grocery_chain_data[[#This Row],[Discount Amount]]</f>
        <v>62</v>
      </c>
      <c r="K1899">
        <v>376</v>
      </c>
      <c r="L1899" t="str">
        <f>IF(grocery_chain_data[[#This Row],[Final Amount]]&lt;0,"Return","Sale")</f>
        <v>Sale</v>
      </c>
      <c r="M1899">
        <f>IF(grocery_chain_data[[#This Row],[Final Amount]]&lt;0,0,grocery_chain_data[[#This Row],[Final Amount]])</f>
        <v>62</v>
      </c>
    </row>
    <row r="1900" spans="1:13" x14ac:dyDescent="0.3">
      <c r="A1900">
        <v>2415</v>
      </c>
      <c r="B1900" t="s">
        <v>12</v>
      </c>
      <c r="C1900" s="1">
        <v>45574</v>
      </c>
      <c r="D1900" s="1" t="str">
        <f t="shared" si="29"/>
        <v>Produce</v>
      </c>
      <c r="E1900" t="s">
        <v>14</v>
      </c>
      <c r="F1900" s="2">
        <v>4</v>
      </c>
      <c r="G1900" s="3">
        <v>21</v>
      </c>
      <c r="H1900" s="3">
        <f>grocery_chain_data[[#This Row],[Quantity]]*grocery_chain_data[[#This Row],[Unit Price]]</f>
        <v>84</v>
      </c>
      <c r="I1900" s="3">
        <v>13</v>
      </c>
      <c r="J1900" s="3">
        <f>grocery_chain_data[[#This Row],[Total Amount]]-grocery_chain_data[[#This Row],[Discount Amount]]</f>
        <v>71</v>
      </c>
      <c r="K1900">
        <v>436</v>
      </c>
      <c r="L1900" t="str">
        <f>IF(grocery_chain_data[[#This Row],[Final Amount]]&lt;0,"Return","Sale")</f>
        <v>Sale</v>
      </c>
      <c r="M1900">
        <f>IF(grocery_chain_data[[#This Row],[Final Amount]]&lt;0,0,grocery_chain_data[[#This Row],[Final Amount]])</f>
        <v>71</v>
      </c>
    </row>
    <row r="1901" spans="1:13" x14ac:dyDescent="0.3">
      <c r="A1901">
        <v>8483</v>
      </c>
      <c r="B1901" t="s">
        <v>12</v>
      </c>
      <c r="C1901" s="1">
        <v>45151</v>
      </c>
      <c r="D1901" s="1" t="str">
        <f t="shared" si="29"/>
        <v>Dairy</v>
      </c>
      <c r="E1901" t="s">
        <v>20</v>
      </c>
      <c r="F1901" s="2">
        <v>3</v>
      </c>
      <c r="G1901" s="3">
        <v>2</v>
      </c>
      <c r="H1901" s="3">
        <f>grocery_chain_data[[#This Row],[Quantity]]*grocery_chain_data[[#This Row],[Unit Price]]</f>
        <v>6</v>
      </c>
      <c r="I1901" s="3">
        <v>2</v>
      </c>
      <c r="J1901" s="3">
        <f>grocery_chain_data[[#This Row],[Total Amount]]-grocery_chain_data[[#This Row],[Discount Amount]]</f>
        <v>4</v>
      </c>
      <c r="K1901">
        <v>333</v>
      </c>
      <c r="L1901" t="str">
        <f>IF(grocery_chain_data[[#This Row],[Final Amount]]&lt;0,"Return","Sale")</f>
        <v>Sale</v>
      </c>
      <c r="M1901">
        <f>IF(grocery_chain_data[[#This Row],[Final Amount]]&lt;0,0,grocery_chain_data[[#This Row],[Final Amount]])</f>
        <v>4</v>
      </c>
    </row>
    <row r="1902" spans="1:13" x14ac:dyDescent="0.3">
      <c r="A1902">
        <v>7044</v>
      </c>
      <c r="B1902" t="s">
        <v>5</v>
      </c>
      <c r="C1902" s="1">
        <v>45300</v>
      </c>
      <c r="D1902" s="1" t="str">
        <f t="shared" si="29"/>
        <v>Produce</v>
      </c>
      <c r="E1902" t="s">
        <v>14</v>
      </c>
      <c r="F1902" s="2">
        <v>5</v>
      </c>
      <c r="G1902" s="3">
        <v>6</v>
      </c>
      <c r="H1902" s="3">
        <f>grocery_chain_data[[#This Row],[Quantity]]*grocery_chain_data[[#This Row],[Unit Price]]</f>
        <v>30</v>
      </c>
      <c r="I1902" s="3">
        <v>5</v>
      </c>
      <c r="J1902" s="3">
        <f>grocery_chain_data[[#This Row],[Total Amount]]-grocery_chain_data[[#This Row],[Discount Amount]]</f>
        <v>25</v>
      </c>
      <c r="K1902">
        <v>227</v>
      </c>
      <c r="L1902" t="str">
        <f>IF(grocery_chain_data[[#This Row],[Final Amount]]&lt;0,"Return","Sale")</f>
        <v>Sale</v>
      </c>
      <c r="M1902">
        <f>IF(grocery_chain_data[[#This Row],[Final Amount]]&lt;0,0,grocery_chain_data[[#This Row],[Final Amount]])</f>
        <v>25</v>
      </c>
    </row>
    <row r="1903" spans="1:13" x14ac:dyDescent="0.3">
      <c r="A1903">
        <v>5777</v>
      </c>
      <c r="B1903" t="s">
        <v>10</v>
      </c>
      <c r="C1903" s="1">
        <v>45582</v>
      </c>
      <c r="D1903" s="1" t="str">
        <f t="shared" si="29"/>
        <v>Dairy</v>
      </c>
      <c r="E1903" t="s">
        <v>23</v>
      </c>
      <c r="F1903" s="2">
        <v>5</v>
      </c>
      <c r="G1903" s="3">
        <v>14</v>
      </c>
      <c r="H1903" s="3">
        <f>grocery_chain_data[[#This Row],[Quantity]]*grocery_chain_data[[#This Row],[Unit Price]]</f>
        <v>70</v>
      </c>
      <c r="I1903" s="3">
        <v>11</v>
      </c>
      <c r="J1903" s="3">
        <f>grocery_chain_data[[#This Row],[Total Amount]]-grocery_chain_data[[#This Row],[Discount Amount]]</f>
        <v>59</v>
      </c>
      <c r="K1903">
        <v>83</v>
      </c>
      <c r="L1903" t="str">
        <f>IF(grocery_chain_data[[#This Row],[Final Amount]]&lt;0,"Return","Sale")</f>
        <v>Sale</v>
      </c>
      <c r="M1903">
        <f>IF(grocery_chain_data[[#This Row],[Final Amount]]&lt;0,0,grocery_chain_data[[#This Row],[Final Amount]])</f>
        <v>59</v>
      </c>
    </row>
    <row r="1904" spans="1:13" x14ac:dyDescent="0.3">
      <c r="A1904">
        <v>5979</v>
      </c>
      <c r="B1904" t="s">
        <v>13</v>
      </c>
      <c r="C1904" s="1">
        <v>45719</v>
      </c>
      <c r="D1904" s="1" t="str">
        <f t="shared" si="29"/>
        <v>Dairy</v>
      </c>
      <c r="E1904" t="s">
        <v>19</v>
      </c>
      <c r="F1904" s="2">
        <v>3</v>
      </c>
      <c r="G1904" s="3">
        <v>17</v>
      </c>
      <c r="H1904" s="3">
        <f>grocery_chain_data[[#This Row],[Quantity]]*grocery_chain_data[[#This Row],[Unit Price]]</f>
        <v>51</v>
      </c>
      <c r="I1904" s="3">
        <v>8</v>
      </c>
      <c r="J1904" s="3">
        <f>grocery_chain_data[[#This Row],[Total Amount]]-grocery_chain_data[[#This Row],[Discount Amount]]</f>
        <v>43</v>
      </c>
      <c r="K1904">
        <v>188</v>
      </c>
      <c r="L1904" t="str">
        <f>IF(grocery_chain_data[[#This Row],[Final Amount]]&lt;0,"Return","Sale")</f>
        <v>Sale</v>
      </c>
      <c r="M1904">
        <f>IF(grocery_chain_data[[#This Row],[Final Amount]]&lt;0,0,grocery_chain_data[[#This Row],[Final Amount]])</f>
        <v>43</v>
      </c>
    </row>
    <row r="1905" spans="1:13" x14ac:dyDescent="0.3">
      <c r="A1905">
        <v>4974</v>
      </c>
      <c r="B1905" t="s">
        <v>8</v>
      </c>
      <c r="C1905" s="1">
        <v>45505</v>
      </c>
      <c r="D1905" s="1" t="str">
        <f t="shared" si="29"/>
        <v>Produce</v>
      </c>
      <c r="E1905" t="s">
        <v>18</v>
      </c>
      <c r="F1905" s="2">
        <v>4</v>
      </c>
      <c r="G1905" s="3">
        <v>20</v>
      </c>
      <c r="H1905" s="3">
        <f>grocery_chain_data[[#This Row],[Quantity]]*grocery_chain_data[[#This Row],[Unit Price]]</f>
        <v>80</v>
      </c>
      <c r="I1905" s="3">
        <v>12</v>
      </c>
      <c r="J1905" s="3">
        <f>grocery_chain_data[[#This Row],[Total Amount]]-grocery_chain_data[[#This Row],[Discount Amount]]</f>
        <v>68</v>
      </c>
      <c r="K1905">
        <v>202</v>
      </c>
      <c r="L1905" t="str">
        <f>IF(grocery_chain_data[[#This Row],[Final Amount]]&lt;0,"Return","Sale")</f>
        <v>Sale</v>
      </c>
      <c r="M1905">
        <f>IF(grocery_chain_data[[#This Row],[Final Amount]]&lt;0,0,grocery_chain_data[[#This Row],[Final Amount]])</f>
        <v>68</v>
      </c>
    </row>
    <row r="1906" spans="1:13" x14ac:dyDescent="0.3">
      <c r="A1906">
        <v>7033</v>
      </c>
      <c r="B1906" t="s">
        <v>13</v>
      </c>
      <c r="C1906" s="1">
        <v>45604</v>
      </c>
      <c r="D1906" s="1" t="str">
        <f t="shared" si="29"/>
        <v>Produce</v>
      </c>
      <c r="E1906" t="s">
        <v>17</v>
      </c>
      <c r="F1906" s="2">
        <v>3</v>
      </c>
      <c r="G1906" s="3">
        <v>17</v>
      </c>
      <c r="H1906" s="3">
        <f>grocery_chain_data[[#This Row],[Quantity]]*grocery_chain_data[[#This Row],[Unit Price]]</f>
        <v>51</v>
      </c>
      <c r="I1906" s="3">
        <v>1</v>
      </c>
      <c r="J1906" s="3">
        <f>grocery_chain_data[[#This Row],[Total Amount]]-grocery_chain_data[[#This Row],[Discount Amount]]</f>
        <v>50</v>
      </c>
      <c r="K1906">
        <v>291</v>
      </c>
      <c r="L1906" t="str">
        <f>IF(grocery_chain_data[[#This Row],[Final Amount]]&lt;0,"Return","Sale")</f>
        <v>Sale</v>
      </c>
      <c r="M1906">
        <f>IF(grocery_chain_data[[#This Row],[Final Amount]]&lt;0,0,grocery_chain_data[[#This Row],[Final Amount]])</f>
        <v>50</v>
      </c>
    </row>
    <row r="1907" spans="1:13" x14ac:dyDescent="0.3">
      <c r="A1907">
        <v>9083</v>
      </c>
      <c r="B1907" t="s">
        <v>5</v>
      </c>
      <c r="C1907" s="1">
        <v>45745</v>
      </c>
      <c r="D1907" s="1" t="str">
        <f t="shared" si="29"/>
        <v>Bakery</v>
      </c>
      <c r="E1907" t="s">
        <v>22</v>
      </c>
      <c r="F1907" s="2">
        <v>1</v>
      </c>
      <c r="G1907" s="3">
        <v>5</v>
      </c>
      <c r="H1907" s="3">
        <f>grocery_chain_data[[#This Row],[Quantity]]*grocery_chain_data[[#This Row],[Unit Price]]</f>
        <v>5</v>
      </c>
      <c r="I1907" s="3">
        <v>0</v>
      </c>
      <c r="J1907" s="3">
        <f>grocery_chain_data[[#This Row],[Total Amount]]-grocery_chain_data[[#This Row],[Discount Amount]]</f>
        <v>5</v>
      </c>
      <c r="K1907">
        <v>52</v>
      </c>
      <c r="L1907" t="str">
        <f>IF(grocery_chain_data[[#This Row],[Final Amount]]&lt;0,"Return","Sale")</f>
        <v>Sale</v>
      </c>
      <c r="M1907">
        <f>IF(grocery_chain_data[[#This Row],[Final Amount]]&lt;0,0,grocery_chain_data[[#This Row],[Final Amount]])</f>
        <v>5</v>
      </c>
    </row>
    <row r="1908" spans="1:13" x14ac:dyDescent="0.3">
      <c r="A1908">
        <v>4201</v>
      </c>
      <c r="B1908" t="s">
        <v>21</v>
      </c>
      <c r="C1908" s="1">
        <v>45713</v>
      </c>
      <c r="D1908" s="1" t="str">
        <f t="shared" si="29"/>
        <v>Beverages</v>
      </c>
      <c r="E1908" t="s">
        <v>7</v>
      </c>
      <c r="F1908" s="2">
        <v>3</v>
      </c>
      <c r="G1908" s="3">
        <v>11</v>
      </c>
      <c r="H1908" s="3">
        <f>grocery_chain_data[[#This Row],[Quantity]]*grocery_chain_data[[#This Row],[Unit Price]]</f>
        <v>33</v>
      </c>
      <c r="I1908" s="3">
        <v>3</v>
      </c>
      <c r="J1908" s="3">
        <f>grocery_chain_data[[#This Row],[Total Amount]]-grocery_chain_data[[#This Row],[Discount Amount]]</f>
        <v>30</v>
      </c>
      <c r="K1908">
        <v>211</v>
      </c>
      <c r="L1908" t="str">
        <f>IF(grocery_chain_data[[#This Row],[Final Amount]]&lt;0,"Return","Sale")</f>
        <v>Sale</v>
      </c>
      <c r="M1908">
        <f>IF(grocery_chain_data[[#This Row],[Final Amount]]&lt;0,0,grocery_chain_data[[#This Row],[Final Amount]])</f>
        <v>30</v>
      </c>
    </row>
    <row r="1909" spans="1:13" x14ac:dyDescent="0.3">
      <c r="A1909">
        <v>9954</v>
      </c>
      <c r="B1909" t="s">
        <v>2</v>
      </c>
      <c r="C1909" s="1">
        <v>45735</v>
      </c>
      <c r="D1909" s="1" t="str">
        <f t="shared" si="29"/>
        <v>Produce</v>
      </c>
      <c r="E1909" t="s">
        <v>24</v>
      </c>
      <c r="F1909" s="2">
        <v>4</v>
      </c>
      <c r="G1909" s="3">
        <v>20</v>
      </c>
      <c r="H1909" s="3">
        <f>grocery_chain_data[[#This Row],[Quantity]]*grocery_chain_data[[#This Row],[Unit Price]]</f>
        <v>80</v>
      </c>
      <c r="I1909" s="3">
        <v>4</v>
      </c>
      <c r="J1909" s="3">
        <f>grocery_chain_data[[#This Row],[Total Amount]]-grocery_chain_data[[#This Row],[Discount Amount]]</f>
        <v>76</v>
      </c>
      <c r="K1909">
        <v>202</v>
      </c>
      <c r="L1909" t="str">
        <f>IF(grocery_chain_data[[#This Row],[Final Amount]]&lt;0,"Return","Sale")</f>
        <v>Sale</v>
      </c>
      <c r="M1909">
        <f>IF(grocery_chain_data[[#This Row],[Final Amount]]&lt;0,0,grocery_chain_data[[#This Row],[Final Amount]])</f>
        <v>76</v>
      </c>
    </row>
    <row r="1910" spans="1:13" x14ac:dyDescent="0.3">
      <c r="A1910">
        <v>5016</v>
      </c>
      <c r="B1910" t="s">
        <v>21</v>
      </c>
      <c r="C1910" s="1">
        <v>45261</v>
      </c>
      <c r="D1910" s="1" t="str">
        <f t="shared" si="29"/>
        <v>Produce</v>
      </c>
      <c r="E1910" t="s">
        <v>11</v>
      </c>
      <c r="F1910" s="2">
        <v>1</v>
      </c>
      <c r="G1910" s="3">
        <v>23</v>
      </c>
      <c r="H1910" s="3">
        <f>grocery_chain_data[[#This Row],[Quantity]]*grocery_chain_data[[#This Row],[Unit Price]]</f>
        <v>23</v>
      </c>
      <c r="I1910" s="3">
        <v>5</v>
      </c>
      <c r="J1910" s="3">
        <f>grocery_chain_data[[#This Row],[Total Amount]]-grocery_chain_data[[#This Row],[Discount Amount]]</f>
        <v>18</v>
      </c>
      <c r="K1910">
        <v>444</v>
      </c>
      <c r="L1910" t="str">
        <f>IF(grocery_chain_data[[#This Row],[Final Amount]]&lt;0,"Return","Sale")</f>
        <v>Sale</v>
      </c>
      <c r="M1910">
        <f>IF(grocery_chain_data[[#This Row],[Final Amount]]&lt;0,0,grocery_chain_data[[#This Row],[Final Amount]])</f>
        <v>18</v>
      </c>
    </row>
    <row r="1911" spans="1:13" x14ac:dyDescent="0.3">
      <c r="A1911">
        <v>1104</v>
      </c>
      <c r="B1911" t="s">
        <v>21</v>
      </c>
      <c r="C1911" s="1">
        <v>45869</v>
      </c>
      <c r="D1911" s="1" t="str">
        <f t="shared" si="29"/>
        <v>Produce</v>
      </c>
      <c r="E1911" t="s">
        <v>4</v>
      </c>
      <c r="F1911" s="2">
        <v>1</v>
      </c>
      <c r="G1911" s="3">
        <v>3</v>
      </c>
      <c r="H1911" s="3">
        <f>grocery_chain_data[[#This Row],[Quantity]]*grocery_chain_data[[#This Row],[Unit Price]]</f>
        <v>3</v>
      </c>
      <c r="I1911" s="3">
        <v>0</v>
      </c>
      <c r="J1911" s="3">
        <f>grocery_chain_data[[#This Row],[Total Amount]]-grocery_chain_data[[#This Row],[Discount Amount]]</f>
        <v>3</v>
      </c>
      <c r="K1911">
        <v>431</v>
      </c>
      <c r="L1911" t="str">
        <f>IF(grocery_chain_data[[#This Row],[Final Amount]]&lt;0,"Return","Sale")</f>
        <v>Sale</v>
      </c>
      <c r="M1911">
        <f>IF(grocery_chain_data[[#This Row],[Final Amount]]&lt;0,0,grocery_chain_data[[#This Row],[Final Amount]])</f>
        <v>3</v>
      </c>
    </row>
    <row r="1912" spans="1:13" x14ac:dyDescent="0.3">
      <c r="A1912">
        <v>7718</v>
      </c>
      <c r="B1912" t="s">
        <v>13</v>
      </c>
      <c r="C1912" s="1">
        <v>45163</v>
      </c>
      <c r="D1912" s="1" t="str">
        <f t="shared" si="29"/>
        <v>Meat &amp; Seafood</v>
      </c>
      <c r="E1912" t="s">
        <v>9</v>
      </c>
      <c r="F1912" s="2">
        <v>2</v>
      </c>
      <c r="G1912" s="3">
        <v>29</v>
      </c>
      <c r="H1912" s="3">
        <f>grocery_chain_data[[#This Row],[Quantity]]*grocery_chain_data[[#This Row],[Unit Price]]</f>
        <v>58</v>
      </c>
      <c r="I1912" s="3">
        <v>2</v>
      </c>
      <c r="J1912" s="3">
        <f>grocery_chain_data[[#This Row],[Total Amount]]-grocery_chain_data[[#This Row],[Discount Amount]]</f>
        <v>56</v>
      </c>
      <c r="K1912">
        <v>488</v>
      </c>
      <c r="L1912" t="str">
        <f>IF(grocery_chain_data[[#This Row],[Final Amount]]&lt;0,"Return","Sale")</f>
        <v>Sale</v>
      </c>
      <c r="M1912">
        <f>IF(grocery_chain_data[[#This Row],[Final Amount]]&lt;0,0,grocery_chain_data[[#This Row],[Final Amount]])</f>
        <v>56</v>
      </c>
    </row>
    <row r="1913" spans="1:13" x14ac:dyDescent="0.3">
      <c r="A1913">
        <v>4817</v>
      </c>
      <c r="B1913" t="s">
        <v>8</v>
      </c>
      <c r="C1913" s="1">
        <v>45565</v>
      </c>
      <c r="D1913" s="1" t="str">
        <f t="shared" si="29"/>
        <v>Produce</v>
      </c>
      <c r="E1913" t="s">
        <v>14</v>
      </c>
      <c r="F1913" s="2">
        <v>1</v>
      </c>
      <c r="G1913" s="3">
        <v>16</v>
      </c>
      <c r="H1913" s="3">
        <f>grocery_chain_data[[#This Row],[Quantity]]*grocery_chain_data[[#This Row],[Unit Price]]</f>
        <v>16</v>
      </c>
      <c r="I1913" s="3">
        <v>4</v>
      </c>
      <c r="J1913" s="3">
        <f>grocery_chain_data[[#This Row],[Total Amount]]-grocery_chain_data[[#This Row],[Discount Amount]]</f>
        <v>12</v>
      </c>
      <c r="K1913">
        <v>148</v>
      </c>
      <c r="L1913" t="str">
        <f>IF(grocery_chain_data[[#This Row],[Final Amount]]&lt;0,"Return","Sale")</f>
        <v>Sale</v>
      </c>
      <c r="M1913">
        <f>IF(grocery_chain_data[[#This Row],[Final Amount]]&lt;0,0,grocery_chain_data[[#This Row],[Final Amount]])</f>
        <v>12</v>
      </c>
    </row>
    <row r="1914" spans="1:13" x14ac:dyDescent="0.3">
      <c r="A1914">
        <v>6675</v>
      </c>
      <c r="B1914" t="s">
        <v>8</v>
      </c>
      <c r="C1914" s="1">
        <v>45638</v>
      </c>
      <c r="D1914" s="1" t="str">
        <f t="shared" si="29"/>
        <v>Bakery</v>
      </c>
      <c r="E1914" t="s">
        <v>22</v>
      </c>
      <c r="F1914" s="2">
        <v>1</v>
      </c>
      <c r="G1914" s="3">
        <v>7</v>
      </c>
      <c r="H1914" s="3">
        <f>grocery_chain_data[[#This Row],[Quantity]]*grocery_chain_data[[#This Row],[Unit Price]]</f>
        <v>7</v>
      </c>
      <c r="I1914" s="3">
        <v>1</v>
      </c>
      <c r="J1914" s="3">
        <f>grocery_chain_data[[#This Row],[Total Amount]]-grocery_chain_data[[#This Row],[Discount Amount]]</f>
        <v>6</v>
      </c>
      <c r="K1914">
        <v>18</v>
      </c>
      <c r="L1914" t="str">
        <f>IF(grocery_chain_data[[#This Row],[Final Amount]]&lt;0,"Return","Sale")</f>
        <v>Sale</v>
      </c>
      <c r="M1914">
        <f>IF(grocery_chain_data[[#This Row],[Final Amount]]&lt;0,0,grocery_chain_data[[#This Row],[Final Amount]])</f>
        <v>6</v>
      </c>
    </row>
    <row r="1915" spans="1:13" x14ac:dyDescent="0.3">
      <c r="A1915">
        <v>1157</v>
      </c>
      <c r="B1915" t="s">
        <v>10</v>
      </c>
      <c r="C1915" s="1">
        <v>45405</v>
      </c>
      <c r="D1915" s="1" t="str">
        <f t="shared" si="29"/>
        <v>Beverages</v>
      </c>
      <c r="E1915" t="s">
        <v>7</v>
      </c>
      <c r="F1915" s="2">
        <v>1</v>
      </c>
      <c r="G1915" s="3">
        <v>18</v>
      </c>
      <c r="H1915" s="3">
        <f>grocery_chain_data[[#This Row],[Quantity]]*grocery_chain_data[[#This Row],[Unit Price]]</f>
        <v>18</v>
      </c>
      <c r="I1915" s="3">
        <v>2</v>
      </c>
      <c r="J1915" s="3">
        <f>grocery_chain_data[[#This Row],[Total Amount]]-grocery_chain_data[[#This Row],[Discount Amount]]</f>
        <v>16</v>
      </c>
      <c r="K1915">
        <v>188</v>
      </c>
      <c r="L1915" t="str">
        <f>IF(grocery_chain_data[[#This Row],[Final Amount]]&lt;0,"Return","Sale")</f>
        <v>Sale</v>
      </c>
      <c r="M1915">
        <f>IF(grocery_chain_data[[#This Row],[Final Amount]]&lt;0,0,grocery_chain_data[[#This Row],[Final Amount]])</f>
        <v>16</v>
      </c>
    </row>
    <row r="1916" spans="1:13" x14ac:dyDescent="0.3">
      <c r="A1916">
        <v>1023</v>
      </c>
      <c r="B1916" t="s">
        <v>21</v>
      </c>
      <c r="C1916" s="1">
        <v>45734</v>
      </c>
      <c r="D1916" s="1" t="str">
        <f t="shared" si="29"/>
        <v>Produce</v>
      </c>
      <c r="E1916" t="s">
        <v>4</v>
      </c>
      <c r="F1916" s="2">
        <v>1</v>
      </c>
      <c r="G1916" s="3">
        <v>28</v>
      </c>
      <c r="H1916" s="3">
        <f>grocery_chain_data[[#This Row],[Quantity]]*grocery_chain_data[[#This Row],[Unit Price]]</f>
        <v>28</v>
      </c>
      <c r="I1916" s="3">
        <v>4</v>
      </c>
      <c r="J1916" s="3">
        <f>grocery_chain_data[[#This Row],[Total Amount]]-grocery_chain_data[[#This Row],[Discount Amount]]</f>
        <v>24</v>
      </c>
      <c r="K1916">
        <v>381</v>
      </c>
      <c r="L1916" t="str">
        <f>IF(grocery_chain_data[[#This Row],[Final Amount]]&lt;0,"Return","Sale")</f>
        <v>Sale</v>
      </c>
      <c r="M1916">
        <f>IF(grocery_chain_data[[#This Row],[Final Amount]]&lt;0,0,grocery_chain_data[[#This Row],[Final Amount]])</f>
        <v>24</v>
      </c>
    </row>
    <row r="1917" spans="1:13" x14ac:dyDescent="0.3">
      <c r="A1917">
        <v>7164</v>
      </c>
      <c r="B1917" t="s">
        <v>2</v>
      </c>
      <c r="C1917" s="1">
        <v>45804</v>
      </c>
      <c r="D1917" s="1" t="str">
        <f t="shared" si="29"/>
        <v>Produce</v>
      </c>
      <c r="E1917" t="s">
        <v>24</v>
      </c>
      <c r="F1917" s="2">
        <v>4</v>
      </c>
      <c r="G1917" s="3">
        <v>6</v>
      </c>
      <c r="H1917" s="3">
        <f>grocery_chain_data[[#This Row],[Quantity]]*grocery_chain_data[[#This Row],[Unit Price]]</f>
        <v>24</v>
      </c>
      <c r="I1917" s="3">
        <v>3</v>
      </c>
      <c r="J1917" s="3">
        <f>grocery_chain_data[[#This Row],[Total Amount]]-grocery_chain_data[[#This Row],[Discount Amount]]</f>
        <v>21</v>
      </c>
      <c r="K1917">
        <v>103</v>
      </c>
      <c r="L1917" t="str">
        <f>IF(grocery_chain_data[[#This Row],[Final Amount]]&lt;0,"Return","Sale")</f>
        <v>Sale</v>
      </c>
      <c r="M1917">
        <f>IF(grocery_chain_data[[#This Row],[Final Amount]]&lt;0,0,grocery_chain_data[[#This Row],[Final Amount]])</f>
        <v>21</v>
      </c>
    </row>
    <row r="1918" spans="1:13" x14ac:dyDescent="0.3">
      <c r="A1918">
        <v>6038</v>
      </c>
      <c r="B1918" t="s">
        <v>21</v>
      </c>
      <c r="C1918" s="1">
        <v>45225</v>
      </c>
      <c r="D1918" s="1" t="str">
        <f t="shared" si="29"/>
        <v>Pantry</v>
      </c>
      <c r="E1918" t="s">
        <v>1</v>
      </c>
      <c r="F1918" s="2">
        <v>4</v>
      </c>
      <c r="G1918" s="3">
        <v>4</v>
      </c>
      <c r="H1918" s="3">
        <f>grocery_chain_data[[#This Row],[Quantity]]*grocery_chain_data[[#This Row],[Unit Price]]</f>
        <v>16</v>
      </c>
      <c r="I1918" s="3">
        <v>3</v>
      </c>
      <c r="J1918" s="3">
        <f>grocery_chain_data[[#This Row],[Total Amount]]-grocery_chain_data[[#This Row],[Discount Amount]]</f>
        <v>13</v>
      </c>
      <c r="K1918">
        <v>146</v>
      </c>
      <c r="L1918" t="str">
        <f>IF(grocery_chain_data[[#This Row],[Final Amount]]&lt;0,"Return","Sale")</f>
        <v>Sale</v>
      </c>
      <c r="M1918">
        <f>IF(grocery_chain_data[[#This Row],[Final Amount]]&lt;0,0,grocery_chain_data[[#This Row],[Final Amount]])</f>
        <v>13</v>
      </c>
    </row>
    <row r="1919" spans="1:13" x14ac:dyDescent="0.3">
      <c r="A1919">
        <v>4361</v>
      </c>
      <c r="B1919" t="s">
        <v>2</v>
      </c>
      <c r="C1919" s="1">
        <v>45556</v>
      </c>
      <c r="D1919" s="1" t="str">
        <f t="shared" si="29"/>
        <v>Dairy</v>
      </c>
      <c r="E1919" t="s">
        <v>23</v>
      </c>
      <c r="F1919" s="2">
        <v>2</v>
      </c>
      <c r="G1919" s="3">
        <v>4</v>
      </c>
      <c r="H1919" s="3">
        <f>grocery_chain_data[[#This Row],[Quantity]]*grocery_chain_data[[#This Row],[Unit Price]]</f>
        <v>8</v>
      </c>
      <c r="I1919" s="3">
        <v>0</v>
      </c>
      <c r="J1919" s="3">
        <f>grocery_chain_data[[#This Row],[Total Amount]]-grocery_chain_data[[#This Row],[Discount Amount]]</f>
        <v>8</v>
      </c>
      <c r="K1919">
        <v>198</v>
      </c>
      <c r="L1919" t="str">
        <f>IF(grocery_chain_data[[#This Row],[Final Amount]]&lt;0,"Return","Sale")</f>
        <v>Sale</v>
      </c>
      <c r="M1919">
        <f>IF(grocery_chain_data[[#This Row],[Final Amount]]&lt;0,0,grocery_chain_data[[#This Row],[Final Amount]])</f>
        <v>8</v>
      </c>
    </row>
    <row r="1920" spans="1:13" x14ac:dyDescent="0.3">
      <c r="A1920">
        <v>4902</v>
      </c>
      <c r="B1920" t="s">
        <v>21</v>
      </c>
      <c r="C1920" s="1">
        <v>45471</v>
      </c>
      <c r="D1920" s="1" t="str">
        <f t="shared" si="29"/>
        <v>Produce</v>
      </c>
      <c r="E1920" t="s">
        <v>17</v>
      </c>
      <c r="F1920" s="2">
        <v>2</v>
      </c>
      <c r="G1920" s="3">
        <v>27</v>
      </c>
      <c r="H1920" s="3">
        <f>grocery_chain_data[[#This Row],[Quantity]]*grocery_chain_data[[#This Row],[Unit Price]]</f>
        <v>54</v>
      </c>
      <c r="I1920" s="3">
        <v>8</v>
      </c>
      <c r="J1920" s="3">
        <f>grocery_chain_data[[#This Row],[Total Amount]]-grocery_chain_data[[#This Row],[Discount Amount]]</f>
        <v>46</v>
      </c>
      <c r="K1920">
        <v>418</v>
      </c>
      <c r="L1920" t="str">
        <f>IF(grocery_chain_data[[#This Row],[Final Amount]]&lt;0,"Return","Sale")</f>
        <v>Sale</v>
      </c>
      <c r="M1920">
        <f>IF(grocery_chain_data[[#This Row],[Final Amount]]&lt;0,0,grocery_chain_data[[#This Row],[Final Amount]])</f>
        <v>46</v>
      </c>
    </row>
    <row r="1921" spans="1:13" x14ac:dyDescent="0.3">
      <c r="A1921">
        <v>9061</v>
      </c>
      <c r="B1921" t="s">
        <v>10</v>
      </c>
      <c r="C1921" s="1">
        <v>45191</v>
      </c>
      <c r="D1921" s="1" t="str">
        <f t="shared" si="29"/>
        <v>Meat &amp; Seafood</v>
      </c>
      <c r="E1921" t="s">
        <v>9</v>
      </c>
      <c r="F1921" s="2">
        <v>5</v>
      </c>
      <c r="G1921" s="3">
        <v>27</v>
      </c>
      <c r="H1921" s="3">
        <f>grocery_chain_data[[#This Row],[Quantity]]*grocery_chain_data[[#This Row],[Unit Price]]</f>
        <v>135</v>
      </c>
      <c r="I1921" s="3">
        <v>27</v>
      </c>
      <c r="J1921" s="3">
        <f>grocery_chain_data[[#This Row],[Total Amount]]-grocery_chain_data[[#This Row],[Discount Amount]]</f>
        <v>108</v>
      </c>
      <c r="K1921">
        <v>431</v>
      </c>
      <c r="L1921" t="str">
        <f>IF(grocery_chain_data[[#This Row],[Final Amount]]&lt;0,"Return","Sale")</f>
        <v>Sale</v>
      </c>
      <c r="M1921">
        <f>IF(grocery_chain_data[[#This Row],[Final Amount]]&lt;0,0,grocery_chain_data[[#This Row],[Final Amount]])</f>
        <v>108</v>
      </c>
    </row>
    <row r="1922" spans="1:13" x14ac:dyDescent="0.3">
      <c r="A1922">
        <v>3332</v>
      </c>
      <c r="B1922" t="s">
        <v>2</v>
      </c>
      <c r="C1922" s="1">
        <v>45697</v>
      </c>
      <c r="D1922" s="1" t="str">
        <f t="shared" ref="D1922:D1981" si="30">IF(E1922="Pasta","Pantry",
IF(E1922="Cheese","Dairy",
IF(E1922="Onions","Produce",
IF(E1922="Cereal","Pantry",
IF(E1922="Orange Juice","Beverages",
IF(E1922="Ground Beef","Meat &amp; Seafood",
IF(E1922="Apples","Produce",
IF(E1922="Milk","Dairy",
IF(E1922="Bananas","Produce",
IF(E1922="Bread","Bakery",
IF(E1922="Carrots","Produce",
IF(E1922="Chicken Breast","Meat &amp; Seafood",
IF(E1922="Eggs","Dairy",
IF(E1922="Potatoes","Produce",
IF(E1922="Rice","Produce",
IF(E1922="Salmon","Meat &amp; Seafood",
IF(E1922="Tomatoes","Produce",
IF(E1922="Yogurt","Dairy",
"Others"))))))))))))))))))</f>
        <v>Produce</v>
      </c>
      <c r="E1922" t="s">
        <v>17</v>
      </c>
      <c r="F1922" s="2">
        <v>1</v>
      </c>
      <c r="G1922" s="3">
        <v>7</v>
      </c>
      <c r="H1922" s="3">
        <f>grocery_chain_data[[#This Row],[Quantity]]*grocery_chain_data[[#This Row],[Unit Price]]</f>
        <v>7</v>
      </c>
      <c r="I1922" s="3">
        <v>1</v>
      </c>
      <c r="J1922" s="3">
        <f>grocery_chain_data[[#This Row],[Total Amount]]-grocery_chain_data[[#This Row],[Discount Amount]]</f>
        <v>6</v>
      </c>
      <c r="K1922">
        <v>92</v>
      </c>
      <c r="L1922" t="str">
        <f>IF(grocery_chain_data[[#This Row],[Final Amount]]&lt;0,"Return","Sale")</f>
        <v>Sale</v>
      </c>
      <c r="M1922">
        <f>IF(grocery_chain_data[[#This Row],[Final Amount]]&lt;0,0,grocery_chain_data[[#This Row],[Final Amount]])</f>
        <v>6</v>
      </c>
    </row>
    <row r="1923" spans="1:13" x14ac:dyDescent="0.3">
      <c r="A1923">
        <v>5584</v>
      </c>
      <c r="B1923" t="s">
        <v>10</v>
      </c>
      <c r="C1923" s="1">
        <v>45217</v>
      </c>
      <c r="D1923" s="1" t="str">
        <f t="shared" si="30"/>
        <v>Pantry</v>
      </c>
      <c r="E1923" t="s">
        <v>6</v>
      </c>
      <c r="F1923" s="2">
        <v>4</v>
      </c>
      <c r="G1923" s="3">
        <v>30</v>
      </c>
      <c r="H1923" s="3">
        <f>grocery_chain_data[[#This Row],[Quantity]]*grocery_chain_data[[#This Row],[Unit Price]]</f>
        <v>120</v>
      </c>
      <c r="I1923" s="3">
        <v>12</v>
      </c>
      <c r="J1923" s="3">
        <f>grocery_chain_data[[#This Row],[Total Amount]]-grocery_chain_data[[#This Row],[Discount Amount]]</f>
        <v>108</v>
      </c>
      <c r="K1923">
        <v>308</v>
      </c>
      <c r="L1923" t="str">
        <f>IF(grocery_chain_data[[#This Row],[Final Amount]]&lt;0,"Return","Sale")</f>
        <v>Sale</v>
      </c>
      <c r="M1923">
        <f>IF(grocery_chain_data[[#This Row],[Final Amount]]&lt;0,0,grocery_chain_data[[#This Row],[Final Amount]])</f>
        <v>108</v>
      </c>
    </row>
    <row r="1924" spans="1:13" x14ac:dyDescent="0.3">
      <c r="A1924">
        <v>1719</v>
      </c>
      <c r="B1924" t="s">
        <v>10</v>
      </c>
      <c r="C1924" s="1">
        <v>45860</v>
      </c>
      <c r="D1924" s="1" t="str">
        <f t="shared" si="30"/>
        <v>Produce</v>
      </c>
      <c r="E1924" t="s">
        <v>17</v>
      </c>
      <c r="F1924" s="2">
        <v>2</v>
      </c>
      <c r="G1924" s="3">
        <v>3</v>
      </c>
      <c r="H1924" s="3">
        <f>grocery_chain_data[[#This Row],[Quantity]]*grocery_chain_data[[#This Row],[Unit Price]]</f>
        <v>6</v>
      </c>
      <c r="I1924" s="3">
        <v>3</v>
      </c>
      <c r="J1924" s="3">
        <f>grocery_chain_data[[#This Row],[Total Amount]]-grocery_chain_data[[#This Row],[Discount Amount]]</f>
        <v>3</v>
      </c>
      <c r="K1924">
        <v>54</v>
      </c>
      <c r="L1924" t="str">
        <f>IF(grocery_chain_data[[#This Row],[Final Amount]]&lt;0,"Return","Sale")</f>
        <v>Sale</v>
      </c>
      <c r="M1924">
        <f>IF(grocery_chain_data[[#This Row],[Final Amount]]&lt;0,0,grocery_chain_data[[#This Row],[Final Amount]])</f>
        <v>3</v>
      </c>
    </row>
    <row r="1925" spans="1:13" x14ac:dyDescent="0.3">
      <c r="A1925">
        <v>4792</v>
      </c>
      <c r="B1925" t="s">
        <v>13</v>
      </c>
      <c r="C1925" s="1">
        <v>45841</v>
      </c>
      <c r="D1925" s="1" t="str">
        <f t="shared" si="30"/>
        <v>Produce</v>
      </c>
      <c r="E1925" t="s">
        <v>18</v>
      </c>
      <c r="F1925" s="2">
        <v>3</v>
      </c>
      <c r="G1925" s="3">
        <v>14</v>
      </c>
      <c r="H1925" s="3">
        <f>grocery_chain_data[[#This Row],[Quantity]]*grocery_chain_data[[#This Row],[Unit Price]]</f>
        <v>42</v>
      </c>
      <c r="I1925" s="3">
        <v>1</v>
      </c>
      <c r="J1925" s="3">
        <f>grocery_chain_data[[#This Row],[Total Amount]]-grocery_chain_data[[#This Row],[Discount Amount]]</f>
        <v>41</v>
      </c>
      <c r="K1925">
        <v>373</v>
      </c>
      <c r="L1925" t="str">
        <f>IF(grocery_chain_data[[#This Row],[Final Amount]]&lt;0,"Return","Sale")</f>
        <v>Sale</v>
      </c>
      <c r="M1925">
        <f>IF(grocery_chain_data[[#This Row],[Final Amount]]&lt;0,0,grocery_chain_data[[#This Row],[Final Amount]])</f>
        <v>41</v>
      </c>
    </row>
    <row r="1926" spans="1:13" x14ac:dyDescent="0.3">
      <c r="A1926">
        <v>9515</v>
      </c>
      <c r="B1926" t="s">
        <v>21</v>
      </c>
      <c r="C1926" s="1">
        <v>45465</v>
      </c>
      <c r="D1926" s="1" t="str">
        <f t="shared" si="30"/>
        <v>Dairy</v>
      </c>
      <c r="E1926" t="s">
        <v>23</v>
      </c>
      <c r="F1926" s="2">
        <v>4</v>
      </c>
      <c r="G1926" s="3">
        <v>22</v>
      </c>
      <c r="H1926" s="3">
        <f>grocery_chain_data[[#This Row],[Quantity]]*grocery_chain_data[[#This Row],[Unit Price]]</f>
        <v>88</v>
      </c>
      <c r="I1926" s="3">
        <v>14</v>
      </c>
      <c r="J1926" s="3">
        <f>grocery_chain_data[[#This Row],[Total Amount]]-grocery_chain_data[[#This Row],[Discount Amount]]</f>
        <v>74</v>
      </c>
      <c r="K1926">
        <v>190</v>
      </c>
      <c r="L1926" t="str">
        <f>IF(grocery_chain_data[[#This Row],[Final Amount]]&lt;0,"Return","Sale")</f>
        <v>Sale</v>
      </c>
      <c r="M1926">
        <f>IF(grocery_chain_data[[#This Row],[Final Amount]]&lt;0,0,grocery_chain_data[[#This Row],[Final Amount]])</f>
        <v>74</v>
      </c>
    </row>
    <row r="1927" spans="1:13" x14ac:dyDescent="0.3">
      <c r="A1927">
        <v>7102</v>
      </c>
      <c r="B1927" t="s">
        <v>8</v>
      </c>
      <c r="C1927" s="1">
        <v>45501</v>
      </c>
      <c r="D1927" s="1" t="str">
        <f t="shared" si="30"/>
        <v>Produce</v>
      </c>
      <c r="E1927" t="s">
        <v>18</v>
      </c>
      <c r="F1927" s="2">
        <v>3</v>
      </c>
      <c r="G1927" s="3">
        <v>23</v>
      </c>
      <c r="H1927" s="3">
        <f>grocery_chain_data[[#This Row],[Quantity]]*grocery_chain_data[[#This Row],[Unit Price]]</f>
        <v>69</v>
      </c>
      <c r="I1927" s="3">
        <v>10</v>
      </c>
      <c r="J1927" s="3">
        <f>grocery_chain_data[[#This Row],[Total Amount]]-grocery_chain_data[[#This Row],[Discount Amount]]</f>
        <v>59</v>
      </c>
      <c r="K1927">
        <v>460</v>
      </c>
      <c r="L1927" t="str">
        <f>IF(grocery_chain_data[[#This Row],[Final Amount]]&lt;0,"Return","Sale")</f>
        <v>Sale</v>
      </c>
      <c r="M1927">
        <f>IF(grocery_chain_data[[#This Row],[Final Amount]]&lt;0,0,grocery_chain_data[[#This Row],[Final Amount]])</f>
        <v>59</v>
      </c>
    </row>
    <row r="1928" spans="1:13" x14ac:dyDescent="0.3">
      <c r="A1928">
        <v>2391</v>
      </c>
      <c r="B1928" t="s">
        <v>5</v>
      </c>
      <c r="C1928" s="1">
        <v>45596</v>
      </c>
      <c r="D1928" s="1" t="str">
        <f t="shared" si="30"/>
        <v>Meat &amp; Seafood</v>
      </c>
      <c r="E1928" t="s">
        <v>15</v>
      </c>
      <c r="F1928" s="2">
        <v>2</v>
      </c>
      <c r="G1928" s="3">
        <v>4</v>
      </c>
      <c r="H1928" s="3">
        <f>grocery_chain_data[[#This Row],[Quantity]]*grocery_chain_data[[#This Row],[Unit Price]]</f>
        <v>8</v>
      </c>
      <c r="I1928" s="3">
        <v>1</v>
      </c>
      <c r="J1928" s="3">
        <f>grocery_chain_data[[#This Row],[Total Amount]]-grocery_chain_data[[#This Row],[Discount Amount]]</f>
        <v>7</v>
      </c>
      <c r="K1928">
        <v>325</v>
      </c>
      <c r="L1928" t="str">
        <f>IF(grocery_chain_data[[#This Row],[Final Amount]]&lt;0,"Return","Sale")</f>
        <v>Sale</v>
      </c>
      <c r="M1928">
        <f>IF(grocery_chain_data[[#This Row],[Final Amount]]&lt;0,0,grocery_chain_data[[#This Row],[Final Amount]])</f>
        <v>7</v>
      </c>
    </row>
    <row r="1929" spans="1:13" x14ac:dyDescent="0.3">
      <c r="A1929">
        <v>2565</v>
      </c>
      <c r="B1929" t="s">
        <v>5</v>
      </c>
      <c r="C1929" s="1">
        <v>45537</v>
      </c>
      <c r="D1929" s="1" t="str">
        <f t="shared" si="30"/>
        <v>Meat &amp; Seafood</v>
      </c>
      <c r="E1929" t="s">
        <v>26</v>
      </c>
      <c r="F1929" s="2">
        <v>1</v>
      </c>
      <c r="G1929" s="3">
        <v>22</v>
      </c>
      <c r="H1929" s="3">
        <f>grocery_chain_data[[#This Row],[Quantity]]*grocery_chain_data[[#This Row],[Unit Price]]</f>
        <v>22</v>
      </c>
      <c r="I1929" s="3">
        <v>3</v>
      </c>
      <c r="J1929" s="3">
        <f>grocery_chain_data[[#This Row],[Total Amount]]-grocery_chain_data[[#This Row],[Discount Amount]]</f>
        <v>19</v>
      </c>
      <c r="K1929">
        <v>233</v>
      </c>
      <c r="L1929" t="str">
        <f>IF(grocery_chain_data[[#This Row],[Final Amount]]&lt;0,"Return","Sale")</f>
        <v>Sale</v>
      </c>
      <c r="M1929">
        <f>IF(grocery_chain_data[[#This Row],[Final Amount]]&lt;0,0,grocery_chain_data[[#This Row],[Final Amount]])</f>
        <v>19</v>
      </c>
    </row>
    <row r="1930" spans="1:13" x14ac:dyDescent="0.3">
      <c r="A1930">
        <v>3187</v>
      </c>
      <c r="B1930" t="s">
        <v>13</v>
      </c>
      <c r="C1930" s="1">
        <v>45639</v>
      </c>
      <c r="D1930" s="1" t="str">
        <f t="shared" si="30"/>
        <v>Produce</v>
      </c>
      <c r="E1930" t="s">
        <v>25</v>
      </c>
      <c r="F1930" s="2">
        <v>1</v>
      </c>
      <c r="G1930" s="3">
        <v>22</v>
      </c>
      <c r="H1930" s="3">
        <f>grocery_chain_data[[#This Row],[Quantity]]*grocery_chain_data[[#This Row],[Unit Price]]</f>
        <v>22</v>
      </c>
      <c r="I1930" s="3">
        <v>3</v>
      </c>
      <c r="J1930" s="3">
        <f>grocery_chain_data[[#This Row],[Total Amount]]-grocery_chain_data[[#This Row],[Discount Amount]]</f>
        <v>19</v>
      </c>
      <c r="K1930">
        <v>78</v>
      </c>
      <c r="L1930" t="str">
        <f>IF(grocery_chain_data[[#This Row],[Final Amount]]&lt;0,"Return","Sale")</f>
        <v>Sale</v>
      </c>
      <c r="M1930">
        <f>IF(grocery_chain_data[[#This Row],[Final Amount]]&lt;0,0,grocery_chain_data[[#This Row],[Final Amount]])</f>
        <v>19</v>
      </c>
    </row>
    <row r="1931" spans="1:13" x14ac:dyDescent="0.3">
      <c r="A1931">
        <v>7461</v>
      </c>
      <c r="B1931" t="s">
        <v>8</v>
      </c>
      <c r="C1931" s="1">
        <v>45203</v>
      </c>
      <c r="D1931" s="1" t="str">
        <f t="shared" si="30"/>
        <v>Dairy</v>
      </c>
      <c r="E1931" t="s">
        <v>19</v>
      </c>
      <c r="F1931" s="2">
        <v>4</v>
      </c>
      <c r="G1931" s="3">
        <v>14</v>
      </c>
      <c r="H1931" s="3">
        <f>grocery_chain_data[[#This Row],[Quantity]]*grocery_chain_data[[#This Row],[Unit Price]]</f>
        <v>56</v>
      </c>
      <c r="I1931" s="3">
        <v>11</v>
      </c>
      <c r="J1931" s="3">
        <f>grocery_chain_data[[#This Row],[Total Amount]]-grocery_chain_data[[#This Row],[Discount Amount]]</f>
        <v>45</v>
      </c>
      <c r="K1931">
        <v>238</v>
      </c>
      <c r="L1931" t="str">
        <f>IF(grocery_chain_data[[#This Row],[Final Amount]]&lt;0,"Return","Sale")</f>
        <v>Sale</v>
      </c>
      <c r="M1931">
        <f>IF(grocery_chain_data[[#This Row],[Final Amount]]&lt;0,0,grocery_chain_data[[#This Row],[Final Amount]])</f>
        <v>45</v>
      </c>
    </row>
    <row r="1932" spans="1:13" x14ac:dyDescent="0.3">
      <c r="A1932">
        <v>2020</v>
      </c>
      <c r="B1932" t="s">
        <v>13</v>
      </c>
      <c r="C1932" s="1">
        <v>45482</v>
      </c>
      <c r="D1932" s="1" t="str">
        <f t="shared" si="30"/>
        <v>Dairy</v>
      </c>
      <c r="E1932" t="s">
        <v>19</v>
      </c>
      <c r="F1932" s="2">
        <v>1</v>
      </c>
      <c r="G1932" s="3">
        <v>29</v>
      </c>
      <c r="H1932" s="3">
        <f>grocery_chain_data[[#This Row],[Quantity]]*grocery_chain_data[[#This Row],[Unit Price]]</f>
        <v>29</v>
      </c>
      <c r="I1932" s="3">
        <v>0</v>
      </c>
      <c r="J1932" s="3">
        <f>grocery_chain_data[[#This Row],[Total Amount]]-grocery_chain_data[[#This Row],[Discount Amount]]</f>
        <v>29</v>
      </c>
      <c r="K1932">
        <v>448</v>
      </c>
      <c r="L1932" t="str">
        <f>IF(grocery_chain_data[[#This Row],[Final Amount]]&lt;0,"Return","Sale")</f>
        <v>Sale</v>
      </c>
      <c r="M1932">
        <f>IF(grocery_chain_data[[#This Row],[Final Amount]]&lt;0,0,grocery_chain_data[[#This Row],[Final Amount]])</f>
        <v>29</v>
      </c>
    </row>
    <row r="1933" spans="1:13" x14ac:dyDescent="0.3">
      <c r="A1933">
        <v>3141</v>
      </c>
      <c r="B1933" t="s">
        <v>12</v>
      </c>
      <c r="C1933" s="1">
        <v>45328</v>
      </c>
      <c r="D1933" s="1" t="str">
        <f t="shared" si="30"/>
        <v>Dairy</v>
      </c>
      <c r="E1933" t="s">
        <v>23</v>
      </c>
      <c r="F1933" s="2">
        <v>3</v>
      </c>
      <c r="G1933" s="3">
        <v>2</v>
      </c>
      <c r="H1933" s="3">
        <f>grocery_chain_data[[#This Row],[Quantity]]*grocery_chain_data[[#This Row],[Unit Price]]</f>
        <v>6</v>
      </c>
      <c r="I1933" s="3">
        <v>1</v>
      </c>
      <c r="J1933" s="3">
        <f>grocery_chain_data[[#This Row],[Total Amount]]-grocery_chain_data[[#This Row],[Discount Amount]]</f>
        <v>5</v>
      </c>
      <c r="K1933">
        <v>139</v>
      </c>
      <c r="L1933" t="str">
        <f>IF(grocery_chain_data[[#This Row],[Final Amount]]&lt;0,"Return","Sale")</f>
        <v>Sale</v>
      </c>
      <c r="M1933">
        <f>IF(grocery_chain_data[[#This Row],[Final Amount]]&lt;0,0,grocery_chain_data[[#This Row],[Final Amount]])</f>
        <v>5</v>
      </c>
    </row>
    <row r="1934" spans="1:13" x14ac:dyDescent="0.3">
      <c r="A1934">
        <v>5778</v>
      </c>
      <c r="B1934" t="s">
        <v>10</v>
      </c>
      <c r="C1934" s="1">
        <v>45347</v>
      </c>
      <c r="D1934" s="1" t="str">
        <f t="shared" si="30"/>
        <v>Dairy</v>
      </c>
      <c r="E1934" t="s">
        <v>19</v>
      </c>
      <c r="F1934" s="2">
        <v>5</v>
      </c>
      <c r="G1934" s="3">
        <v>25</v>
      </c>
      <c r="H1934" s="3">
        <f>grocery_chain_data[[#This Row],[Quantity]]*grocery_chain_data[[#This Row],[Unit Price]]</f>
        <v>125</v>
      </c>
      <c r="I1934" s="3">
        <v>25</v>
      </c>
      <c r="J1934" s="3">
        <f>grocery_chain_data[[#This Row],[Total Amount]]-grocery_chain_data[[#This Row],[Discount Amount]]</f>
        <v>100</v>
      </c>
      <c r="K1934">
        <v>222</v>
      </c>
      <c r="L1934" t="str">
        <f>IF(grocery_chain_data[[#This Row],[Final Amount]]&lt;0,"Return","Sale")</f>
        <v>Sale</v>
      </c>
      <c r="M1934">
        <f>IF(grocery_chain_data[[#This Row],[Final Amount]]&lt;0,0,grocery_chain_data[[#This Row],[Final Amount]])</f>
        <v>100</v>
      </c>
    </row>
    <row r="1935" spans="1:13" x14ac:dyDescent="0.3">
      <c r="A1935">
        <v>6161</v>
      </c>
      <c r="B1935" t="s">
        <v>13</v>
      </c>
      <c r="C1935" s="1">
        <v>45864</v>
      </c>
      <c r="D1935" s="1" t="str">
        <f t="shared" si="30"/>
        <v>Beverages</v>
      </c>
      <c r="E1935" t="s">
        <v>7</v>
      </c>
      <c r="F1935" s="2">
        <v>1</v>
      </c>
      <c r="G1935" s="3">
        <v>18</v>
      </c>
      <c r="H1935" s="3">
        <f>grocery_chain_data[[#This Row],[Quantity]]*grocery_chain_data[[#This Row],[Unit Price]]</f>
        <v>18</v>
      </c>
      <c r="I1935" s="3">
        <v>2</v>
      </c>
      <c r="J1935" s="3">
        <f>grocery_chain_data[[#This Row],[Total Amount]]-grocery_chain_data[[#This Row],[Discount Amount]]</f>
        <v>16</v>
      </c>
      <c r="K1935">
        <v>233</v>
      </c>
      <c r="L1935" t="str">
        <f>IF(grocery_chain_data[[#This Row],[Final Amount]]&lt;0,"Return","Sale")</f>
        <v>Sale</v>
      </c>
      <c r="M1935">
        <f>IF(grocery_chain_data[[#This Row],[Final Amount]]&lt;0,0,grocery_chain_data[[#This Row],[Final Amount]])</f>
        <v>16</v>
      </c>
    </row>
    <row r="1936" spans="1:13" x14ac:dyDescent="0.3">
      <c r="A1936">
        <v>7438</v>
      </c>
      <c r="B1936" t="s">
        <v>16</v>
      </c>
      <c r="C1936" s="1">
        <v>45689</v>
      </c>
      <c r="D1936" s="1" t="str">
        <f t="shared" si="30"/>
        <v>Produce</v>
      </c>
      <c r="E1936" t="s">
        <v>4</v>
      </c>
      <c r="F1936" s="2">
        <v>2</v>
      </c>
      <c r="G1936" s="3">
        <v>10</v>
      </c>
      <c r="H1936" s="3">
        <f>grocery_chain_data[[#This Row],[Quantity]]*grocery_chain_data[[#This Row],[Unit Price]]</f>
        <v>20</v>
      </c>
      <c r="I1936" s="3">
        <v>2</v>
      </c>
      <c r="J1936" s="3">
        <f>grocery_chain_data[[#This Row],[Total Amount]]-grocery_chain_data[[#This Row],[Discount Amount]]</f>
        <v>18</v>
      </c>
      <c r="K1936">
        <v>327</v>
      </c>
      <c r="L1936" t="str">
        <f>IF(grocery_chain_data[[#This Row],[Final Amount]]&lt;0,"Return","Sale")</f>
        <v>Sale</v>
      </c>
      <c r="M1936">
        <f>IF(grocery_chain_data[[#This Row],[Final Amount]]&lt;0,0,grocery_chain_data[[#This Row],[Final Amount]])</f>
        <v>18</v>
      </c>
    </row>
    <row r="1937" spans="1:13" x14ac:dyDescent="0.3">
      <c r="A1937">
        <v>6345</v>
      </c>
      <c r="B1937" t="s">
        <v>5</v>
      </c>
      <c r="C1937" s="1">
        <v>45392</v>
      </c>
      <c r="D1937" s="1" t="str">
        <f t="shared" si="30"/>
        <v>Produce</v>
      </c>
      <c r="E1937" t="s">
        <v>14</v>
      </c>
      <c r="F1937" s="2">
        <v>3</v>
      </c>
      <c r="G1937" s="3">
        <v>15</v>
      </c>
      <c r="H1937" s="3">
        <f>grocery_chain_data[[#This Row],[Quantity]]*grocery_chain_data[[#This Row],[Unit Price]]</f>
        <v>45</v>
      </c>
      <c r="I1937" s="3">
        <v>9</v>
      </c>
      <c r="J1937" s="3">
        <f>grocery_chain_data[[#This Row],[Total Amount]]-grocery_chain_data[[#This Row],[Discount Amount]]</f>
        <v>36</v>
      </c>
      <c r="K1937">
        <v>177</v>
      </c>
      <c r="L1937" t="str">
        <f>IF(grocery_chain_data[[#This Row],[Final Amount]]&lt;0,"Return","Sale")</f>
        <v>Sale</v>
      </c>
      <c r="M1937">
        <f>IF(grocery_chain_data[[#This Row],[Final Amount]]&lt;0,0,grocery_chain_data[[#This Row],[Final Amount]])</f>
        <v>36</v>
      </c>
    </row>
    <row r="1938" spans="1:13" x14ac:dyDescent="0.3">
      <c r="A1938">
        <v>8417</v>
      </c>
      <c r="B1938" t="s">
        <v>10</v>
      </c>
      <c r="C1938" s="1">
        <v>45356</v>
      </c>
      <c r="D1938" s="1" t="str">
        <f t="shared" si="30"/>
        <v>Produce</v>
      </c>
      <c r="E1938" t="s">
        <v>4</v>
      </c>
      <c r="F1938" s="2">
        <v>4</v>
      </c>
      <c r="G1938" s="3">
        <v>11</v>
      </c>
      <c r="H1938" s="3">
        <f>grocery_chain_data[[#This Row],[Quantity]]*grocery_chain_data[[#This Row],[Unit Price]]</f>
        <v>44</v>
      </c>
      <c r="I1938" s="3">
        <v>2</v>
      </c>
      <c r="J1938" s="3">
        <f>grocery_chain_data[[#This Row],[Total Amount]]-grocery_chain_data[[#This Row],[Discount Amount]]</f>
        <v>42</v>
      </c>
      <c r="K1938">
        <v>221</v>
      </c>
      <c r="L1938" t="str">
        <f>IF(grocery_chain_data[[#This Row],[Final Amount]]&lt;0,"Return","Sale")</f>
        <v>Sale</v>
      </c>
      <c r="M1938">
        <f>IF(grocery_chain_data[[#This Row],[Final Amount]]&lt;0,0,grocery_chain_data[[#This Row],[Final Amount]])</f>
        <v>42</v>
      </c>
    </row>
    <row r="1939" spans="1:13" x14ac:dyDescent="0.3">
      <c r="A1939">
        <v>4827</v>
      </c>
      <c r="B1939" t="s">
        <v>5</v>
      </c>
      <c r="C1939" s="1">
        <v>45203</v>
      </c>
      <c r="D1939" s="1" t="str">
        <f t="shared" si="30"/>
        <v>Beverages</v>
      </c>
      <c r="E1939" t="s">
        <v>7</v>
      </c>
      <c r="F1939" s="2">
        <v>4</v>
      </c>
      <c r="G1939" s="3">
        <v>14</v>
      </c>
      <c r="H1939" s="3">
        <f>grocery_chain_data[[#This Row],[Quantity]]*grocery_chain_data[[#This Row],[Unit Price]]</f>
        <v>56</v>
      </c>
      <c r="I1939" s="3">
        <v>2</v>
      </c>
      <c r="J1939" s="3">
        <f>grocery_chain_data[[#This Row],[Total Amount]]-grocery_chain_data[[#This Row],[Discount Amount]]</f>
        <v>54</v>
      </c>
      <c r="K1939">
        <v>276</v>
      </c>
      <c r="L1939" t="str">
        <f>IF(grocery_chain_data[[#This Row],[Final Amount]]&lt;0,"Return","Sale")</f>
        <v>Sale</v>
      </c>
      <c r="M1939">
        <f>IF(grocery_chain_data[[#This Row],[Final Amount]]&lt;0,0,grocery_chain_data[[#This Row],[Final Amount]])</f>
        <v>54</v>
      </c>
    </row>
    <row r="1940" spans="1:13" x14ac:dyDescent="0.3">
      <c r="A1940">
        <v>4321</v>
      </c>
      <c r="B1940" t="s">
        <v>5</v>
      </c>
      <c r="C1940" s="1">
        <v>45250</v>
      </c>
      <c r="D1940" s="1" t="str">
        <f t="shared" si="30"/>
        <v>Pantry</v>
      </c>
      <c r="E1940" t="s">
        <v>6</v>
      </c>
      <c r="F1940" s="2">
        <v>5</v>
      </c>
      <c r="G1940" s="3">
        <v>19</v>
      </c>
      <c r="H1940" s="3">
        <f>grocery_chain_data[[#This Row],[Quantity]]*grocery_chain_data[[#This Row],[Unit Price]]</f>
        <v>95</v>
      </c>
      <c r="I1940" s="3">
        <v>2</v>
      </c>
      <c r="J1940" s="3">
        <f>grocery_chain_data[[#This Row],[Total Amount]]-grocery_chain_data[[#This Row],[Discount Amount]]</f>
        <v>93</v>
      </c>
      <c r="K1940">
        <v>381</v>
      </c>
      <c r="L1940" t="str">
        <f>IF(grocery_chain_data[[#This Row],[Final Amount]]&lt;0,"Return","Sale")</f>
        <v>Sale</v>
      </c>
      <c r="M1940">
        <f>IF(grocery_chain_data[[#This Row],[Final Amount]]&lt;0,0,grocery_chain_data[[#This Row],[Final Amount]])</f>
        <v>93</v>
      </c>
    </row>
    <row r="1941" spans="1:13" x14ac:dyDescent="0.3">
      <c r="A1941">
        <v>2785</v>
      </c>
      <c r="B1941" t="s">
        <v>21</v>
      </c>
      <c r="C1941" s="1">
        <v>45265</v>
      </c>
      <c r="D1941" s="1" t="str">
        <f t="shared" si="30"/>
        <v>Bakery</v>
      </c>
      <c r="E1941" t="s">
        <v>22</v>
      </c>
      <c r="F1941" s="2">
        <v>4</v>
      </c>
      <c r="G1941" s="3">
        <v>27</v>
      </c>
      <c r="H1941" s="3">
        <f>grocery_chain_data[[#This Row],[Quantity]]*grocery_chain_data[[#This Row],[Unit Price]]</f>
        <v>108</v>
      </c>
      <c r="I1941" s="3">
        <v>1</v>
      </c>
      <c r="J1941" s="3">
        <f>grocery_chain_data[[#This Row],[Total Amount]]-grocery_chain_data[[#This Row],[Discount Amount]]</f>
        <v>107</v>
      </c>
      <c r="K1941">
        <v>256</v>
      </c>
      <c r="L1941" t="str">
        <f>IF(grocery_chain_data[[#This Row],[Final Amount]]&lt;0,"Return","Sale")</f>
        <v>Sale</v>
      </c>
      <c r="M1941">
        <f>IF(grocery_chain_data[[#This Row],[Final Amount]]&lt;0,0,grocery_chain_data[[#This Row],[Final Amount]])</f>
        <v>107</v>
      </c>
    </row>
    <row r="1942" spans="1:13" x14ac:dyDescent="0.3">
      <c r="A1942">
        <v>2731</v>
      </c>
      <c r="B1942" t="s">
        <v>13</v>
      </c>
      <c r="C1942" s="1">
        <v>45272</v>
      </c>
      <c r="D1942" s="1" t="str">
        <f t="shared" si="30"/>
        <v>Produce</v>
      </c>
      <c r="E1942" t="s">
        <v>4</v>
      </c>
      <c r="F1942" s="2">
        <v>2</v>
      </c>
      <c r="G1942" s="3">
        <v>22</v>
      </c>
      <c r="H1942" s="3">
        <f>grocery_chain_data[[#This Row],[Quantity]]*grocery_chain_data[[#This Row],[Unit Price]]</f>
        <v>44</v>
      </c>
      <c r="I1942" s="3">
        <v>4</v>
      </c>
      <c r="J1942" s="3">
        <f>grocery_chain_data[[#This Row],[Total Amount]]-grocery_chain_data[[#This Row],[Discount Amount]]</f>
        <v>40</v>
      </c>
      <c r="K1942">
        <v>350</v>
      </c>
      <c r="L1942" t="str">
        <f>IF(grocery_chain_data[[#This Row],[Final Amount]]&lt;0,"Return","Sale")</f>
        <v>Sale</v>
      </c>
      <c r="M1942">
        <f>IF(grocery_chain_data[[#This Row],[Final Amount]]&lt;0,0,grocery_chain_data[[#This Row],[Final Amount]])</f>
        <v>40</v>
      </c>
    </row>
    <row r="1943" spans="1:13" x14ac:dyDescent="0.3">
      <c r="A1943">
        <v>8365</v>
      </c>
      <c r="B1943" t="s">
        <v>0</v>
      </c>
      <c r="C1943" s="1">
        <v>45506</v>
      </c>
      <c r="D1943" s="1" t="str">
        <f t="shared" si="30"/>
        <v>Beverages</v>
      </c>
      <c r="E1943" t="s">
        <v>7</v>
      </c>
      <c r="F1943" s="2">
        <v>5</v>
      </c>
      <c r="G1943" s="3">
        <v>28</v>
      </c>
      <c r="H1943" s="3">
        <f>grocery_chain_data[[#This Row],[Quantity]]*grocery_chain_data[[#This Row],[Unit Price]]</f>
        <v>140</v>
      </c>
      <c r="I1943" s="3">
        <v>28</v>
      </c>
      <c r="J1943" s="3">
        <f>grocery_chain_data[[#This Row],[Total Amount]]-grocery_chain_data[[#This Row],[Discount Amount]]</f>
        <v>112</v>
      </c>
      <c r="K1943">
        <v>267</v>
      </c>
      <c r="L1943" t="str">
        <f>IF(grocery_chain_data[[#This Row],[Final Amount]]&lt;0,"Return","Sale")</f>
        <v>Sale</v>
      </c>
      <c r="M1943">
        <f>IF(grocery_chain_data[[#This Row],[Final Amount]]&lt;0,0,grocery_chain_data[[#This Row],[Final Amount]])</f>
        <v>112</v>
      </c>
    </row>
    <row r="1944" spans="1:13" x14ac:dyDescent="0.3">
      <c r="A1944">
        <v>6145</v>
      </c>
      <c r="B1944" t="s">
        <v>16</v>
      </c>
      <c r="C1944" s="1">
        <v>45460</v>
      </c>
      <c r="D1944" s="1" t="str">
        <f t="shared" si="30"/>
        <v>Meat &amp; Seafood</v>
      </c>
      <c r="E1944" t="s">
        <v>26</v>
      </c>
      <c r="F1944" s="2">
        <v>2</v>
      </c>
      <c r="G1944" s="3">
        <v>20</v>
      </c>
      <c r="H1944" s="3">
        <f>grocery_chain_data[[#This Row],[Quantity]]*grocery_chain_data[[#This Row],[Unit Price]]</f>
        <v>40</v>
      </c>
      <c r="I1944" s="3">
        <v>0</v>
      </c>
      <c r="J1944" s="3">
        <f>grocery_chain_data[[#This Row],[Total Amount]]-grocery_chain_data[[#This Row],[Discount Amount]]</f>
        <v>40</v>
      </c>
      <c r="K1944">
        <v>232</v>
      </c>
      <c r="L1944" t="str">
        <f>IF(grocery_chain_data[[#This Row],[Final Amount]]&lt;0,"Return","Sale")</f>
        <v>Sale</v>
      </c>
      <c r="M1944">
        <f>IF(grocery_chain_data[[#This Row],[Final Amount]]&lt;0,0,grocery_chain_data[[#This Row],[Final Amount]])</f>
        <v>40</v>
      </c>
    </row>
    <row r="1945" spans="1:13" x14ac:dyDescent="0.3">
      <c r="A1945">
        <v>2978</v>
      </c>
      <c r="B1945" t="s">
        <v>21</v>
      </c>
      <c r="C1945" s="1">
        <v>45561</v>
      </c>
      <c r="D1945" s="1" t="str">
        <f t="shared" si="30"/>
        <v>Produce</v>
      </c>
      <c r="E1945" t="s">
        <v>24</v>
      </c>
      <c r="F1945" s="2">
        <v>1</v>
      </c>
      <c r="G1945" s="3">
        <v>15</v>
      </c>
      <c r="H1945" s="3">
        <f>grocery_chain_data[[#This Row],[Quantity]]*grocery_chain_data[[#This Row],[Unit Price]]</f>
        <v>15</v>
      </c>
      <c r="I1945" s="3">
        <v>0</v>
      </c>
      <c r="J1945" s="3">
        <f>grocery_chain_data[[#This Row],[Total Amount]]-grocery_chain_data[[#This Row],[Discount Amount]]</f>
        <v>15</v>
      </c>
      <c r="K1945">
        <v>468</v>
      </c>
      <c r="L1945" t="str">
        <f>IF(grocery_chain_data[[#This Row],[Final Amount]]&lt;0,"Return","Sale")</f>
        <v>Sale</v>
      </c>
      <c r="M1945">
        <f>IF(grocery_chain_data[[#This Row],[Final Amount]]&lt;0,0,grocery_chain_data[[#This Row],[Final Amount]])</f>
        <v>15</v>
      </c>
    </row>
    <row r="1946" spans="1:13" x14ac:dyDescent="0.3">
      <c r="A1946">
        <v>6870</v>
      </c>
      <c r="B1946" t="s">
        <v>12</v>
      </c>
      <c r="C1946" s="1">
        <v>45743</v>
      </c>
      <c r="D1946" s="1" t="str">
        <f t="shared" si="30"/>
        <v>Produce</v>
      </c>
      <c r="E1946" t="s">
        <v>14</v>
      </c>
      <c r="F1946" s="2">
        <v>3</v>
      </c>
      <c r="G1946" s="3">
        <v>25</v>
      </c>
      <c r="H1946" s="3">
        <f>grocery_chain_data[[#This Row],[Quantity]]*grocery_chain_data[[#This Row],[Unit Price]]</f>
        <v>75</v>
      </c>
      <c r="I1946" s="3">
        <v>15</v>
      </c>
      <c r="J1946" s="3">
        <f>grocery_chain_data[[#This Row],[Total Amount]]-grocery_chain_data[[#This Row],[Discount Amount]]</f>
        <v>60</v>
      </c>
      <c r="K1946">
        <v>277</v>
      </c>
      <c r="L1946" t="str">
        <f>IF(grocery_chain_data[[#This Row],[Final Amount]]&lt;0,"Return","Sale")</f>
        <v>Sale</v>
      </c>
      <c r="M1946">
        <f>IF(grocery_chain_data[[#This Row],[Final Amount]]&lt;0,0,grocery_chain_data[[#This Row],[Final Amount]])</f>
        <v>60</v>
      </c>
    </row>
    <row r="1947" spans="1:13" x14ac:dyDescent="0.3">
      <c r="A1947">
        <v>4401</v>
      </c>
      <c r="B1947" t="s">
        <v>13</v>
      </c>
      <c r="C1947" s="1">
        <v>45496</v>
      </c>
      <c r="D1947" s="1" t="str">
        <f t="shared" si="30"/>
        <v>Produce</v>
      </c>
      <c r="E1947" t="s">
        <v>18</v>
      </c>
      <c r="F1947" s="2">
        <v>3</v>
      </c>
      <c r="G1947" s="3">
        <v>4</v>
      </c>
      <c r="H1947" s="3">
        <f>grocery_chain_data[[#This Row],[Quantity]]*grocery_chain_data[[#This Row],[Unit Price]]</f>
        <v>12</v>
      </c>
      <c r="I1947" s="3">
        <v>2</v>
      </c>
      <c r="J1947" s="3">
        <f>grocery_chain_data[[#This Row],[Total Amount]]-grocery_chain_data[[#This Row],[Discount Amount]]</f>
        <v>10</v>
      </c>
      <c r="K1947">
        <v>95</v>
      </c>
      <c r="L1947" t="str">
        <f>IF(grocery_chain_data[[#This Row],[Final Amount]]&lt;0,"Return","Sale")</f>
        <v>Sale</v>
      </c>
      <c r="M1947">
        <f>IF(grocery_chain_data[[#This Row],[Final Amount]]&lt;0,0,grocery_chain_data[[#This Row],[Final Amount]])</f>
        <v>10</v>
      </c>
    </row>
    <row r="1948" spans="1:13" x14ac:dyDescent="0.3">
      <c r="A1948">
        <v>6051</v>
      </c>
      <c r="B1948" t="s">
        <v>0</v>
      </c>
      <c r="C1948" s="1">
        <v>45504</v>
      </c>
      <c r="D1948" s="1" t="str">
        <f t="shared" si="30"/>
        <v>Beverages</v>
      </c>
      <c r="E1948" t="s">
        <v>7</v>
      </c>
      <c r="F1948" s="2">
        <v>4</v>
      </c>
      <c r="G1948" s="3">
        <v>1</v>
      </c>
      <c r="H1948" s="3">
        <f>grocery_chain_data[[#This Row],[Quantity]]*grocery_chain_data[[#This Row],[Unit Price]]</f>
        <v>4</v>
      </c>
      <c r="I1948" s="3">
        <v>1</v>
      </c>
      <c r="J1948" s="3">
        <f>grocery_chain_data[[#This Row],[Total Amount]]-grocery_chain_data[[#This Row],[Discount Amount]]</f>
        <v>3</v>
      </c>
      <c r="K1948">
        <v>305</v>
      </c>
      <c r="L1948" t="str">
        <f>IF(grocery_chain_data[[#This Row],[Final Amount]]&lt;0,"Return","Sale")</f>
        <v>Sale</v>
      </c>
      <c r="M1948">
        <f>IF(grocery_chain_data[[#This Row],[Final Amount]]&lt;0,0,grocery_chain_data[[#This Row],[Final Amount]])</f>
        <v>3</v>
      </c>
    </row>
    <row r="1949" spans="1:13" x14ac:dyDescent="0.3">
      <c r="A1949">
        <v>5341</v>
      </c>
      <c r="B1949" t="s">
        <v>8</v>
      </c>
      <c r="C1949" s="1">
        <v>45807</v>
      </c>
      <c r="D1949" s="1" t="str">
        <f t="shared" si="30"/>
        <v>Dairy</v>
      </c>
      <c r="E1949" t="s">
        <v>23</v>
      </c>
      <c r="F1949" s="2">
        <v>3</v>
      </c>
      <c r="G1949" s="3">
        <v>13</v>
      </c>
      <c r="H1949" s="3">
        <f>grocery_chain_data[[#This Row],[Quantity]]*grocery_chain_data[[#This Row],[Unit Price]]</f>
        <v>39</v>
      </c>
      <c r="I1949" s="3">
        <v>0</v>
      </c>
      <c r="J1949" s="3">
        <f>grocery_chain_data[[#This Row],[Total Amount]]-grocery_chain_data[[#This Row],[Discount Amount]]</f>
        <v>39</v>
      </c>
      <c r="K1949">
        <v>301</v>
      </c>
      <c r="L1949" t="str">
        <f>IF(grocery_chain_data[[#This Row],[Final Amount]]&lt;0,"Return","Sale")</f>
        <v>Sale</v>
      </c>
      <c r="M1949">
        <f>IF(grocery_chain_data[[#This Row],[Final Amount]]&lt;0,0,grocery_chain_data[[#This Row],[Final Amount]])</f>
        <v>39</v>
      </c>
    </row>
    <row r="1950" spans="1:13" x14ac:dyDescent="0.3">
      <c r="A1950">
        <v>2964</v>
      </c>
      <c r="B1950" t="s">
        <v>13</v>
      </c>
      <c r="C1950" s="1">
        <v>45215</v>
      </c>
      <c r="D1950" s="1" t="str">
        <f t="shared" si="30"/>
        <v>Produce</v>
      </c>
      <c r="E1950" t="s">
        <v>25</v>
      </c>
      <c r="F1950" s="2">
        <v>1</v>
      </c>
      <c r="G1950" s="3">
        <v>15</v>
      </c>
      <c r="H1950" s="3">
        <f>grocery_chain_data[[#This Row],[Quantity]]*grocery_chain_data[[#This Row],[Unit Price]]</f>
        <v>15</v>
      </c>
      <c r="I1950" s="3">
        <v>2</v>
      </c>
      <c r="J1950" s="3">
        <f>grocery_chain_data[[#This Row],[Total Amount]]-grocery_chain_data[[#This Row],[Discount Amount]]</f>
        <v>13</v>
      </c>
      <c r="K1950">
        <v>179</v>
      </c>
      <c r="L1950" t="str">
        <f>IF(grocery_chain_data[[#This Row],[Final Amount]]&lt;0,"Return","Sale")</f>
        <v>Sale</v>
      </c>
      <c r="M1950">
        <f>IF(grocery_chain_data[[#This Row],[Final Amount]]&lt;0,0,grocery_chain_data[[#This Row],[Final Amount]])</f>
        <v>13</v>
      </c>
    </row>
    <row r="1951" spans="1:13" x14ac:dyDescent="0.3">
      <c r="A1951">
        <v>3582</v>
      </c>
      <c r="B1951" t="s">
        <v>10</v>
      </c>
      <c r="C1951" s="1">
        <v>45772</v>
      </c>
      <c r="D1951" s="1" t="str">
        <f t="shared" si="30"/>
        <v>Produce</v>
      </c>
      <c r="E1951" t="s">
        <v>4</v>
      </c>
      <c r="F1951" s="2">
        <v>1</v>
      </c>
      <c r="G1951" s="3">
        <v>13</v>
      </c>
      <c r="H1951" s="3">
        <f>grocery_chain_data[[#This Row],[Quantity]]*grocery_chain_data[[#This Row],[Unit Price]]</f>
        <v>13</v>
      </c>
      <c r="I1951" s="3">
        <v>0</v>
      </c>
      <c r="J1951" s="3">
        <f>grocery_chain_data[[#This Row],[Total Amount]]-grocery_chain_data[[#This Row],[Discount Amount]]</f>
        <v>13</v>
      </c>
      <c r="K1951">
        <v>300</v>
      </c>
      <c r="L1951" t="str">
        <f>IF(grocery_chain_data[[#This Row],[Final Amount]]&lt;0,"Return","Sale")</f>
        <v>Sale</v>
      </c>
      <c r="M1951">
        <f>IF(grocery_chain_data[[#This Row],[Final Amount]]&lt;0,0,grocery_chain_data[[#This Row],[Final Amount]])</f>
        <v>13</v>
      </c>
    </row>
    <row r="1952" spans="1:13" x14ac:dyDescent="0.3">
      <c r="A1952">
        <v>5984</v>
      </c>
      <c r="B1952" t="s">
        <v>10</v>
      </c>
      <c r="C1952" s="1">
        <v>45786</v>
      </c>
      <c r="D1952" s="1" t="str">
        <f t="shared" si="30"/>
        <v>Produce</v>
      </c>
      <c r="E1952" t="s">
        <v>14</v>
      </c>
      <c r="F1952" s="2">
        <v>1</v>
      </c>
      <c r="G1952" s="3">
        <v>29</v>
      </c>
      <c r="H1952" s="3">
        <f>grocery_chain_data[[#This Row],[Quantity]]*grocery_chain_data[[#This Row],[Unit Price]]</f>
        <v>29</v>
      </c>
      <c r="I1952" s="3">
        <v>3</v>
      </c>
      <c r="J1952" s="3">
        <f>grocery_chain_data[[#This Row],[Total Amount]]-grocery_chain_data[[#This Row],[Discount Amount]]</f>
        <v>26</v>
      </c>
      <c r="K1952">
        <v>388</v>
      </c>
      <c r="L1952" t="str">
        <f>IF(grocery_chain_data[[#This Row],[Final Amount]]&lt;0,"Return","Sale")</f>
        <v>Sale</v>
      </c>
      <c r="M1952">
        <f>IF(grocery_chain_data[[#This Row],[Final Amount]]&lt;0,0,grocery_chain_data[[#This Row],[Final Amount]])</f>
        <v>26</v>
      </c>
    </row>
    <row r="1953" spans="1:13" x14ac:dyDescent="0.3">
      <c r="A1953">
        <v>1660</v>
      </c>
      <c r="B1953" t="s">
        <v>12</v>
      </c>
      <c r="C1953" s="1">
        <v>45312</v>
      </c>
      <c r="D1953" s="1" t="str">
        <f t="shared" si="30"/>
        <v>Bakery</v>
      </c>
      <c r="E1953" t="s">
        <v>22</v>
      </c>
      <c r="F1953" s="2">
        <v>1</v>
      </c>
      <c r="G1953" s="3">
        <v>8</v>
      </c>
      <c r="H1953" s="3">
        <f>grocery_chain_data[[#This Row],[Quantity]]*grocery_chain_data[[#This Row],[Unit Price]]</f>
        <v>8</v>
      </c>
      <c r="I1953" s="3">
        <v>1</v>
      </c>
      <c r="J1953" s="3">
        <f>grocery_chain_data[[#This Row],[Total Amount]]-grocery_chain_data[[#This Row],[Discount Amount]]</f>
        <v>7</v>
      </c>
      <c r="K1953">
        <v>425</v>
      </c>
      <c r="L1953" t="str">
        <f>IF(grocery_chain_data[[#This Row],[Final Amount]]&lt;0,"Return","Sale")</f>
        <v>Sale</v>
      </c>
      <c r="M1953">
        <f>IF(grocery_chain_data[[#This Row],[Final Amount]]&lt;0,0,grocery_chain_data[[#This Row],[Final Amount]])</f>
        <v>7</v>
      </c>
    </row>
    <row r="1954" spans="1:13" x14ac:dyDescent="0.3">
      <c r="A1954">
        <v>6370</v>
      </c>
      <c r="B1954" t="s">
        <v>8</v>
      </c>
      <c r="C1954" s="1">
        <v>45260</v>
      </c>
      <c r="D1954" s="1" t="str">
        <f t="shared" si="30"/>
        <v>Meat &amp; Seafood</v>
      </c>
      <c r="E1954" t="s">
        <v>9</v>
      </c>
      <c r="F1954" s="2">
        <v>5</v>
      </c>
      <c r="G1954" s="3">
        <v>30</v>
      </c>
      <c r="H1954" s="3">
        <f>grocery_chain_data[[#This Row],[Quantity]]*grocery_chain_data[[#This Row],[Unit Price]]</f>
        <v>150</v>
      </c>
      <c r="I1954" s="3">
        <v>22</v>
      </c>
      <c r="J1954" s="3">
        <f>grocery_chain_data[[#This Row],[Total Amount]]-grocery_chain_data[[#This Row],[Discount Amount]]</f>
        <v>128</v>
      </c>
      <c r="K1954">
        <v>17</v>
      </c>
      <c r="L1954" t="str">
        <f>IF(grocery_chain_data[[#This Row],[Final Amount]]&lt;0,"Return","Sale")</f>
        <v>Sale</v>
      </c>
      <c r="M1954">
        <f>IF(grocery_chain_data[[#This Row],[Final Amount]]&lt;0,0,grocery_chain_data[[#This Row],[Final Amount]])</f>
        <v>128</v>
      </c>
    </row>
    <row r="1955" spans="1:13" x14ac:dyDescent="0.3">
      <c r="A1955">
        <v>2494</v>
      </c>
      <c r="B1955" t="s">
        <v>2</v>
      </c>
      <c r="C1955" s="1">
        <v>45697</v>
      </c>
      <c r="D1955" s="1" t="str">
        <f t="shared" si="30"/>
        <v>Dairy</v>
      </c>
      <c r="E1955" t="s">
        <v>23</v>
      </c>
      <c r="F1955" s="2">
        <v>5</v>
      </c>
      <c r="G1955" s="3">
        <v>13</v>
      </c>
      <c r="H1955" s="3">
        <f>grocery_chain_data[[#This Row],[Quantity]]*grocery_chain_data[[#This Row],[Unit Price]]</f>
        <v>65</v>
      </c>
      <c r="I1955" s="3">
        <v>4</v>
      </c>
      <c r="J1955" s="3">
        <f>grocery_chain_data[[#This Row],[Total Amount]]-grocery_chain_data[[#This Row],[Discount Amount]]</f>
        <v>61</v>
      </c>
      <c r="K1955">
        <v>5</v>
      </c>
      <c r="L1955" t="str">
        <f>IF(grocery_chain_data[[#This Row],[Final Amount]]&lt;0,"Return","Sale")</f>
        <v>Sale</v>
      </c>
      <c r="M1955">
        <f>IF(grocery_chain_data[[#This Row],[Final Amount]]&lt;0,0,grocery_chain_data[[#This Row],[Final Amount]])</f>
        <v>61</v>
      </c>
    </row>
    <row r="1956" spans="1:13" x14ac:dyDescent="0.3">
      <c r="A1956">
        <v>5066</v>
      </c>
      <c r="B1956" t="s">
        <v>13</v>
      </c>
      <c r="C1956" s="1">
        <v>45421</v>
      </c>
      <c r="D1956" s="1" t="str">
        <f t="shared" si="30"/>
        <v>Meat &amp; Seafood</v>
      </c>
      <c r="E1956" t="s">
        <v>15</v>
      </c>
      <c r="F1956" s="2">
        <v>1</v>
      </c>
      <c r="G1956" s="3">
        <v>16</v>
      </c>
      <c r="H1956" s="3">
        <f>grocery_chain_data[[#This Row],[Quantity]]*grocery_chain_data[[#This Row],[Unit Price]]</f>
        <v>16</v>
      </c>
      <c r="I1956" s="3">
        <v>0</v>
      </c>
      <c r="J1956" s="3">
        <f>grocery_chain_data[[#This Row],[Total Amount]]-grocery_chain_data[[#This Row],[Discount Amount]]</f>
        <v>16</v>
      </c>
      <c r="K1956">
        <v>237</v>
      </c>
      <c r="L1956" t="str">
        <f>IF(grocery_chain_data[[#This Row],[Final Amount]]&lt;0,"Return","Sale")</f>
        <v>Sale</v>
      </c>
      <c r="M1956">
        <f>IF(grocery_chain_data[[#This Row],[Final Amount]]&lt;0,0,grocery_chain_data[[#This Row],[Final Amount]])</f>
        <v>16</v>
      </c>
    </row>
    <row r="1957" spans="1:13" x14ac:dyDescent="0.3">
      <c r="A1957">
        <v>7492</v>
      </c>
      <c r="B1957" t="s">
        <v>8</v>
      </c>
      <c r="C1957" s="1">
        <v>45543</v>
      </c>
      <c r="D1957" s="1" t="str">
        <f t="shared" si="30"/>
        <v>Dairy</v>
      </c>
      <c r="E1957" t="s">
        <v>19</v>
      </c>
      <c r="F1957" s="2">
        <v>3</v>
      </c>
      <c r="G1957" s="3">
        <v>18</v>
      </c>
      <c r="H1957" s="3">
        <f>grocery_chain_data[[#This Row],[Quantity]]*grocery_chain_data[[#This Row],[Unit Price]]</f>
        <v>54</v>
      </c>
      <c r="I1957" s="3">
        <v>11</v>
      </c>
      <c r="J1957" s="3">
        <f>grocery_chain_data[[#This Row],[Total Amount]]-grocery_chain_data[[#This Row],[Discount Amount]]</f>
        <v>43</v>
      </c>
      <c r="K1957">
        <v>357</v>
      </c>
      <c r="L1957" t="str">
        <f>IF(grocery_chain_data[[#This Row],[Final Amount]]&lt;0,"Return","Sale")</f>
        <v>Sale</v>
      </c>
      <c r="M1957">
        <f>IF(grocery_chain_data[[#This Row],[Final Amount]]&lt;0,0,grocery_chain_data[[#This Row],[Final Amount]])</f>
        <v>43</v>
      </c>
    </row>
    <row r="1958" spans="1:13" x14ac:dyDescent="0.3">
      <c r="A1958">
        <v>1802</v>
      </c>
      <c r="B1958" t="s">
        <v>10</v>
      </c>
      <c r="C1958" s="1">
        <v>45670</v>
      </c>
      <c r="D1958" s="1" t="str">
        <f t="shared" si="30"/>
        <v>Produce</v>
      </c>
      <c r="E1958" t="s">
        <v>11</v>
      </c>
      <c r="F1958" s="2">
        <v>1</v>
      </c>
      <c r="G1958" s="3">
        <v>9</v>
      </c>
      <c r="H1958" s="3">
        <f>grocery_chain_data[[#This Row],[Quantity]]*grocery_chain_data[[#This Row],[Unit Price]]</f>
        <v>9</v>
      </c>
      <c r="I1958" s="3">
        <v>4</v>
      </c>
      <c r="J1958" s="3">
        <f>grocery_chain_data[[#This Row],[Total Amount]]-grocery_chain_data[[#This Row],[Discount Amount]]</f>
        <v>5</v>
      </c>
      <c r="K1958">
        <v>169</v>
      </c>
      <c r="L1958" t="str">
        <f>IF(grocery_chain_data[[#This Row],[Final Amount]]&lt;0,"Return","Sale")</f>
        <v>Sale</v>
      </c>
      <c r="M1958">
        <f>IF(grocery_chain_data[[#This Row],[Final Amount]]&lt;0,0,grocery_chain_data[[#This Row],[Final Amount]])</f>
        <v>5</v>
      </c>
    </row>
    <row r="1959" spans="1:13" x14ac:dyDescent="0.3">
      <c r="A1959">
        <v>5896</v>
      </c>
      <c r="B1959" t="s">
        <v>0</v>
      </c>
      <c r="C1959" s="1">
        <v>45347</v>
      </c>
      <c r="D1959" s="1" t="str">
        <f t="shared" si="30"/>
        <v>Produce</v>
      </c>
      <c r="E1959" t="s">
        <v>25</v>
      </c>
      <c r="F1959" s="2">
        <v>4</v>
      </c>
      <c r="G1959" s="3">
        <v>8</v>
      </c>
      <c r="H1959" s="3">
        <f>grocery_chain_data[[#This Row],[Quantity]]*grocery_chain_data[[#This Row],[Unit Price]]</f>
        <v>32</v>
      </c>
      <c r="I1959" s="3">
        <v>3</v>
      </c>
      <c r="J1959" s="3">
        <f>grocery_chain_data[[#This Row],[Total Amount]]-grocery_chain_data[[#This Row],[Discount Amount]]</f>
        <v>29</v>
      </c>
      <c r="K1959">
        <v>198</v>
      </c>
      <c r="L1959" t="str">
        <f>IF(grocery_chain_data[[#This Row],[Final Amount]]&lt;0,"Return","Sale")</f>
        <v>Sale</v>
      </c>
      <c r="M1959">
        <f>IF(grocery_chain_data[[#This Row],[Final Amount]]&lt;0,0,grocery_chain_data[[#This Row],[Final Amount]])</f>
        <v>29</v>
      </c>
    </row>
    <row r="1960" spans="1:13" x14ac:dyDescent="0.3">
      <c r="A1960">
        <v>3848</v>
      </c>
      <c r="B1960" t="s">
        <v>13</v>
      </c>
      <c r="C1960" s="1">
        <v>45169</v>
      </c>
      <c r="D1960" s="1" t="str">
        <f t="shared" si="30"/>
        <v>Produce</v>
      </c>
      <c r="E1960" t="s">
        <v>11</v>
      </c>
      <c r="F1960" s="2">
        <v>2</v>
      </c>
      <c r="G1960" s="3">
        <v>11</v>
      </c>
      <c r="H1960" s="3">
        <f>grocery_chain_data[[#This Row],[Quantity]]*grocery_chain_data[[#This Row],[Unit Price]]</f>
        <v>22</v>
      </c>
      <c r="I1960" s="3">
        <v>4</v>
      </c>
      <c r="J1960" s="3">
        <f>grocery_chain_data[[#This Row],[Total Amount]]-grocery_chain_data[[#This Row],[Discount Amount]]</f>
        <v>18</v>
      </c>
      <c r="K1960">
        <v>349</v>
      </c>
      <c r="L1960" t="str">
        <f>IF(grocery_chain_data[[#This Row],[Final Amount]]&lt;0,"Return","Sale")</f>
        <v>Sale</v>
      </c>
      <c r="M1960">
        <f>IF(grocery_chain_data[[#This Row],[Final Amount]]&lt;0,0,grocery_chain_data[[#This Row],[Final Amount]])</f>
        <v>18</v>
      </c>
    </row>
    <row r="1961" spans="1:13" x14ac:dyDescent="0.3">
      <c r="A1961">
        <v>7625</v>
      </c>
      <c r="B1961" t="s">
        <v>10</v>
      </c>
      <c r="C1961" s="1">
        <v>45808</v>
      </c>
      <c r="D1961" s="1" t="str">
        <f t="shared" si="30"/>
        <v>Meat &amp; Seafood</v>
      </c>
      <c r="E1961" t="s">
        <v>26</v>
      </c>
      <c r="F1961" s="2">
        <v>2</v>
      </c>
      <c r="G1961" s="3">
        <v>5</v>
      </c>
      <c r="H1961" s="3">
        <f>grocery_chain_data[[#This Row],[Quantity]]*grocery_chain_data[[#This Row],[Unit Price]]</f>
        <v>10</v>
      </c>
      <c r="I1961" s="3">
        <v>1</v>
      </c>
      <c r="J1961" s="3">
        <f>grocery_chain_data[[#This Row],[Total Amount]]-grocery_chain_data[[#This Row],[Discount Amount]]</f>
        <v>9</v>
      </c>
      <c r="K1961">
        <v>379</v>
      </c>
      <c r="L1961" t="str">
        <f>IF(grocery_chain_data[[#This Row],[Final Amount]]&lt;0,"Return","Sale")</f>
        <v>Sale</v>
      </c>
      <c r="M1961">
        <f>IF(grocery_chain_data[[#This Row],[Final Amount]]&lt;0,0,grocery_chain_data[[#This Row],[Final Amount]])</f>
        <v>9</v>
      </c>
    </row>
    <row r="1962" spans="1:13" x14ac:dyDescent="0.3">
      <c r="A1962">
        <v>8408</v>
      </c>
      <c r="B1962" t="s">
        <v>10</v>
      </c>
      <c r="C1962" s="1">
        <v>45576</v>
      </c>
      <c r="D1962" s="1" t="str">
        <f t="shared" si="30"/>
        <v>Dairy</v>
      </c>
      <c r="E1962" t="s">
        <v>3</v>
      </c>
      <c r="F1962" s="2">
        <v>1</v>
      </c>
      <c r="G1962" s="3">
        <v>22</v>
      </c>
      <c r="H1962" s="3">
        <f>grocery_chain_data[[#This Row],[Quantity]]*grocery_chain_data[[#This Row],[Unit Price]]</f>
        <v>22</v>
      </c>
      <c r="I1962" s="3">
        <v>0</v>
      </c>
      <c r="J1962" s="3">
        <f>grocery_chain_data[[#This Row],[Total Amount]]-grocery_chain_data[[#This Row],[Discount Amount]]</f>
        <v>22</v>
      </c>
      <c r="K1962">
        <v>459</v>
      </c>
      <c r="L1962" t="str">
        <f>IF(grocery_chain_data[[#This Row],[Final Amount]]&lt;0,"Return","Sale")</f>
        <v>Sale</v>
      </c>
      <c r="M1962">
        <f>IF(grocery_chain_data[[#This Row],[Final Amount]]&lt;0,0,grocery_chain_data[[#This Row],[Final Amount]])</f>
        <v>22</v>
      </c>
    </row>
    <row r="1963" spans="1:13" x14ac:dyDescent="0.3">
      <c r="A1963">
        <v>5093</v>
      </c>
      <c r="B1963" t="s">
        <v>2</v>
      </c>
      <c r="C1963" s="1">
        <v>45218</v>
      </c>
      <c r="D1963" s="1" t="str">
        <f t="shared" si="30"/>
        <v>Dairy</v>
      </c>
      <c r="E1963" t="s">
        <v>3</v>
      </c>
      <c r="F1963" s="2">
        <v>4</v>
      </c>
      <c r="G1963" s="3">
        <v>2</v>
      </c>
      <c r="H1963" s="3">
        <f>grocery_chain_data[[#This Row],[Quantity]]*grocery_chain_data[[#This Row],[Unit Price]]</f>
        <v>8</v>
      </c>
      <c r="I1963" s="3">
        <v>1</v>
      </c>
      <c r="J1963" s="3">
        <f>grocery_chain_data[[#This Row],[Total Amount]]-grocery_chain_data[[#This Row],[Discount Amount]]</f>
        <v>7</v>
      </c>
      <c r="K1963">
        <v>223</v>
      </c>
      <c r="L1963" t="str">
        <f>IF(grocery_chain_data[[#This Row],[Final Amount]]&lt;0,"Return","Sale")</f>
        <v>Sale</v>
      </c>
      <c r="M1963">
        <f>IF(grocery_chain_data[[#This Row],[Final Amount]]&lt;0,0,grocery_chain_data[[#This Row],[Final Amount]])</f>
        <v>7</v>
      </c>
    </row>
    <row r="1964" spans="1:13" x14ac:dyDescent="0.3">
      <c r="A1964">
        <v>8570</v>
      </c>
      <c r="B1964" t="s">
        <v>12</v>
      </c>
      <c r="C1964" s="1">
        <v>45224</v>
      </c>
      <c r="D1964" s="1" t="str">
        <f t="shared" si="30"/>
        <v>Beverages</v>
      </c>
      <c r="E1964" t="s">
        <v>7</v>
      </c>
      <c r="F1964" s="2">
        <v>4</v>
      </c>
      <c r="G1964" s="3">
        <v>13</v>
      </c>
      <c r="H1964" s="3">
        <f>grocery_chain_data[[#This Row],[Quantity]]*grocery_chain_data[[#This Row],[Unit Price]]</f>
        <v>52</v>
      </c>
      <c r="I1964" s="3">
        <v>10</v>
      </c>
      <c r="J1964" s="3">
        <f>grocery_chain_data[[#This Row],[Total Amount]]-grocery_chain_data[[#This Row],[Discount Amount]]</f>
        <v>42</v>
      </c>
      <c r="K1964">
        <v>470</v>
      </c>
      <c r="L1964" t="str">
        <f>IF(grocery_chain_data[[#This Row],[Final Amount]]&lt;0,"Return","Sale")</f>
        <v>Sale</v>
      </c>
      <c r="M1964">
        <f>IF(grocery_chain_data[[#This Row],[Final Amount]]&lt;0,0,grocery_chain_data[[#This Row],[Final Amount]])</f>
        <v>42</v>
      </c>
    </row>
    <row r="1965" spans="1:13" x14ac:dyDescent="0.3">
      <c r="A1965">
        <v>3290</v>
      </c>
      <c r="B1965" t="s">
        <v>0</v>
      </c>
      <c r="C1965" s="1">
        <v>45239</v>
      </c>
      <c r="D1965" s="1" t="str">
        <f t="shared" si="30"/>
        <v>Produce</v>
      </c>
      <c r="E1965" t="s">
        <v>11</v>
      </c>
      <c r="F1965" s="2">
        <v>1</v>
      </c>
      <c r="G1965" s="3">
        <v>18</v>
      </c>
      <c r="H1965" s="3">
        <f>grocery_chain_data[[#This Row],[Quantity]]*grocery_chain_data[[#This Row],[Unit Price]]</f>
        <v>18</v>
      </c>
      <c r="I1965" s="3">
        <v>2</v>
      </c>
      <c r="J1965" s="3">
        <f>grocery_chain_data[[#This Row],[Total Amount]]-grocery_chain_data[[#This Row],[Discount Amount]]</f>
        <v>16</v>
      </c>
      <c r="K1965">
        <v>340</v>
      </c>
      <c r="L1965" t="str">
        <f>IF(grocery_chain_data[[#This Row],[Final Amount]]&lt;0,"Return","Sale")</f>
        <v>Sale</v>
      </c>
      <c r="M1965">
        <f>IF(grocery_chain_data[[#This Row],[Final Amount]]&lt;0,0,grocery_chain_data[[#This Row],[Final Amount]])</f>
        <v>16</v>
      </c>
    </row>
    <row r="1966" spans="1:13" x14ac:dyDescent="0.3">
      <c r="A1966">
        <v>1195</v>
      </c>
      <c r="B1966" t="s">
        <v>2</v>
      </c>
      <c r="C1966" s="1">
        <v>45192</v>
      </c>
      <c r="D1966" s="1" t="str">
        <f t="shared" si="30"/>
        <v>Produce</v>
      </c>
      <c r="E1966" t="s">
        <v>4</v>
      </c>
      <c r="F1966" s="2">
        <v>3</v>
      </c>
      <c r="G1966" s="3">
        <v>15</v>
      </c>
      <c r="H1966" s="3">
        <f>grocery_chain_data[[#This Row],[Quantity]]*grocery_chain_data[[#This Row],[Unit Price]]</f>
        <v>45</v>
      </c>
      <c r="I1966" s="3">
        <v>3</v>
      </c>
      <c r="J1966" s="3">
        <f>grocery_chain_data[[#This Row],[Total Amount]]-grocery_chain_data[[#This Row],[Discount Amount]]</f>
        <v>42</v>
      </c>
      <c r="K1966">
        <v>497</v>
      </c>
      <c r="L1966" t="str">
        <f>IF(grocery_chain_data[[#This Row],[Final Amount]]&lt;0,"Return","Sale")</f>
        <v>Sale</v>
      </c>
      <c r="M1966">
        <f>IF(grocery_chain_data[[#This Row],[Final Amount]]&lt;0,0,grocery_chain_data[[#This Row],[Final Amount]])</f>
        <v>42</v>
      </c>
    </row>
    <row r="1967" spans="1:13" x14ac:dyDescent="0.3">
      <c r="A1967">
        <v>4641</v>
      </c>
      <c r="B1967" t="s">
        <v>2</v>
      </c>
      <c r="C1967" s="1">
        <v>45246</v>
      </c>
      <c r="D1967" s="1" t="str">
        <f t="shared" si="30"/>
        <v>Meat &amp; Seafood</v>
      </c>
      <c r="E1967" t="s">
        <v>9</v>
      </c>
      <c r="F1967" s="2">
        <v>2</v>
      </c>
      <c r="G1967" s="3">
        <v>5</v>
      </c>
      <c r="H1967" s="3">
        <f>grocery_chain_data[[#This Row],[Quantity]]*grocery_chain_data[[#This Row],[Unit Price]]</f>
        <v>10</v>
      </c>
      <c r="I1967" s="3">
        <v>2</v>
      </c>
      <c r="J1967" s="3">
        <f>grocery_chain_data[[#This Row],[Total Amount]]-grocery_chain_data[[#This Row],[Discount Amount]]</f>
        <v>8</v>
      </c>
      <c r="K1967">
        <v>68</v>
      </c>
      <c r="L1967" t="str">
        <f>IF(grocery_chain_data[[#This Row],[Final Amount]]&lt;0,"Return","Sale")</f>
        <v>Sale</v>
      </c>
      <c r="M1967">
        <f>IF(grocery_chain_data[[#This Row],[Final Amount]]&lt;0,0,grocery_chain_data[[#This Row],[Final Amount]])</f>
        <v>8</v>
      </c>
    </row>
    <row r="1968" spans="1:13" x14ac:dyDescent="0.3">
      <c r="A1968">
        <v>4246</v>
      </c>
      <c r="B1968" t="s">
        <v>2</v>
      </c>
      <c r="C1968" s="1">
        <v>45784</v>
      </c>
      <c r="D1968" s="1" t="str">
        <f t="shared" si="30"/>
        <v>Meat &amp; Seafood</v>
      </c>
      <c r="E1968" t="s">
        <v>26</v>
      </c>
      <c r="F1968" s="2">
        <v>5</v>
      </c>
      <c r="G1968" s="3">
        <v>20</v>
      </c>
      <c r="H1968" s="3">
        <f>grocery_chain_data[[#This Row],[Quantity]]*grocery_chain_data[[#This Row],[Unit Price]]</f>
        <v>100</v>
      </c>
      <c r="I1968" s="3">
        <v>15</v>
      </c>
      <c r="J1968" s="3">
        <f>grocery_chain_data[[#This Row],[Total Amount]]-grocery_chain_data[[#This Row],[Discount Amount]]</f>
        <v>85</v>
      </c>
      <c r="K1968">
        <v>299</v>
      </c>
      <c r="L1968" t="str">
        <f>IF(grocery_chain_data[[#This Row],[Final Amount]]&lt;0,"Return","Sale")</f>
        <v>Sale</v>
      </c>
      <c r="M1968">
        <f>IF(grocery_chain_data[[#This Row],[Final Amount]]&lt;0,0,grocery_chain_data[[#This Row],[Final Amount]])</f>
        <v>85</v>
      </c>
    </row>
    <row r="1969" spans="1:13" x14ac:dyDescent="0.3">
      <c r="A1969">
        <v>7563</v>
      </c>
      <c r="B1969" t="s">
        <v>5</v>
      </c>
      <c r="C1969" s="1">
        <v>45434</v>
      </c>
      <c r="D1969" s="1" t="str">
        <f t="shared" si="30"/>
        <v>Meat &amp; Seafood</v>
      </c>
      <c r="E1969" t="s">
        <v>9</v>
      </c>
      <c r="F1969" s="2">
        <v>4</v>
      </c>
      <c r="G1969" s="3">
        <v>24</v>
      </c>
      <c r="H1969" s="3">
        <f>grocery_chain_data[[#This Row],[Quantity]]*grocery_chain_data[[#This Row],[Unit Price]]</f>
        <v>96</v>
      </c>
      <c r="I1969" s="3">
        <v>10</v>
      </c>
      <c r="J1969" s="3">
        <f>grocery_chain_data[[#This Row],[Total Amount]]-grocery_chain_data[[#This Row],[Discount Amount]]</f>
        <v>86</v>
      </c>
      <c r="K1969">
        <v>96</v>
      </c>
      <c r="L1969" t="str">
        <f>IF(grocery_chain_data[[#This Row],[Final Amount]]&lt;0,"Return","Sale")</f>
        <v>Sale</v>
      </c>
      <c r="M1969">
        <f>IF(grocery_chain_data[[#This Row],[Final Amount]]&lt;0,0,grocery_chain_data[[#This Row],[Final Amount]])</f>
        <v>86</v>
      </c>
    </row>
    <row r="1970" spans="1:13" x14ac:dyDescent="0.3">
      <c r="A1970">
        <v>2376</v>
      </c>
      <c r="B1970" t="s">
        <v>10</v>
      </c>
      <c r="C1970" s="1">
        <v>45597</v>
      </c>
      <c r="D1970" s="1" t="str">
        <f t="shared" si="30"/>
        <v>Meat &amp; Seafood</v>
      </c>
      <c r="E1970" t="s">
        <v>26</v>
      </c>
      <c r="F1970" s="2">
        <v>2</v>
      </c>
      <c r="G1970" s="3">
        <v>12</v>
      </c>
      <c r="H1970" s="3">
        <f>grocery_chain_data[[#This Row],[Quantity]]*grocery_chain_data[[#This Row],[Unit Price]]</f>
        <v>24</v>
      </c>
      <c r="I1970" s="3">
        <v>5</v>
      </c>
      <c r="J1970" s="3">
        <f>grocery_chain_data[[#This Row],[Total Amount]]-grocery_chain_data[[#This Row],[Discount Amount]]</f>
        <v>19</v>
      </c>
      <c r="K1970">
        <v>324</v>
      </c>
      <c r="L1970" t="str">
        <f>IF(grocery_chain_data[[#This Row],[Final Amount]]&lt;0,"Return","Sale")</f>
        <v>Sale</v>
      </c>
      <c r="M1970">
        <f>IF(grocery_chain_data[[#This Row],[Final Amount]]&lt;0,0,grocery_chain_data[[#This Row],[Final Amount]])</f>
        <v>19</v>
      </c>
    </row>
    <row r="1971" spans="1:13" x14ac:dyDescent="0.3">
      <c r="A1971">
        <v>5240</v>
      </c>
      <c r="B1971" t="s">
        <v>5</v>
      </c>
      <c r="C1971" s="1">
        <v>45857</v>
      </c>
      <c r="D1971" s="1" t="str">
        <f t="shared" si="30"/>
        <v>Dairy</v>
      </c>
      <c r="E1971" t="s">
        <v>20</v>
      </c>
      <c r="F1971" s="2">
        <v>1</v>
      </c>
      <c r="G1971" s="3">
        <v>15</v>
      </c>
      <c r="H1971" s="3">
        <f>grocery_chain_data[[#This Row],[Quantity]]*grocery_chain_data[[#This Row],[Unit Price]]</f>
        <v>15</v>
      </c>
      <c r="I1971" s="3">
        <v>3</v>
      </c>
      <c r="J1971" s="3">
        <f>grocery_chain_data[[#This Row],[Total Amount]]-grocery_chain_data[[#This Row],[Discount Amount]]</f>
        <v>12</v>
      </c>
      <c r="K1971">
        <v>37</v>
      </c>
      <c r="L1971" t="str">
        <f>IF(grocery_chain_data[[#This Row],[Final Amount]]&lt;0,"Return","Sale")</f>
        <v>Sale</v>
      </c>
      <c r="M1971">
        <f>IF(grocery_chain_data[[#This Row],[Final Amount]]&lt;0,0,grocery_chain_data[[#This Row],[Final Amount]])</f>
        <v>12</v>
      </c>
    </row>
    <row r="1972" spans="1:13" x14ac:dyDescent="0.3">
      <c r="A1972">
        <v>2228</v>
      </c>
      <c r="B1972" t="s">
        <v>8</v>
      </c>
      <c r="C1972" s="1">
        <v>45161</v>
      </c>
      <c r="D1972" s="1" t="str">
        <f t="shared" si="30"/>
        <v>Beverages</v>
      </c>
      <c r="E1972" t="s">
        <v>7</v>
      </c>
      <c r="F1972" s="2">
        <v>2</v>
      </c>
      <c r="G1972" s="3">
        <v>25</v>
      </c>
      <c r="H1972" s="3">
        <f>grocery_chain_data[[#This Row],[Quantity]]*grocery_chain_data[[#This Row],[Unit Price]]</f>
        <v>50</v>
      </c>
      <c r="I1972" s="3">
        <v>5</v>
      </c>
      <c r="J1972" s="3">
        <f>grocery_chain_data[[#This Row],[Total Amount]]-grocery_chain_data[[#This Row],[Discount Amount]]</f>
        <v>45</v>
      </c>
      <c r="K1972">
        <v>208</v>
      </c>
      <c r="L1972" t="str">
        <f>IF(grocery_chain_data[[#This Row],[Final Amount]]&lt;0,"Return","Sale")</f>
        <v>Sale</v>
      </c>
      <c r="M1972">
        <f>IF(grocery_chain_data[[#This Row],[Final Amount]]&lt;0,0,grocery_chain_data[[#This Row],[Final Amount]])</f>
        <v>45</v>
      </c>
    </row>
    <row r="1973" spans="1:13" x14ac:dyDescent="0.3">
      <c r="A1973">
        <v>2056</v>
      </c>
      <c r="B1973" t="s">
        <v>13</v>
      </c>
      <c r="C1973" s="1">
        <v>45298</v>
      </c>
      <c r="D1973" s="1" t="str">
        <f t="shared" si="30"/>
        <v>Produce</v>
      </c>
      <c r="E1973" t="s">
        <v>14</v>
      </c>
      <c r="F1973" s="2">
        <v>1</v>
      </c>
      <c r="G1973" s="3">
        <v>7</v>
      </c>
      <c r="H1973" s="3">
        <f>grocery_chain_data[[#This Row],[Quantity]]*grocery_chain_data[[#This Row],[Unit Price]]</f>
        <v>7</v>
      </c>
      <c r="I1973" s="3">
        <v>1</v>
      </c>
      <c r="J1973" s="3">
        <f>grocery_chain_data[[#This Row],[Total Amount]]-grocery_chain_data[[#This Row],[Discount Amount]]</f>
        <v>6</v>
      </c>
      <c r="K1973">
        <v>371</v>
      </c>
      <c r="L1973" t="str">
        <f>IF(grocery_chain_data[[#This Row],[Final Amount]]&lt;0,"Return","Sale")</f>
        <v>Sale</v>
      </c>
      <c r="M1973">
        <f>IF(grocery_chain_data[[#This Row],[Final Amount]]&lt;0,0,grocery_chain_data[[#This Row],[Final Amount]])</f>
        <v>6</v>
      </c>
    </row>
    <row r="1974" spans="1:13" x14ac:dyDescent="0.3">
      <c r="A1974">
        <v>8265</v>
      </c>
      <c r="B1974" t="s">
        <v>10</v>
      </c>
      <c r="C1974" s="1">
        <v>45773</v>
      </c>
      <c r="D1974" s="1" t="str">
        <f t="shared" si="30"/>
        <v>Meat &amp; Seafood</v>
      </c>
      <c r="E1974" t="s">
        <v>9</v>
      </c>
      <c r="F1974" s="2">
        <v>2</v>
      </c>
      <c r="G1974" s="3">
        <v>15</v>
      </c>
      <c r="H1974" s="3">
        <f>grocery_chain_data[[#This Row],[Quantity]]*grocery_chain_data[[#This Row],[Unit Price]]</f>
        <v>30</v>
      </c>
      <c r="I1974" s="3">
        <v>0</v>
      </c>
      <c r="J1974" s="3">
        <f>grocery_chain_data[[#This Row],[Total Amount]]-grocery_chain_data[[#This Row],[Discount Amount]]</f>
        <v>30</v>
      </c>
      <c r="K1974">
        <v>486</v>
      </c>
      <c r="L1974" t="str">
        <f>IF(grocery_chain_data[[#This Row],[Final Amount]]&lt;0,"Return","Sale")</f>
        <v>Sale</v>
      </c>
      <c r="M1974">
        <f>IF(grocery_chain_data[[#This Row],[Final Amount]]&lt;0,0,grocery_chain_data[[#This Row],[Final Amount]])</f>
        <v>30</v>
      </c>
    </row>
    <row r="1975" spans="1:13" x14ac:dyDescent="0.3">
      <c r="A1975">
        <v>3110</v>
      </c>
      <c r="B1975" t="s">
        <v>5</v>
      </c>
      <c r="C1975" s="1">
        <v>45216</v>
      </c>
      <c r="D1975" s="1" t="str">
        <f t="shared" si="30"/>
        <v>Produce</v>
      </c>
      <c r="E1975" t="s">
        <v>24</v>
      </c>
      <c r="F1975" s="2">
        <v>3</v>
      </c>
      <c r="G1975" s="3">
        <v>15</v>
      </c>
      <c r="H1975" s="3">
        <f>grocery_chain_data[[#This Row],[Quantity]]*grocery_chain_data[[#This Row],[Unit Price]]</f>
        <v>45</v>
      </c>
      <c r="I1975" s="3">
        <v>1</v>
      </c>
      <c r="J1975" s="3">
        <f>grocery_chain_data[[#This Row],[Total Amount]]-grocery_chain_data[[#This Row],[Discount Amount]]</f>
        <v>44</v>
      </c>
      <c r="K1975">
        <v>38</v>
      </c>
      <c r="L1975" t="str">
        <f>IF(grocery_chain_data[[#This Row],[Final Amount]]&lt;0,"Return","Sale")</f>
        <v>Sale</v>
      </c>
      <c r="M1975">
        <f>IF(grocery_chain_data[[#This Row],[Final Amount]]&lt;0,0,grocery_chain_data[[#This Row],[Final Amount]])</f>
        <v>44</v>
      </c>
    </row>
    <row r="1976" spans="1:13" x14ac:dyDescent="0.3">
      <c r="A1976">
        <v>6432</v>
      </c>
      <c r="B1976" t="s">
        <v>0</v>
      </c>
      <c r="C1976" s="1">
        <v>45240</v>
      </c>
      <c r="D1976" s="1" t="str">
        <f t="shared" si="30"/>
        <v>Bakery</v>
      </c>
      <c r="E1976" t="s">
        <v>22</v>
      </c>
      <c r="F1976" s="2">
        <v>2</v>
      </c>
      <c r="G1976" s="3">
        <v>23</v>
      </c>
      <c r="H1976" s="3">
        <f>grocery_chain_data[[#This Row],[Quantity]]*grocery_chain_data[[#This Row],[Unit Price]]</f>
        <v>46</v>
      </c>
      <c r="I1976" s="3">
        <v>7</v>
      </c>
      <c r="J1976" s="3">
        <f>grocery_chain_data[[#This Row],[Total Amount]]-grocery_chain_data[[#This Row],[Discount Amount]]</f>
        <v>39</v>
      </c>
      <c r="K1976">
        <v>20</v>
      </c>
      <c r="L1976" t="str">
        <f>IF(grocery_chain_data[[#This Row],[Final Amount]]&lt;0,"Return","Sale")</f>
        <v>Sale</v>
      </c>
      <c r="M1976">
        <f>IF(grocery_chain_data[[#This Row],[Final Amount]]&lt;0,0,grocery_chain_data[[#This Row],[Final Amount]])</f>
        <v>39</v>
      </c>
    </row>
    <row r="1977" spans="1:13" x14ac:dyDescent="0.3">
      <c r="A1977">
        <v>1699</v>
      </c>
      <c r="B1977" t="s">
        <v>8</v>
      </c>
      <c r="C1977" s="1">
        <v>45503</v>
      </c>
      <c r="D1977" s="1" t="str">
        <f t="shared" si="30"/>
        <v>Meat &amp; Seafood</v>
      </c>
      <c r="E1977" t="s">
        <v>15</v>
      </c>
      <c r="F1977" s="2">
        <v>3</v>
      </c>
      <c r="G1977" s="3">
        <v>10</v>
      </c>
      <c r="H1977" s="3">
        <f>grocery_chain_data[[#This Row],[Quantity]]*grocery_chain_data[[#This Row],[Unit Price]]</f>
        <v>30</v>
      </c>
      <c r="I1977" s="3">
        <v>4</v>
      </c>
      <c r="J1977" s="3">
        <f>grocery_chain_data[[#This Row],[Total Amount]]-grocery_chain_data[[#This Row],[Discount Amount]]</f>
        <v>26</v>
      </c>
      <c r="K1977">
        <v>274</v>
      </c>
      <c r="L1977" t="str">
        <f>IF(grocery_chain_data[[#This Row],[Final Amount]]&lt;0,"Return","Sale")</f>
        <v>Sale</v>
      </c>
      <c r="M1977">
        <f>IF(grocery_chain_data[[#This Row],[Final Amount]]&lt;0,0,grocery_chain_data[[#This Row],[Final Amount]])</f>
        <v>26</v>
      </c>
    </row>
    <row r="1978" spans="1:13" x14ac:dyDescent="0.3">
      <c r="A1978">
        <v>1829</v>
      </c>
      <c r="B1978" t="s">
        <v>10</v>
      </c>
      <c r="C1978" s="1">
        <v>45275</v>
      </c>
      <c r="D1978" s="1" t="str">
        <f t="shared" si="30"/>
        <v>Produce</v>
      </c>
      <c r="E1978" t="s">
        <v>25</v>
      </c>
      <c r="F1978" s="2">
        <v>4</v>
      </c>
      <c r="G1978" s="3">
        <v>23</v>
      </c>
      <c r="H1978" s="3">
        <f>grocery_chain_data[[#This Row],[Quantity]]*grocery_chain_data[[#This Row],[Unit Price]]</f>
        <v>92</v>
      </c>
      <c r="I1978" s="3">
        <v>9</v>
      </c>
      <c r="J1978" s="3">
        <f>grocery_chain_data[[#This Row],[Total Amount]]-grocery_chain_data[[#This Row],[Discount Amount]]</f>
        <v>83</v>
      </c>
      <c r="K1978">
        <v>429</v>
      </c>
      <c r="L1978" t="str">
        <f>IF(grocery_chain_data[[#This Row],[Final Amount]]&lt;0,"Return","Sale")</f>
        <v>Sale</v>
      </c>
      <c r="M1978">
        <f>IF(grocery_chain_data[[#This Row],[Final Amount]]&lt;0,0,grocery_chain_data[[#This Row],[Final Amount]])</f>
        <v>83</v>
      </c>
    </row>
    <row r="1979" spans="1:13" x14ac:dyDescent="0.3">
      <c r="A1979">
        <v>8096</v>
      </c>
      <c r="B1979" t="s">
        <v>16</v>
      </c>
      <c r="C1979" s="1">
        <v>45783</v>
      </c>
      <c r="D1979" s="1" t="str">
        <f t="shared" si="30"/>
        <v>Produce</v>
      </c>
      <c r="E1979" t="s">
        <v>25</v>
      </c>
      <c r="F1979" s="2">
        <v>3</v>
      </c>
      <c r="G1979" s="3">
        <v>16</v>
      </c>
      <c r="H1979" s="3">
        <f>grocery_chain_data[[#This Row],[Quantity]]*grocery_chain_data[[#This Row],[Unit Price]]</f>
        <v>48</v>
      </c>
      <c r="I1979" s="3">
        <v>7</v>
      </c>
      <c r="J1979" s="3">
        <f>grocery_chain_data[[#This Row],[Total Amount]]-grocery_chain_data[[#This Row],[Discount Amount]]</f>
        <v>41</v>
      </c>
      <c r="K1979">
        <v>315</v>
      </c>
      <c r="L1979" t="str">
        <f>IF(grocery_chain_data[[#This Row],[Final Amount]]&lt;0,"Return","Sale")</f>
        <v>Sale</v>
      </c>
      <c r="M1979">
        <f>IF(grocery_chain_data[[#This Row],[Final Amount]]&lt;0,0,grocery_chain_data[[#This Row],[Final Amount]])</f>
        <v>41</v>
      </c>
    </row>
    <row r="1980" spans="1:13" x14ac:dyDescent="0.3">
      <c r="A1980">
        <v>7471</v>
      </c>
      <c r="B1980" t="s">
        <v>12</v>
      </c>
      <c r="C1980" s="1">
        <v>45530</v>
      </c>
      <c r="D1980" s="1" t="str">
        <f t="shared" si="30"/>
        <v>Produce</v>
      </c>
      <c r="E1980" t="s">
        <v>17</v>
      </c>
      <c r="F1980" s="2">
        <v>5</v>
      </c>
      <c r="G1980" s="3">
        <v>16</v>
      </c>
      <c r="H1980" s="3">
        <f>grocery_chain_data[[#This Row],[Quantity]]*grocery_chain_data[[#This Row],[Unit Price]]</f>
        <v>80</v>
      </c>
      <c r="I1980" s="3">
        <v>16</v>
      </c>
      <c r="J1980" s="3">
        <f>grocery_chain_data[[#This Row],[Total Amount]]-grocery_chain_data[[#This Row],[Discount Amount]]</f>
        <v>64</v>
      </c>
      <c r="K1980">
        <v>160</v>
      </c>
      <c r="L1980" t="str">
        <f>IF(grocery_chain_data[[#This Row],[Final Amount]]&lt;0,"Return","Sale")</f>
        <v>Sale</v>
      </c>
      <c r="M1980">
        <f>IF(grocery_chain_data[[#This Row],[Final Amount]]&lt;0,0,grocery_chain_data[[#This Row],[Final Amount]])</f>
        <v>64</v>
      </c>
    </row>
    <row r="1981" spans="1:13" x14ac:dyDescent="0.3">
      <c r="A1981">
        <v>1483</v>
      </c>
      <c r="B1981" t="s">
        <v>21</v>
      </c>
      <c r="C1981" s="1">
        <v>45442</v>
      </c>
      <c r="D1981" s="1" t="str">
        <f t="shared" si="30"/>
        <v>Produce</v>
      </c>
      <c r="E1981" t="s">
        <v>17</v>
      </c>
      <c r="F1981" s="2">
        <v>2</v>
      </c>
      <c r="G1981" s="3">
        <v>25</v>
      </c>
      <c r="H1981" s="3">
        <f>grocery_chain_data[[#This Row],[Quantity]]*grocery_chain_data[[#This Row],[Unit Price]]</f>
        <v>50</v>
      </c>
      <c r="I1981" s="3">
        <v>7</v>
      </c>
      <c r="J1981" s="3">
        <f>grocery_chain_data[[#This Row],[Total Amount]]-grocery_chain_data[[#This Row],[Discount Amount]]</f>
        <v>43</v>
      </c>
      <c r="K1981">
        <v>265</v>
      </c>
      <c r="L1981" t="str">
        <f>IF(grocery_chain_data[[#This Row],[Final Amount]]&lt;0,"Return","Sale")</f>
        <v>Sale</v>
      </c>
      <c r="M1981">
        <f>IF(grocery_chain_data[[#This Row],[Final Amount]]&lt;0,0,grocery_chain_data[[#This Row],[Final Amount]])</f>
        <v>43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817BD60-4E55-435B-917F-09A543BD1A5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grocery_chain_data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ANEESHA KA</dc:creator>
  <cp:lastModifiedBy>ANEESHA KA</cp:lastModifiedBy>
  <dcterms:created xsi:type="dcterms:W3CDTF">2026-03-31T15:42:00Z</dcterms:created>
  <dcterms:modified xsi:type="dcterms:W3CDTF">2026-04-07T15:50:42Z</dcterms:modified>
</cp:coreProperties>
</file>